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эгтгэл" sheetId="1" state="visible" r:id="rId1"/>
    <sheet xmlns:r="http://schemas.openxmlformats.org/officeDocument/2006/relationships" name="Бие бялдар" sheetId="2" state="visible" r:id="rId2"/>
    <sheet xmlns:r="http://schemas.openxmlformats.org/officeDocument/2006/relationships" name="Нийгэмшихүй, сэтгэл хөдлөл" sheetId="3" state="visible" r:id="rId3"/>
    <sheet xmlns:r="http://schemas.openxmlformats.org/officeDocument/2006/relationships" name="Танин мэдэхүй" sheetId="4" state="visible" r:id="rId4"/>
  </sheets>
  <definedNames>
    <definedName name="_xlnm.Print_Titles" localSheetId="0">'Нэгтгэл'!$3:$6</definedName>
    <definedName name="_xlnm.Print_Area" localSheetId="0">'Нэгтгэл'!$A$1:$H$41</definedName>
    <definedName name="_xlnm.Print_Titles" localSheetId="1">'Бие бялдар'!$3:$6</definedName>
    <definedName name="_xlnm.Print_Area" localSheetId="1">'Бие бялдар'!$A$1:$P$41</definedName>
    <definedName name="_xlnm.Print_Titles" localSheetId="2">'Нийгэмшихүй, сэтгэл хөдлөл'!$3:$6</definedName>
    <definedName name="_xlnm.Print_Area" localSheetId="2">'Нийгэмшихүй, сэтгэл хөдлөл'!$A$1:$M$41</definedName>
    <definedName name="_xlnm.Print_Titles" localSheetId="3">'Танин мэдэхүй'!$3:$6</definedName>
    <definedName name="_xlnm.Print_Area" localSheetId="3">'Танин мэдэхүй'!$A$1:$Z$41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2"/>
    </font>
    <font>
      <name val="Arial"/>
      <sz val="11"/>
    </font>
    <font>
      <name val="Arial"/>
      <b val="1"/>
      <sz val="10"/>
    </font>
    <font>
      <name val="Arial"/>
      <b val="1"/>
      <sz val="9"/>
    </font>
    <font>
      <name val="Arial"/>
      <sz val="8"/>
    </font>
    <font>
      <name val="Arial"/>
      <b val="1"/>
      <sz val="8"/>
    </font>
    <font>
      <name val="Arial"/>
      <sz val="10"/>
    </font>
    <font>
      <name val="Arial"/>
      <sz val="9"/>
    </font>
    <font>
      <name val="Arial"/>
      <i val="1"/>
      <sz val="8"/>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DE7"/>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0" fillId="0" borderId="1" pivotButton="0" quotePrefix="0" xfId="0"/>
    <xf numFmtId="0" fontId="3"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2" borderId="1" pivotButton="0" quotePrefix="0" xfId="0"/>
    <xf numFmtId="0" fontId="8" fillId="0" borderId="1" applyAlignment="1" pivotButton="0" quotePrefix="0" xfId="0">
      <alignment horizontal="left" vertical="center" wrapText="1"/>
    </xf>
    <xf numFmtId="0" fontId="3" fillId="5" borderId="1" applyAlignment="1" pivotButton="0" quotePrefix="0" xfId="0">
      <alignment horizontal="center" vertical="center" wrapText="1"/>
    </xf>
    <xf numFmtId="0" fontId="6" fillId="2" borderId="1" applyAlignment="1" pivotButton="0" quotePrefix="0" xfId="0">
      <alignment horizontal="center" vertical="center" wrapText="1"/>
    </xf>
    <xf numFmtId="0" fontId="9"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0" fillId="3" borderId="1" pivotButton="0" quotePrefix="0" xfId="0"/>
    <xf numFmtId="0" fontId="7"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0" borderId="0" applyAlignment="1" pivotButton="0" quotePrefix="0" xfId="0">
      <alignment horizontal="left" vertical="center" wrapText="1"/>
    </xf>
    <xf numFmtId="0" fontId="5" fillId="4"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1">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41"/>
  <sheetViews>
    <sheetView workbookViewId="0">
      <selection activeCell="A1" sqref="A1"/>
    </sheetView>
  </sheetViews>
  <sheetFormatPr baseColWidth="8" defaultRowHeight="15"/>
  <cols>
    <col width="4.5" customWidth="1" min="1" max="1"/>
    <col width="10" customWidth="1" min="2" max="2"/>
    <col width="11" customWidth="1" min="3" max="3"/>
    <col width="11" customWidth="1" min="4" max="4"/>
    <col width="11" customWidth="1" min="5" max="5"/>
    <col width="11" customWidth="1" min="6" max="6"/>
    <col width="9" customWidth="1" min="7" max="7"/>
    <col width="22" customWidth="1" min="8" max="8"/>
    <col width="2" customWidth="1" min="9" max="9"/>
    <col width="26" customWidth="1" min="10" max="10"/>
    <col width="8" customWidth="1" min="11" max="11"/>
  </cols>
  <sheetData>
    <row r="1">
      <c r="A1" s="1" t="inlineStr">
        <is>
          <t>................ ЦЭЦЭРЛЭГИЙН БАГА БҮЛГИЙН (2 НАС) ГАРААНЫ (ОНОШЛОХ) ҮНЭЛГЭЭНИЙ НЭГТГЭЛ</t>
        </is>
      </c>
    </row>
    <row r="2" ht="28" customHeight="1">
      <c r="A2" s="2" t="inlineStr">
        <is>
          <t>Огноо: 20.... оны .... сар     Багш: ....................     Хүүхдийн кодыг B баганад бичнэ.     (хөтөлбөрийн 25–36 сарын үзүүлэлт)</t>
        </is>
      </c>
    </row>
    <row r="3">
      <c r="A3" s="3" t="inlineStr">
        <is>
          <t>№</t>
        </is>
      </c>
      <c r="B3" s="3" t="inlineStr">
        <is>
          <t>Хүүхдийн код</t>
        </is>
      </c>
      <c r="C3" s="3" t="inlineStr">
        <is>
          <t>«Чадна» хувь (%)</t>
        </is>
      </c>
      <c r="D3" s="4" t="n"/>
      <c r="E3" s="4" t="n"/>
      <c r="F3" s="5" t="inlineStr">
        <is>
          <t>Нийт чадна (31-аас)</t>
        </is>
      </c>
      <c r="G3" s="5" t="inlineStr">
        <is>
          <t>Нийт хувь</t>
        </is>
      </c>
      <c r="H3" s="5" t="inlineStr">
        <is>
          <t>Түвшин</t>
        </is>
      </c>
      <c r="J3" s="6" t="inlineStr">
        <is>
          <t>Түвшний босго (%) — өөрчилж болно</t>
        </is>
      </c>
      <c r="K3" s="7" t="n"/>
    </row>
    <row r="4">
      <c r="A4" s="4" t="n"/>
      <c r="B4" s="4" t="n"/>
      <c r="C4" s="6" t="inlineStr">
        <is>
          <t>Хөгжлийн чиглэл</t>
        </is>
      </c>
      <c r="D4" s="4" t="n"/>
      <c r="E4" s="4" t="n"/>
      <c r="F4" s="4" t="n"/>
      <c r="G4" s="4" t="n"/>
      <c r="H4" s="4" t="n"/>
      <c r="J4" s="8" t="inlineStr">
        <is>
          <t>Хангалттай эзэмшиж байна ≥</t>
        </is>
      </c>
      <c r="K4" s="9" t="n">
        <v>80</v>
      </c>
    </row>
    <row r="5" ht="40" customHeight="1">
      <c r="A5" s="4" t="n"/>
      <c r="B5" s="4" t="n"/>
      <c r="C5" s="6" t="inlineStr">
        <is>
          <t>Бие бялдар</t>
        </is>
      </c>
      <c r="D5" s="6" t="inlineStr">
        <is>
          <t>Нийгэмшихүй, сэтгэл хөдлөл</t>
        </is>
      </c>
      <c r="E5" s="6" t="inlineStr">
        <is>
          <t>Танин мэдэхүй</t>
        </is>
      </c>
      <c r="F5" s="4" t="n"/>
      <c r="G5" s="4" t="n"/>
      <c r="H5" s="4" t="n"/>
      <c r="J5" s="8" t="inlineStr">
        <is>
          <t>Ахиж байна ≥</t>
        </is>
      </c>
      <c r="K5" s="9" t="n">
        <v>50</v>
      </c>
    </row>
    <row r="6">
      <c r="A6" s="4" t="n"/>
      <c r="B6" s="4" t="n"/>
      <c r="C6" s="10" t="n">
        <v>8</v>
      </c>
      <c r="D6" s="10" t="n">
        <v>5</v>
      </c>
      <c r="E6" s="10" t="n">
        <v>18</v>
      </c>
      <c r="F6" s="4" t="n"/>
      <c r="G6" s="4" t="n"/>
      <c r="H6" s="4" t="n"/>
      <c r="J6" s="11" t="inlineStr">
        <is>
          <t>Бусад нь «Хөгжиж байна» (А/79, 2.10)</t>
        </is>
      </c>
    </row>
    <row r="7" ht="16" customHeight="1">
      <c r="A7" s="12" t="n">
        <v>1</v>
      </c>
      <c r="B7" s="13" t="inlineStr">
        <is>
          <t>Х-01</t>
        </is>
      </c>
      <c r="C7" s="12">
        <f>IF(COUNT('Бие бялдар'!D7:K7)=0,"",ROUND(COUNTIF('Бие бялдар'!D7:K7,1)/8*100,1))</f>
        <v/>
      </c>
      <c r="D7" s="12">
        <f>IF(COUNT('Нийгэмшихүй, сэтгэл хөдлөл'!D7:H7)=0,"",ROUND(COUNTIF('Нийгэмшихүй, сэтгэл хөдлөл'!D7:H7,1)/5*100,1))</f>
        <v/>
      </c>
      <c r="E7" s="12">
        <f>IF(COUNT('Танин мэдэхүй'!D7:U7)=0,"",ROUND(COUNTIF('Танин мэдэхүй'!D7:U7,1)/18*100,1))</f>
        <v/>
      </c>
      <c r="F7" s="12">
        <f>COUNTIF('Бие бялдар'!D7:K7,1)+COUNTIF('Нийгэмшихүй, сэтгэл хөдлөл'!D7:H7,1)+COUNTIF('Танин мэдэхүй'!D7:U7,1)</f>
        <v/>
      </c>
      <c r="G7" s="12">
        <f>IF((COUNT('Бие бялдар'!D7:K7)+COUNT('Нийгэмшихүй, сэтгэл хөдлөл'!D7:H7)+COUNT('Танин мэдэхүй'!D7:U7))=0,"",ROUND(F7/31*100,1))</f>
        <v/>
      </c>
      <c r="H7" s="14">
        <f>IF(G7="","",IF(G7&gt;=Нэгтгэл!$K$4,"Хангалттай эзэмшиж байна",IF(G7&gt;=Нэгтгэл!$K$5,"Ахиж байна","Хөгжиж байна")))</f>
        <v/>
      </c>
    </row>
    <row r="8" ht="16" customHeight="1">
      <c r="A8" s="12" t="n">
        <v>2</v>
      </c>
      <c r="B8" s="13" t="inlineStr">
        <is>
          <t>Х-02</t>
        </is>
      </c>
      <c r="C8" s="12">
        <f>IF(COUNT('Бие бялдар'!D8:K8)=0,"",ROUND(COUNTIF('Бие бялдар'!D8:K8,1)/8*100,1))</f>
        <v/>
      </c>
      <c r="D8" s="12">
        <f>IF(COUNT('Нийгэмшихүй, сэтгэл хөдлөл'!D8:H8)=0,"",ROUND(COUNTIF('Нийгэмшихүй, сэтгэл хөдлөл'!D8:H8,1)/5*100,1))</f>
        <v/>
      </c>
      <c r="E8" s="12">
        <f>IF(COUNT('Танин мэдэхүй'!D8:U8)=0,"",ROUND(COUNTIF('Танин мэдэхүй'!D8:U8,1)/18*100,1))</f>
        <v/>
      </c>
      <c r="F8" s="12">
        <f>COUNTIF('Бие бялдар'!D8:K8,1)+COUNTIF('Нийгэмшихүй, сэтгэл хөдлөл'!D8:H8,1)+COUNTIF('Танин мэдэхүй'!D8:U8,1)</f>
        <v/>
      </c>
      <c r="G8" s="12">
        <f>IF((COUNT('Бие бялдар'!D8:K8)+COUNT('Нийгэмшихүй, сэтгэл хөдлөл'!D8:H8)+COUNT('Танин мэдэхүй'!D8:U8))=0,"",ROUND(F8/31*100,1))</f>
        <v/>
      </c>
      <c r="H8" s="14">
        <f>IF(G8="","",IF(G8&gt;=Нэгтгэл!$K$4,"Хангалттай эзэмшиж байна",IF(G8&gt;=Нэгтгэл!$K$5,"Ахиж байна","Хөгжиж байна")))</f>
        <v/>
      </c>
    </row>
    <row r="9" ht="16" customHeight="1">
      <c r="A9" s="12" t="n">
        <v>3</v>
      </c>
      <c r="B9" s="13" t="inlineStr">
        <is>
          <t>Х-03</t>
        </is>
      </c>
      <c r="C9" s="12">
        <f>IF(COUNT('Бие бялдар'!D9:K9)=0,"",ROUND(COUNTIF('Бие бялдар'!D9:K9,1)/8*100,1))</f>
        <v/>
      </c>
      <c r="D9" s="12">
        <f>IF(COUNT('Нийгэмшихүй, сэтгэл хөдлөл'!D9:H9)=0,"",ROUND(COUNTIF('Нийгэмшихүй, сэтгэл хөдлөл'!D9:H9,1)/5*100,1))</f>
        <v/>
      </c>
      <c r="E9" s="12">
        <f>IF(COUNT('Танин мэдэхүй'!D9:U9)=0,"",ROUND(COUNTIF('Танин мэдэхүй'!D9:U9,1)/18*100,1))</f>
        <v/>
      </c>
      <c r="F9" s="12">
        <f>COUNTIF('Бие бялдар'!D9:K9,1)+COUNTIF('Нийгэмшихүй, сэтгэл хөдлөл'!D9:H9,1)+COUNTIF('Танин мэдэхүй'!D9:U9,1)</f>
        <v/>
      </c>
      <c r="G9" s="12">
        <f>IF((COUNT('Бие бялдар'!D9:K9)+COUNT('Нийгэмшихүй, сэтгэл хөдлөл'!D9:H9)+COUNT('Танин мэдэхүй'!D9:U9))=0,"",ROUND(F9/31*100,1))</f>
        <v/>
      </c>
      <c r="H9" s="14">
        <f>IF(G9="","",IF(G9&gt;=Нэгтгэл!$K$4,"Хангалттай эзэмшиж байна",IF(G9&gt;=Нэгтгэл!$K$5,"Ахиж байна","Хөгжиж байна")))</f>
        <v/>
      </c>
    </row>
    <row r="10" ht="16" customHeight="1">
      <c r="A10" s="12" t="n">
        <v>4</v>
      </c>
      <c r="B10" s="13" t="inlineStr">
        <is>
          <t>Х-04</t>
        </is>
      </c>
      <c r="C10" s="12">
        <f>IF(COUNT('Бие бялдар'!D10:K10)=0,"",ROUND(COUNTIF('Бие бялдар'!D10:K10,1)/8*100,1))</f>
        <v/>
      </c>
      <c r="D10" s="12">
        <f>IF(COUNT('Нийгэмшихүй, сэтгэл хөдлөл'!D10:H10)=0,"",ROUND(COUNTIF('Нийгэмшихүй, сэтгэл хөдлөл'!D10:H10,1)/5*100,1))</f>
        <v/>
      </c>
      <c r="E10" s="12">
        <f>IF(COUNT('Танин мэдэхүй'!D10:U10)=0,"",ROUND(COUNTIF('Танин мэдэхүй'!D10:U10,1)/18*100,1))</f>
        <v/>
      </c>
      <c r="F10" s="12">
        <f>COUNTIF('Бие бялдар'!D10:K10,1)+COUNTIF('Нийгэмшихүй, сэтгэл хөдлөл'!D10:H10,1)+COUNTIF('Танин мэдэхүй'!D10:U10,1)</f>
        <v/>
      </c>
      <c r="G10" s="12">
        <f>IF((COUNT('Бие бялдар'!D10:K10)+COUNT('Нийгэмшихүй, сэтгэл хөдлөл'!D10:H10)+COUNT('Танин мэдэхүй'!D10:U10))=0,"",ROUND(F10/31*100,1))</f>
        <v/>
      </c>
      <c r="H10" s="14">
        <f>IF(G10="","",IF(G10&gt;=Нэгтгэл!$K$4,"Хангалттай эзэмшиж байна",IF(G10&gt;=Нэгтгэл!$K$5,"Ахиж байна","Хөгжиж байна")))</f>
        <v/>
      </c>
    </row>
    <row r="11" ht="16" customHeight="1">
      <c r="A11" s="12" t="n">
        <v>5</v>
      </c>
      <c r="B11" s="13" t="inlineStr">
        <is>
          <t>Х-05</t>
        </is>
      </c>
      <c r="C11" s="12">
        <f>IF(COUNT('Бие бялдар'!D11:K11)=0,"",ROUND(COUNTIF('Бие бялдар'!D11:K11,1)/8*100,1))</f>
        <v/>
      </c>
      <c r="D11" s="12">
        <f>IF(COUNT('Нийгэмшихүй, сэтгэл хөдлөл'!D11:H11)=0,"",ROUND(COUNTIF('Нийгэмшихүй, сэтгэл хөдлөл'!D11:H11,1)/5*100,1))</f>
        <v/>
      </c>
      <c r="E11" s="12">
        <f>IF(COUNT('Танин мэдэхүй'!D11:U11)=0,"",ROUND(COUNTIF('Танин мэдэхүй'!D11:U11,1)/18*100,1))</f>
        <v/>
      </c>
      <c r="F11" s="12">
        <f>COUNTIF('Бие бялдар'!D11:K11,1)+COUNTIF('Нийгэмшихүй, сэтгэл хөдлөл'!D11:H11,1)+COUNTIF('Танин мэдэхүй'!D11:U11,1)</f>
        <v/>
      </c>
      <c r="G11" s="12">
        <f>IF((COUNT('Бие бялдар'!D11:K11)+COUNT('Нийгэмшихүй, сэтгэл хөдлөл'!D11:H11)+COUNT('Танин мэдэхүй'!D11:U11))=0,"",ROUND(F11/31*100,1))</f>
        <v/>
      </c>
      <c r="H11" s="14">
        <f>IF(G11="","",IF(G11&gt;=Нэгтгэл!$K$4,"Хангалттай эзэмшиж байна",IF(G11&gt;=Нэгтгэл!$K$5,"Ахиж байна","Хөгжиж байна")))</f>
        <v/>
      </c>
    </row>
    <row r="12" ht="16" customHeight="1">
      <c r="A12" s="12" t="n">
        <v>6</v>
      </c>
      <c r="B12" s="13" t="inlineStr">
        <is>
          <t>Х-06</t>
        </is>
      </c>
      <c r="C12" s="12">
        <f>IF(COUNT('Бие бялдар'!D12:K12)=0,"",ROUND(COUNTIF('Бие бялдар'!D12:K12,1)/8*100,1))</f>
        <v/>
      </c>
      <c r="D12" s="12">
        <f>IF(COUNT('Нийгэмшихүй, сэтгэл хөдлөл'!D12:H12)=0,"",ROUND(COUNTIF('Нийгэмшихүй, сэтгэл хөдлөл'!D12:H12,1)/5*100,1))</f>
        <v/>
      </c>
      <c r="E12" s="12">
        <f>IF(COUNT('Танин мэдэхүй'!D12:U12)=0,"",ROUND(COUNTIF('Танин мэдэхүй'!D12:U12,1)/18*100,1))</f>
        <v/>
      </c>
      <c r="F12" s="12">
        <f>COUNTIF('Бие бялдар'!D12:K12,1)+COUNTIF('Нийгэмшихүй, сэтгэл хөдлөл'!D12:H12,1)+COUNTIF('Танин мэдэхүй'!D12:U12,1)</f>
        <v/>
      </c>
      <c r="G12" s="12">
        <f>IF((COUNT('Бие бялдар'!D12:K12)+COUNT('Нийгэмшихүй, сэтгэл хөдлөл'!D12:H12)+COUNT('Танин мэдэхүй'!D12:U12))=0,"",ROUND(F12/31*100,1))</f>
        <v/>
      </c>
      <c r="H12" s="14">
        <f>IF(G12="","",IF(G12&gt;=Нэгтгэл!$K$4,"Хангалттай эзэмшиж байна",IF(G12&gt;=Нэгтгэл!$K$5,"Ахиж байна","Хөгжиж байна")))</f>
        <v/>
      </c>
    </row>
    <row r="13" ht="16" customHeight="1">
      <c r="A13" s="12" t="n">
        <v>7</v>
      </c>
      <c r="B13" s="13" t="inlineStr">
        <is>
          <t>Х-07</t>
        </is>
      </c>
      <c r="C13" s="12">
        <f>IF(COUNT('Бие бялдар'!D13:K13)=0,"",ROUND(COUNTIF('Бие бялдар'!D13:K13,1)/8*100,1))</f>
        <v/>
      </c>
      <c r="D13" s="12">
        <f>IF(COUNT('Нийгэмшихүй, сэтгэл хөдлөл'!D13:H13)=0,"",ROUND(COUNTIF('Нийгэмшихүй, сэтгэл хөдлөл'!D13:H13,1)/5*100,1))</f>
        <v/>
      </c>
      <c r="E13" s="12">
        <f>IF(COUNT('Танин мэдэхүй'!D13:U13)=0,"",ROUND(COUNTIF('Танин мэдэхүй'!D13:U13,1)/18*100,1))</f>
        <v/>
      </c>
      <c r="F13" s="12">
        <f>COUNTIF('Бие бялдар'!D13:K13,1)+COUNTIF('Нийгэмшихүй, сэтгэл хөдлөл'!D13:H13,1)+COUNTIF('Танин мэдэхүй'!D13:U13,1)</f>
        <v/>
      </c>
      <c r="G13" s="12">
        <f>IF((COUNT('Бие бялдар'!D13:K13)+COUNT('Нийгэмшихүй, сэтгэл хөдлөл'!D13:H13)+COUNT('Танин мэдэхүй'!D13:U13))=0,"",ROUND(F13/31*100,1))</f>
        <v/>
      </c>
      <c r="H13" s="14">
        <f>IF(G13="","",IF(G13&gt;=Нэгтгэл!$K$4,"Хангалттай эзэмшиж байна",IF(G13&gt;=Нэгтгэл!$K$5,"Ахиж байна","Хөгжиж байна")))</f>
        <v/>
      </c>
    </row>
    <row r="14" ht="16" customHeight="1">
      <c r="A14" s="12" t="n">
        <v>8</v>
      </c>
      <c r="B14" s="13" t="inlineStr">
        <is>
          <t>Х-08</t>
        </is>
      </c>
      <c r="C14" s="12">
        <f>IF(COUNT('Бие бялдар'!D14:K14)=0,"",ROUND(COUNTIF('Бие бялдар'!D14:K14,1)/8*100,1))</f>
        <v/>
      </c>
      <c r="D14" s="12">
        <f>IF(COUNT('Нийгэмшихүй, сэтгэл хөдлөл'!D14:H14)=0,"",ROUND(COUNTIF('Нийгэмшихүй, сэтгэл хөдлөл'!D14:H14,1)/5*100,1))</f>
        <v/>
      </c>
      <c r="E14" s="12">
        <f>IF(COUNT('Танин мэдэхүй'!D14:U14)=0,"",ROUND(COUNTIF('Танин мэдэхүй'!D14:U14,1)/18*100,1))</f>
        <v/>
      </c>
      <c r="F14" s="12">
        <f>COUNTIF('Бие бялдар'!D14:K14,1)+COUNTIF('Нийгэмшихүй, сэтгэл хөдлөл'!D14:H14,1)+COUNTIF('Танин мэдэхүй'!D14:U14,1)</f>
        <v/>
      </c>
      <c r="G14" s="12">
        <f>IF((COUNT('Бие бялдар'!D14:K14)+COUNT('Нийгэмшихүй, сэтгэл хөдлөл'!D14:H14)+COUNT('Танин мэдэхүй'!D14:U14))=0,"",ROUND(F14/31*100,1))</f>
        <v/>
      </c>
      <c r="H14" s="14">
        <f>IF(G14="","",IF(G14&gt;=Нэгтгэл!$K$4,"Хангалттай эзэмшиж байна",IF(G14&gt;=Нэгтгэл!$K$5,"Ахиж байна","Хөгжиж байна")))</f>
        <v/>
      </c>
    </row>
    <row r="15" ht="16" customHeight="1">
      <c r="A15" s="12" t="n">
        <v>9</v>
      </c>
      <c r="B15" s="13" t="inlineStr">
        <is>
          <t>Х-09</t>
        </is>
      </c>
      <c r="C15" s="12">
        <f>IF(COUNT('Бие бялдар'!D15:K15)=0,"",ROUND(COUNTIF('Бие бялдар'!D15:K15,1)/8*100,1))</f>
        <v/>
      </c>
      <c r="D15" s="12">
        <f>IF(COUNT('Нийгэмшихүй, сэтгэл хөдлөл'!D15:H15)=0,"",ROUND(COUNTIF('Нийгэмшихүй, сэтгэл хөдлөл'!D15:H15,1)/5*100,1))</f>
        <v/>
      </c>
      <c r="E15" s="12">
        <f>IF(COUNT('Танин мэдэхүй'!D15:U15)=0,"",ROUND(COUNTIF('Танин мэдэхүй'!D15:U15,1)/18*100,1))</f>
        <v/>
      </c>
      <c r="F15" s="12">
        <f>COUNTIF('Бие бялдар'!D15:K15,1)+COUNTIF('Нийгэмшихүй, сэтгэл хөдлөл'!D15:H15,1)+COUNTIF('Танин мэдэхүй'!D15:U15,1)</f>
        <v/>
      </c>
      <c r="G15" s="12">
        <f>IF((COUNT('Бие бялдар'!D15:K15)+COUNT('Нийгэмшихүй, сэтгэл хөдлөл'!D15:H15)+COUNT('Танин мэдэхүй'!D15:U15))=0,"",ROUND(F15/31*100,1))</f>
        <v/>
      </c>
      <c r="H15" s="14">
        <f>IF(G15="","",IF(G15&gt;=Нэгтгэл!$K$4,"Хангалттай эзэмшиж байна",IF(G15&gt;=Нэгтгэл!$K$5,"Ахиж байна","Хөгжиж байна")))</f>
        <v/>
      </c>
    </row>
    <row r="16" ht="16" customHeight="1">
      <c r="A16" s="12" t="n">
        <v>10</v>
      </c>
      <c r="B16" s="13" t="inlineStr">
        <is>
          <t>Х-10</t>
        </is>
      </c>
      <c r="C16" s="12">
        <f>IF(COUNT('Бие бялдар'!D16:K16)=0,"",ROUND(COUNTIF('Бие бялдар'!D16:K16,1)/8*100,1))</f>
        <v/>
      </c>
      <c r="D16" s="12">
        <f>IF(COUNT('Нийгэмшихүй, сэтгэл хөдлөл'!D16:H16)=0,"",ROUND(COUNTIF('Нийгэмшихүй, сэтгэл хөдлөл'!D16:H16,1)/5*100,1))</f>
        <v/>
      </c>
      <c r="E16" s="12">
        <f>IF(COUNT('Танин мэдэхүй'!D16:U16)=0,"",ROUND(COUNTIF('Танин мэдэхүй'!D16:U16,1)/18*100,1))</f>
        <v/>
      </c>
      <c r="F16" s="12">
        <f>COUNTIF('Бие бялдар'!D16:K16,1)+COUNTIF('Нийгэмшихүй, сэтгэл хөдлөл'!D16:H16,1)+COUNTIF('Танин мэдэхүй'!D16:U16,1)</f>
        <v/>
      </c>
      <c r="G16" s="12">
        <f>IF((COUNT('Бие бялдар'!D16:K16)+COUNT('Нийгэмшихүй, сэтгэл хөдлөл'!D16:H16)+COUNT('Танин мэдэхүй'!D16:U16))=0,"",ROUND(F16/31*100,1))</f>
        <v/>
      </c>
      <c r="H16" s="14">
        <f>IF(G16="","",IF(G16&gt;=Нэгтгэл!$K$4,"Хангалттай эзэмшиж байна",IF(G16&gt;=Нэгтгэл!$K$5,"Ахиж байна","Хөгжиж байна")))</f>
        <v/>
      </c>
    </row>
    <row r="17" ht="16" customHeight="1">
      <c r="A17" s="12" t="n">
        <v>11</v>
      </c>
      <c r="B17" s="13" t="inlineStr">
        <is>
          <t>Х-11</t>
        </is>
      </c>
      <c r="C17" s="12">
        <f>IF(COUNT('Бие бялдар'!D17:K17)=0,"",ROUND(COUNTIF('Бие бялдар'!D17:K17,1)/8*100,1))</f>
        <v/>
      </c>
      <c r="D17" s="12">
        <f>IF(COUNT('Нийгэмшихүй, сэтгэл хөдлөл'!D17:H17)=0,"",ROUND(COUNTIF('Нийгэмшихүй, сэтгэл хөдлөл'!D17:H17,1)/5*100,1))</f>
        <v/>
      </c>
      <c r="E17" s="12">
        <f>IF(COUNT('Танин мэдэхүй'!D17:U17)=0,"",ROUND(COUNTIF('Танин мэдэхүй'!D17:U17,1)/18*100,1))</f>
        <v/>
      </c>
      <c r="F17" s="12">
        <f>COUNTIF('Бие бялдар'!D17:K17,1)+COUNTIF('Нийгэмшихүй, сэтгэл хөдлөл'!D17:H17,1)+COUNTIF('Танин мэдэхүй'!D17:U17,1)</f>
        <v/>
      </c>
      <c r="G17" s="12">
        <f>IF((COUNT('Бие бялдар'!D17:K17)+COUNT('Нийгэмшихүй, сэтгэл хөдлөл'!D17:H17)+COUNT('Танин мэдэхүй'!D17:U17))=0,"",ROUND(F17/31*100,1))</f>
        <v/>
      </c>
      <c r="H17" s="14">
        <f>IF(G17="","",IF(G17&gt;=Нэгтгэл!$K$4,"Хангалттай эзэмшиж байна",IF(G17&gt;=Нэгтгэл!$K$5,"Ахиж байна","Хөгжиж байна")))</f>
        <v/>
      </c>
    </row>
    <row r="18" ht="16" customHeight="1">
      <c r="A18" s="12" t="n">
        <v>12</v>
      </c>
      <c r="B18" s="13" t="inlineStr">
        <is>
          <t>Х-12</t>
        </is>
      </c>
      <c r="C18" s="12">
        <f>IF(COUNT('Бие бялдар'!D18:K18)=0,"",ROUND(COUNTIF('Бие бялдар'!D18:K18,1)/8*100,1))</f>
        <v/>
      </c>
      <c r="D18" s="12">
        <f>IF(COUNT('Нийгэмшихүй, сэтгэл хөдлөл'!D18:H18)=0,"",ROUND(COUNTIF('Нийгэмшихүй, сэтгэл хөдлөл'!D18:H18,1)/5*100,1))</f>
        <v/>
      </c>
      <c r="E18" s="12">
        <f>IF(COUNT('Танин мэдэхүй'!D18:U18)=0,"",ROUND(COUNTIF('Танин мэдэхүй'!D18:U18,1)/18*100,1))</f>
        <v/>
      </c>
      <c r="F18" s="12">
        <f>COUNTIF('Бие бялдар'!D18:K18,1)+COUNTIF('Нийгэмшихүй, сэтгэл хөдлөл'!D18:H18,1)+COUNTIF('Танин мэдэхүй'!D18:U18,1)</f>
        <v/>
      </c>
      <c r="G18" s="12">
        <f>IF((COUNT('Бие бялдар'!D18:K18)+COUNT('Нийгэмшихүй, сэтгэл хөдлөл'!D18:H18)+COUNT('Танин мэдэхүй'!D18:U18))=0,"",ROUND(F18/31*100,1))</f>
        <v/>
      </c>
      <c r="H18" s="14">
        <f>IF(G18="","",IF(G18&gt;=Нэгтгэл!$K$4,"Хангалттай эзэмшиж байна",IF(G18&gt;=Нэгтгэл!$K$5,"Ахиж байна","Хөгжиж байна")))</f>
        <v/>
      </c>
    </row>
    <row r="19" ht="16" customHeight="1">
      <c r="A19" s="12" t="n">
        <v>13</v>
      </c>
      <c r="B19" s="13" t="inlineStr">
        <is>
          <t>Х-13</t>
        </is>
      </c>
      <c r="C19" s="12">
        <f>IF(COUNT('Бие бялдар'!D19:K19)=0,"",ROUND(COUNTIF('Бие бялдар'!D19:K19,1)/8*100,1))</f>
        <v/>
      </c>
      <c r="D19" s="12">
        <f>IF(COUNT('Нийгэмшихүй, сэтгэл хөдлөл'!D19:H19)=0,"",ROUND(COUNTIF('Нийгэмшихүй, сэтгэл хөдлөл'!D19:H19,1)/5*100,1))</f>
        <v/>
      </c>
      <c r="E19" s="12">
        <f>IF(COUNT('Танин мэдэхүй'!D19:U19)=0,"",ROUND(COUNTIF('Танин мэдэхүй'!D19:U19,1)/18*100,1))</f>
        <v/>
      </c>
      <c r="F19" s="12">
        <f>COUNTIF('Бие бялдар'!D19:K19,1)+COUNTIF('Нийгэмшихүй, сэтгэл хөдлөл'!D19:H19,1)+COUNTIF('Танин мэдэхүй'!D19:U19,1)</f>
        <v/>
      </c>
      <c r="G19" s="12">
        <f>IF((COUNT('Бие бялдар'!D19:K19)+COUNT('Нийгэмшихүй, сэтгэл хөдлөл'!D19:H19)+COUNT('Танин мэдэхүй'!D19:U19))=0,"",ROUND(F19/31*100,1))</f>
        <v/>
      </c>
      <c r="H19" s="14">
        <f>IF(G19="","",IF(G19&gt;=Нэгтгэл!$K$4,"Хангалттай эзэмшиж байна",IF(G19&gt;=Нэгтгэл!$K$5,"Ахиж байна","Хөгжиж байна")))</f>
        <v/>
      </c>
    </row>
    <row r="20" ht="16" customHeight="1">
      <c r="A20" s="12" t="n">
        <v>14</v>
      </c>
      <c r="B20" s="13" t="inlineStr">
        <is>
          <t>Х-14</t>
        </is>
      </c>
      <c r="C20" s="12">
        <f>IF(COUNT('Бие бялдар'!D20:K20)=0,"",ROUND(COUNTIF('Бие бялдар'!D20:K20,1)/8*100,1))</f>
        <v/>
      </c>
      <c r="D20" s="12">
        <f>IF(COUNT('Нийгэмшихүй, сэтгэл хөдлөл'!D20:H20)=0,"",ROUND(COUNTIF('Нийгэмшихүй, сэтгэл хөдлөл'!D20:H20,1)/5*100,1))</f>
        <v/>
      </c>
      <c r="E20" s="12">
        <f>IF(COUNT('Танин мэдэхүй'!D20:U20)=0,"",ROUND(COUNTIF('Танин мэдэхүй'!D20:U20,1)/18*100,1))</f>
        <v/>
      </c>
      <c r="F20" s="12">
        <f>COUNTIF('Бие бялдар'!D20:K20,1)+COUNTIF('Нийгэмшихүй, сэтгэл хөдлөл'!D20:H20,1)+COUNTIF('Танин мэдэхүй'!D20:U20,1)</f>
        <v/>
      </c>
      <c r="G20" s="12">
        <f>IF((COUNT('Бие бялдар'!D20:K20)+COUNT('Нийгэмшихүй, сэтгэл хөдлөл'!D20:H20)+COUNT('Танин мэдэхүй'!D20:U20))=0,"",ROUND(F20/31*100,1))</f>
        <v/>
      </c>
      <c r="H20" s="14">
        <f>IF(G20="","",IF(G20&gt;=Нэгтгэл!$K$4,"Хангалттай эзэмшиж байна",IF(G20&gt;=Нэгтгэл!$K$5,"Ахиж байна","Хөгжиж байна")))</f>
        <v/>
      </c>
    </row>
    <row r="21" ht="16" customHeight="1">
      <c r="A21" s="12" t="n">
        <v>15</v>
      </c>
      <c r="B21" s="13" t="inlineStr">
        <is>
          <t>Х-15</t>
        </is>
      </c>
      <c r="C21" s="12">
        <f>IF(COUNT('Бие бялдар'!D21:K21)=0,"",ROUND(COUNTIF('Бие бялдар'!D21:K21,1)/8*100,1))</f>
        <v/>
      </c>
      <c r="D21" s="12">
        <f>IF(COUNT('Нийгэмшихүй, сэтгэл хөдлөл'!D21:H21)=0,"",ROUND(COUNTIF('Нийгэмшихүй, сэтгэл хөдлөл'!D21:H21,1)/5*100,1))</f>
        <v/>
      </c>
      <c r="E21" s="12">
        <f>IF(COUNT('Танин мэдэхүй'!D21:U21)=0,"",ROUND(COUNTIF('Танин мэдэхүй'!D21:U21,1)/18*100,1))</f>
        <v/>
      </c>
      <c r="F21" s="12">
        <f>COUNTIF('Бие бялдар'!D21:K21,1)+COUNTIF('Нийгэмшихүй, сэтгэл хөдлөл'!D21:H21,1)+COUNTIF('Танин мэдэхүй'!D21:U21,1)</f>
        <v/>
      </c>
      <c r="G21" s="12">
        <f>IF((COUNT('Бие бялдар'!D21:K21)+COUNT('Нийгэмшихүй, сэтгэл хөдлөл'!D21:H21)+COUNT('Танин мэдэхүй'!D21:U21))=0,"",ROUND(F21/31*100,1))</f>
        <v/>
      </c>
      <c r="H21" s="14">
        <f>IF(G21="","",IF(G21&gt;=Нэгтгэл!$K$4,"Хангалттай эзэмшиж байна",IF(G21&gt;=Нэгтгэл!$K$5,"Ахиж байна","Хөгжиж байна")))</f>
        <v/>
      </c>
    </row>
    <row r="22" ht="16" customHeight="1">
      <c r="A22" s="12" t="n">
        <v>16</v>
      </c>
      <c r="B22" s="13" t="inlineStr">
        <is>
          <t>Х-16</t>
        </is>
      </c>
      <c r="C22" s="12">
        <f>IF(COUNT('Бие бялдар'!D22:K22)=0,"",ROUND(COUNTIF('Бие бялдар'!D22:K22,1)/8*100,1))</f>
        <v/>
      </c>
      <c r="D22" s="12">
        <f>IF(COUNT('Нийгэмшихүй, сэтгэл хөдлөл'!D22:H22)=0,"",ROUND(COUNTIF('Нийгэмшихүй, сэтгэл хөдлөл'!D22:H22,1)/5*100,1))</f>
        <v/>
      </c>
      <c r="E22" s="12">
        <f>IF(COUNT('Танин мэдэхүй'!D22:U22)=0,"",ROUND(COUNTIF('Танин мэдэхүй'!D22:U22,1)/18*100,1))</f>
        <v/>
      </c>
      <c r="F22" s="12">
        <f>COUNTIF('Бие бялдар'!D22:K22,1)+COUNTIF('Нийгэмшихүй, сэтгэл хөдлөл'!D22:H22,1)+COUNTIF('Танин мэдэхүй'!D22:U22,1)</f>
        <v/>
      </c>
      <c r="G22" s="12">
        <f>IF((COUNT('Бие бялдар'!D22:K22)+COUNT('Нийгэмшихүй, сэтгэл хөдлөл'!D22:H22)+COUNT('Танин мэдэхүй'!D22:U22))=0,"",ROUND(F22/31*100,1))</f>
        <v/>
      </c>
      <c r="H22" s="14">
        <f>IF(G22="","",IF(G22&gt;=Нэгтгэл!$K$4,"Хангалттай эзэмшиж байна",IF(G22&gt;=Нэгтгэл!$K$5,"Ахиж байна","Хөгжиж байна")))</f>
        <v/>
      </c>
    </row>
    <row r="23" ht="16" customHeight="1">
      <c r="A23" s="12" t="n">
        <v>17</v>
      </c>
      <c r="B23" s="13" t="inlineStr">
        <is>
          <t>Х-17</t>
        </is>
      </c>
      <c r="C23" s="12">
        <f>IF(COUNT('Бие бялдар'!D23:K23)=0,"",ROUND(COUNTIF('Бие бялдар'!D23:K23,1)/8*100,1))</f>
        <v/>
      </c>
      <c r="D23" s="12">
        <f>IF(COUNT('Нийгэмшихүй, сэтгэл хөдлөл'!D23:H23)=0,"",ROUND(COUNTIF('Нийгэмшихүй, сэтгэл хөдлөл'!D23:H23,1)/5*100,1))</f>
        <v/>
      </c>
      <c r="E23" s="12">
        <f>IF(COUNT('Танин мэдэхүй'!D23:U23)=0,"",ROUND(COUNTIF('Танин мэдэхүй'!D23:U23,1)/18*100,1))</f>
        <v/>
      </c>
      <c r="F23" s="12">
        <f>COUNTIF('Бие бялдар'!D23:K23,1)+COUNTIF('Нийгэмшихүй, сэтгэл хөдлөл'!D23:H23,1)+COUNTIF('Танин мэдэхүй'!D23:U23,1)</f>
        <v/>
      </c>
      <c r="G23" s="12">
        <f>IF((COUNT('Бие бялдар'!D23:K23)+COUNT('Нийгэмшихүй, сэтгэл хөдлөл'!D23:H23)+COUNT('Танин мэдэхүй'!D23:U23))=0,"",ROUND(F23/31*100,1))</f>
        <v/>
      </c>
      <c r="H23" s="14">
        <f>IF(G23="","",IF(G23&gt;=Нэгтгэл!$K$4,"Хангалттай эзэмшиж байна",IF(G23&gt;=Нэгтгэл!$K$5,"Ахиж байна","Хөгжиж байна")))</f>
        <v/>
      </c>
    </row>
    <row r="24" ht="16" customHeight="1">
      <c r="A24" s="12" t="n">
        <v>18</v>
      </c>
      <c r="B24" s="13" t="inlineStr">
        <is>
          <t>Х-18</t>
        </is>
      </c>
      <c r="C24" s="12">
        <f>IF(COUNT('Бие бялдар'!D24:K24)=0,"",ROUND(COUNTIF('Бие бялдар'!D24:K24,1)/8*100,1))</f>
        <v/>
      </c>
      <c r="D24" s="12">
        <f>IF(COUNT('Нийгэмшихүй, сэтгэл хөдлөл'!D24:H24)=0,"",ROUND(COUNTIF('Нийгэмшихүй, сэтгэл хөдлөл'!D24:H24,1)/5*100,1))</f>
        <v/>
      </c>
      <c r="E24" s="12">
        <f>IF(COUNT('Танин мэдэхүй'!D24:U24)=0,"",ROUND(COUNTIF('Танин мэдэхүй'!D24:U24,1)/18*100,1))</f>
        <v/>
      </c>
      <c r="F24" s="12">
        <f>COUNTIF('Бие бялдар'!D24:K24,1)+COUNTIF('Нийгэмшихүй, сэтгэл хөдлөл'!D24:H24,1)+COUNTIF('Танин мэдэхүй'!D24:U24,1)</f>
        <v/>
      </c>
      <c r="G24" s="12">
        <f>IF((COUNT('Бие бялдар'!D24:K24)+COUNT('Нийгэмшихүй, сэтгэл хөдлөл'!D24:H24)+COUNT('Танин мэдэхүй'!D24:U24))=0,"",ROUND(F24/31*100,1))</f>
        <v/>
      </c>
      <c r="H24" s="14">
        <f>IF(G24="","",IF(G24&gt;=Нэгтгэл!$K$4,"Хангалттай эзэмшиж байна",IF(G24&gt;=Нэгтгэл!$K$5,"Ахиж байна","Хөгжиж байна")))</f>
        <v/>
      </c>
    </row>
    <row r="25" ht="16" customHeight="1">
      <c r="A25" s="12" t="n">
        <v>19</v>
      </c>
      <c r="B25" s="13" t="inlineStr">
        <is>
          <t>Х-19</t>
        </is>
      </c>
      <c r="C25" s="12">
        <f>IF(COUNT('Бие бялдар'!D25:K25)=0,"",ROUND(COUNTIF('Бие бялдар'!D25:K25,1)/8*100,1))</f>
        <v/>
      </c>
      <c r="D25" s="12">
        <f>IF(COUNT('Нийгэмшихүй, сэтгэл хөдлөл'!D25:H25)=0,"",ROUND(COUNTIF('Нийгэмшихүй, сэтгэл хөдлөл'!D25:H25,1)/5*100,1))</f>
        <v/>
      </c>
      <c r="E25" s="12">
        <f>IF(COUNT('Танин мэдэхүй'!D25:U25)=0,"",ROUND(COUNTIF('Танин мэдэхүй'!D25:U25,1)/18*100,1))</f>
        <v/>
      </c>
      <c r="F25" s="12">
        <f>COUNTIF('Бие бялдар'!D25:K25,1)+COUNTIF('Нийгэмшихүй, сэтгэл хөдлөл'!D25:H25,1)+COUNTIF('Танин мэдэхүй'!D25:U25,1)</f>
        <v/>
      </c>
      <c r="G25" s="12">
        <f>IF((COUNT('Бие бялдар'!D25:K25)+COUNT('Нийгэмшихүй, сэтгэл хөдлөл'!D25:H25)+COUNT('Танин мэдэхүй'!D25:U25))=0,"",ROUND(F25/31*100,1))</f>
        <v/>
      </c>
      <c r="H25" s="14">
        <f>IF(G25="","",IF(G25&gt;=Нэгтгэл!$K$4,"Хангалттай эзэмшиж байна",IF(G25&gt;=Нэгтгэл!$K$5,"Ахиж байна","Хөгжиж байна")))</f>
        <v/>
      </c>
    </row>
    <row r="26" ht="16" customHeight="1">
      <c r="A26" s="12" t="n">
        <v>20</v>
      </c>
      <c r="B26" s="13" t="inlineStr">
        <is>
          <t>Х-20</t>
        </is>
      </c>
      <c r="C26" s="12">
        <f>IF(COUNT('Бие бялдар'!D26:K26)=0,"",ROUND(COUNTIF('Бие бялдар'!D26:K26,1)/8*100,1))</f>
        <v/>
      </c>
      <c r="D26" s="12">
        <f>IF(COUNT('Нийгэмшихүй, сэтгэл хөдлөл'!D26:H26)=0,"",ROUND(COUNTIF('Нийгэмшихүй, сэтгэл хөдлөл'!D26:H26,1)/5*100,1))</f>
        <v/>
      </c>
      <c r="E26" s="12">
        <f>IF(COUNT('Танин мэдэхүй'!D26:U26)=0,"",ROUND(COUNTIF('Танин мэдэхүй'!D26:U26,1)/18*100,1))</f>
        <v/>
      </c>
      <c r="F26" s="12">
        <f>COUNTIF('Бие бялдар'!D26:K26,1)+COUNTIF('Нийгэмшихүй, сэтгэл хөдлөл'!D26:H26,1)+COUNTIF('Танин мэдэхүй'!D26:U26,1)</f>
        <v/>
      </c>
      <c r="G26" s="12">
        <f>IF((COUNT('Бие бялдар'!D26:K26)+COUNT('Нийгэмшихүй, сэтгэл хөдлөл'!D26:H26)+COUNT('Танин мэдэхүй'!D26:U26))=0,"",ROUND(F26/31*100,1))</f>
        <v/>
      </c>
      <c r="H26" s="14">
        <f>IF(G26="","",IF(G26&gt;=Нэгтгэл!$K$4,"Хангалттай эзэмшиж байна",IF(G26&gt;=Нэгтгэл!$K$5,"Ахиж байна","Хөгжиж байна")))</f>
        <v/>
      </c>
    </row>
    <row r="27" ht="16" customHeight="1">
      <c r="A27" s="12" t="n">
        <v>21</v>
      </c>
      <c r="B27" s="13" t="inlineStr">
        <is>
          <t>Х-21</t>
        </is>
      </c>
      <c r="C27" s="12">
        <f>IF(COUNT('Бие бялдар'!D27:K27)=0,"",ROUND(COUNTIF('Бие бялдар'!D27:K27,1)/8*100,1))</f>
        <v/>
      </c>
      <c r="D27" s="12">
        <f>IF(COUNT('Нийгэмшихүй, сэтгэл хөдлөл'!D27:H27)=0,"",ROUND(COUNTIF('Нийгэмшихүй, сэтгэл хөдлөл'!D27:H27,1)/5*100,1))</f>
        <v/>
      </c>
      <c r="E27" s="12">
        <f>IF(COUNT('Танин мэдэхүй'!D27:U27)=0,"",ROUND(COUNTIF('Танин мэдэхүй'!D27:U27,1)/18*100,1))</f>
        <v/>
      </c>
      <c r="F27" s="12">
        <f>COUNTIF('Бие бялдар'!D27:K27,1)+COUNTIF('Нийгэмшихүй, сэтгэл хөдлөл'!D27:H27,1)+COUNTIF('Танин мэдэхүй'!D27:U27,1)</f>
        <v/>
      </c>
      <c r="G27" s="12">
        <f>IF((COUNT('Бие бялдар'!D27:K27)+COUNT('Нийгэмшихүй, сэтгэл хөдлөл'!D27:H27)+COUNT('Танин мэдэхүй'!D27:U27))=0,"",ROUND(F27/31*100,1))</f>
        <v/>
      </c>
      <c r="H27" s="14">
        <f>IF(G27="","",IF(G27&gt;=Нэгтгэл!$K$4,"Хангалттай эзэмшиж байна",IF(G27&gt;=Нэгтгэл!$K$5,"Ахиж байна","Хөгжиж байна")))</f>
        <v/>
      </c>
    </row>
    <row r="28" ht="16" customHeight="1">
      <c r="A28" s="12" t="n">
        <v>22</v>
      </c>
      <c r="B28" s="13" t="inlineStr">
        <is>
          <t>Х-22</t>
        </is>
      </c>
      <c r="C28" s="12">
        <f>IF(COUNT('Бие бялдар'!D28:K28)=0,"",ROUND(COUNTIF('Бие бялдар'!D28:K28,1)/8*100,1))</f>
        <v/>
      </c>
      <c r="D28" s="12">
        <f>IF(COUNT('Нийгэмшихүй, сэтгэл хөдлөл'!D28:H28)=0,"",ROUND(COUNTIF('Нийгэмшихүй, сэтгэл хөдлөл'!D28:H28,1)/5*100,1))</f>
        <v/>
      </c>
      <c r="E28" s="12">
        <f>IF(COUNT('Танин мэдэхүй'!D28:U28)=0,"",ROUND(COUNTIF('Танин мэдэхүй'!D28:U28,1)/18*100,1))</f>
        <v/>
      </c>
      <c r="F28" s="12">
        <f>COUNTIF('Бие бялдар'!D28:K28,1)+COUNTIF('Нийгэмшихүй, сэтгэл хөдлөл'!D28:H28,1)+COUNTIF('Танин мэдэхүй'!D28:U28,1)</f>
        <v/>
      </c>
      <c r="G28" s="12">
        <f>IF((COUNT('Бие бялдар'!D28:K28)+COUNT('Нийгэмшихүй, сэтгэл хөдлөл'!D28:H28)+COUNT('Танин мэдэхүй'!D28:U28))=0,"",ROUND(F28/31*100,1))</f>
        <v/>
      </c>
      <c r="H28" s="14">
        <f>IF(G28="","",IF(G28&gt;=Нэгтгэл!$K$4,"Хангалттай эзэмшиж байна",IF(G28&gt;=Нэгтгэл!$K$5,"Ахиж байна","Хөгжиж байна")))</f>
        <v/>
      </c>
    </row>
    <row r="29" ht="16" customHeight="1">
      <c r="A29" s="12" t="n">
        <v>23</v>
      </c>
      <c r="B29" s="13" t="inlineStr">
        <is>
          <t>Х-23</t>
        </is>
      </c>
      <c r="C29" s="12">
        <f>IF(COUNT('Бие бялдар'!D29:K29)=0,"",ROUND(COUNTIF('Бие бялдар'!D29:K29,1)/8*100,1))</f>
        <v/>
      </c>
      <c r="D29" s="12">
        <f>IF(COUNT('Нийгэмшихүй, сэтгэл хөдлөл'!D29:H29)=0,"",ROUND(COUNTIF('Нийгэмшихүй, сэтгэл хөдлөл'!D29:H29,1)/5*100,1))</f>
        <v/>
      </c>
      <c r="E29" s="12">
        <f>IF(COUNT('Танин мэдэхүй'!D29:U29)=0,"",ROUND(COUNTIF('Танин мэдэхүй'!D29:U29,1)/18*100,1))</f>
        <v/>
      </c>
      <c r="F29" s="12">
        <f>COUNTIF('Бие бялдар'!D29:K29,1)+COUNTIF('Нийгэмшихүй, сэтгэл хөдлөл'!D29:H29,1)+COUNTIF('Танин мэдэхүй'!D29:U29,1)</f>
        <v/>
      </c>
      <c r="G29" s="12">
        <f>IF((COUNT('Бие бялдар'!D29:K29)+COUNT('Нийгэмшихүй, сэтгэл хөдлөл'!D29:H29)+COUNT('Танин мэдэхүй'!D29:U29))=0,"",ROUND(F29/31*100,1))</f>
        <v/>
      </c>
      <c r="H29" s="14">
        <f>IF(G29="","",IF(G29&gt;=Нэгтгэл!$K$4,"Хангалттай эзэмшиж байна",IF(G29&gt;=Нэгтгэл!$K$5,"Ахиж байна","Хөгжиж байна")))</f>
        <v/>
      </c>
    </row>
    <row r="30" ht="16" customHeight="1">
      <c r="A30" s="12" t="n">
        <v>24</v>
      </c>
      <c r="B30" s="13" t="inlineStr">
        <is>
          <t>Х-24</t>
        </is>
      </c>
      <c r="C30" s="12">
        <f>IF(COUNT('Бие бялдар'!D30:K30)=0,"",ROUND(COUNTIF('Бие бялдар'!D30:K30,1)/8*100,1))</f>
        <v/>
      </c>
      <c r="D30" s="12">
        <f>IF(COUNT('Нийгэмшихүй, сэтгэл хөдлөл'!D30:H30)=0,"",ROUND(COUNTIF('Нийгэмшихүй, сэтгэл хөдлөл'!D30:H30,1)/5*100,1))</f>
        <v/>
      </c>
      <c r="E30" s="12">
        <f>IF(COUNT('Танин мэдэхүй'!D30:U30)=0,"",ROUND(COUNTIF('Танин мэдэхүй'!D30:U30,1)/18*100,1))</f>
        <v/>
      </c>
      <c r="F30" s="12">
        <f>COUNTIF('Бие бялдар'!D30:K30,1)+COUNTIF('Нийгэмшихүй, сэтгэл хөдлөл'!D30:H30,1)+COUNTIF('Танин мэдэхүй'!D30:U30,1)</f>
        <v/>
      </c>
      <c r="G30" s="12">
        <f>IF((COUNT('Бие бялдар'!D30:K30)+COUNT('Нийгэмшихүй, сэтгэл хөдлөл'!D30:H30)+COUNT('Танин мэдэхүй'!D30:U30))=0,"",ROUND(F30/31*100,1))</f>
        <v/>
      </c>
      <c r="H30" s="14">
        <f>IF(G30="","",IF(G30&gt;=Нэгтгэл!$K$4,"Хангалттай эзэмшиж байна",IF(G30&gt;=Нэгтгэл!$K$5,"Ахиж байна","Хөгжиж байна")))</f>
        <v/>
      </c>
    </row>
    <row r="31" ht="16" customHeight="1">
      <c r="A31" s="12" t="n">
        <v>25</v>
      </c>
      <c r="B31" s="13" t="inlineStr">
        <is>
          <t>Х-25</t>
        </is>
      </c>
      <c r="C31" s="12">
        <f>IF(COUNT('Бие бялдар'!D31:K31)=0,"",ROUND(COUNTIF('Бие бялдар'!D31:K31,1)/8*100,1))</f>
        <v/>
      </c>
      <c r="D31" s="12">
        <f>IF(COUNT('Нийгэмшихүй, сэтгэл хөдлөл'!D31:H31)=0,"",ROUND(COUNTIF('Нийгэмшихүй, сэтгэл хөдлөл'!D31:H31,1)/5*100,1))</f>
        <v/>
      </c>
      <c r="E31" s="12">
        <f>IF(COUNT('Танин мэдэхүй'!D31:U31)=0,"",ROUND(COUNTIF('Танин мэдэхүй'!D31:U31,1)/18*100,1))</f>
        <v/>
      </c>
      <c r="F31" s="12">
        <f>COUNTIF('Бие бялдар'!D31:K31,1)+COUNTIF('Нийгэмшихүй, сэтгэл хөдлөл'!D31:H31,1)+COUNTIF('Танин мэдэхүй'!D31:U31,1)</f>
        <v/>
      </c>
      <c r="G31" s="12">
        <f>IF((COUNT('Бие бялдар'!D31:K31)+COUNT('Нийгэмшихүй, сэтгэл хөдлөл'!D31:H31)+COUNT('Танин мэдэхүй'!D31:U31))=0,"",ROUND(F31/31*100,1))</f>
        <v/>
      </c>
      <c r="H31" s="14">
        <f>IF(G31="","",IF(G31&gt;=Нэгтгэл!$K$4,"Хангалттай эзэмшиж байна",IF(G31&gt;=Нэгтгэл!$K$5,"Ахиж байна","Хөгжиж байна")))</f>
        <v/>
      </c>
    </row>
    <row r="32" ht="16" customHeight="1">
      <c r="A32" s="12" t="n">
        <v>26</v>
      </c>
      <c r="B32" s="13" t="inlineStr">
        <is>
          <t>Х-26</t>
        </is>
      </c>
      <c r="C32" s="12">
        <f>IF(COUNT('Бие бялдар'!D32:K32)=0,"",ROUND(COUNTIF('Бие бялдар'!D32:K32,1)/8*100,1))</f>
        <v/>
      </c>
      <c r="D32" s="12">
        <f>IF(COUNT('Нийгэмшихүй, сэтгэл хөдлөл'!D32:H32)=0,"",ROUND(COUNTIF('Нийгэмшихүй, сэтгэл хөдлөл'!D32:H32,1)/5*100,1))</f>
        <v/>
      </c>
      <c r="E32" s="12">
        <f>IF(COUNT('Танин мэдэхүй'!D32:U32)=0,"",ROUND(COUNTIF('Танин мэдэхүй'!D32:U32,1)/18*100,1))</f>
        <v/>
      </c>
      <c r="F32" s="12">
        <f>COUNTIF('Бие бялдар'!D32:K32,1)+COUNTIF('Нийгэмшихүй, сэтгэл хөдлөл'!D32:H32,1)+COUNTIF('Танин мэдэхүй'!D32:U32,1)</f>
        <v/>
      </c>
      <c r="G32" s="12">
        <f>IF((COUNT('Бие бялдар'!D32:K32)+COUNT('Нийгэмшихүй, сэтгэл хөдлөл'!D32:H32)+COUNT('Танин мэдэхүй'!D32:U32))=0,"",ROUND(F32/31*100,1))</f>
        <v/>
      </c>
      <c r="H32" s="14">
        <f>IF(G32="","",IF(G32&gt;=Нэгтгэл!$K$4,"Хангалттай эзэмшиж байна",IF(G32&gt;=Нэгтгэл!$K$5,"Ахиж байна","Хөгжиж байна")))</f>
        <v/>
      </c>
    </row>
    <row r="33" ht="16" customHeight="1">
      <c r="A33" s="12" t="n">
        <v>27</v>
      </c>
      <c r="B33" s="13" t="inlineStr">
        <is>
          <t>Х-27</t>
        </is>
      </c>
      <c r="C33" s="12">
        <f>IF(COUNT('Бие бялдар'!D33:K33)=0,"",ROUND(COUNTIF('Бие бялдар'!D33:K33,1)/8*100,1))</f>
        <v/>
      </c>
      <c r="D33" s="12">
        <f>IF(COUNT('Нийгэмшихүй, сэтгэл хөдлөл'!D33:H33)=0,"",ROUND(COUNTIF('Нийгэмшихүй, сэтгэл хөдлөл'!D33:H33,1)/5*100,1))</f>
        <v/>
      </c>
      <c r="E33" s="12">
        <f>IF(COUNT('Танин мэдэхүй'!D33:U33)=0,"",ROUND(COUNTIF('Танин мэдэхүй'!D33:U33,1)/18*100,1))</f>
        <v/>
      </c>
      <c r="F33" s="12">
        <f>COUNTIF('Бие бялдар'!D33:K33,1)+COUNTIF('Нийгэмшихүй, сэтгэл хөдлөл'!D33:H33,1)+COUNTIF('Танин мэдэхүй'!D33:U33,1)</f>
        <v/>
      </c>
      <c r="G33" s="12">
        <f>IF((COUNT('Бие бялдар'!D33:K33)+COUNT('Нийгэмшихүй, сэтгэл хөдлөл'!D33:H33)+COUNT('Танин мэдэхүй'!D33:U33))=0,"",ROUND(F33/31*100,1))</f>
        <v/>
      </c>
      <c r="H33" s="14">
        <f>IF(G33="","",IF(G33&gt;=Нэгтгэл!$K$4,"Хангалттай эзэмшиж байна",IF(G33&gt;=Нэгтгэл!$K$5,"Ахиж байна","Хөгжиж байна")))</f>
        <v/>
      </c>
    </row>
    <row r="34" ht="16" customHeight="1">
      <c r="A34" s="12" t="n">
        <v>28</v>
      </c>
      <c r="B34" s="13" t="inlineStr">
        <is>
          <t>Х-28</t>
        </is>
      </c>
      <c r="C34" s="12">
        <f>IF(COUNT('Бие бялдар'!D34:K34)=0,"",ROUND(COUNTIF('Бие бялдар'!D34:K34,1)/8*100,1))</f>
        <v/>
      </c>
      <c r="D34" s="12">
        <f>IF(COUNT('Нийгэмшихүй, сэтгэл хөдлөл'!D34:H34)=0,"",ROUND(COUNTIF('Нийгэмшихүй, сэтгэл хөдлөл'!D34:H34,1)/5*100,1))</f>
        <v/>
      </c>
      <c r="E34" s="12">
        <f>IF(COUNT('Танин мэдэхүй'!D34:U34)=0,"",ROUND(COUNTIF('Танин мэдэхүй'!D34:U34,1)/18*100,1))</f>
        <v/>
      </c>
      <c r="F34" s="12">
        <f>COUNTIF('Бие бялдар'!D34:K34,1)+COUNTIF('Нийгэмшихүй, сэтгэл хөдлөл'!D34:H34,1)+COUNTIF('Танин мэдэхүй'!D34:U34,1)</f>
        <v/>
      </c>
      <c r="G34" s="12">
        <f>IF((COUNT('Бие бялдар'!D34:K34)+COUNT('Нийгэмшихүй, сэтгэл хөдлөл'!D34:H34)+COUNT('Танин мэдэхүй'!D34:U34))=0,"",ROUND(F34/31*100,1))</f>
        <v/>
      </c>
      <c r="H34" s="14">
        <f>IF(G34="","",IF(G34&gt;=Нэгтгэл!$K$4,"Хангалттай эзэмшиж байна",IF(G34&gt;=Нэгтгэл!$K$5,"Ахиж байна","Хөгжиж байна")))</f>
        <v/>
      </c>
    </row>
    <row r="35" ht="16" customHeight="1">
      <c r="A35" s="12" t="n">
        <v>29</v>
      </c>
      <c r="B35" s="13" t="inlineStr">
        <is>
          <t>Х-29</t>
        </is>
      </c>
      <c r="C35" s="12">
        <f>IF(COUNT('Бие бялдар'!D35:K35)=0,"",ROUND(COUNTIF('Бие бялдар'!D35:K35,1)/8*100,1))</f>
        <v/>
      </c>
      <c r="D35" s="12">
        <f>IF(COUNT('Нийгэмшихүй, сэтгэл хөдлөл'!D35:H35)=0,"",ROUND(COUNTIF('Нийгэмшихүй, сэтгэл хөдлөл'!D35:H35,1)/5*100,1))</f>
        <v/>
      </c>
      <c r="E35" s="12">
        <f>IF(COUNT('Танин мэдэхүй'!D35:U35)=0,"",ROUND(COUNTIF('Танин мэдэхүй'!D35:U35,1)/18*100,1))</f>
        <v/>
      </c>
      <c r="F35" s="12">
        <f>COUNTIF('Бие бялдар'!D35:K35,1)+COUNTIF('Нийгэмшихүй, сэтгэл хөдлөл'!D35:H35,1)+COUNTIF('Танин мэдэхүй'!D35:U35,1)</f>
        <v/>
      </c>
      <c r="G35" s="12">
        <f>IF((COUNT('Бие бялдар'!D35:K35)+COUNT('Нийгэмшихүй, сэтгэл хөдлөл'!D35:H35)+COUNT('Танин мэдэхүй'!D35:U35))=0,"",ROUND(F35/31*100,1))</f>
        <v/>
      </c>
      <c r="H35" s="14">
        <f>IF(G35="","",IF(G35&gt;=Нэгтгэл!$K$4,"Хангалттай эзэмшиж байна",IF(G35&gt;=Нэгтгэл!$K$5,"Ахиж байна","Хөгжиж байна")))</f>
        <v/>
      </c>
    </row>
    <row r="36" ht="16" customHeight="1">
      <c r="A36" s="12" t="n">
        <v>30</v>
      </c>
      <c r="B36" s="13" t="inlineStr">
        <is>
          <t>Х-30</t>
        </is>
      </c>
      <c r="C36" s="12">
        <f>IF(COUNT('Бие бялдар'!D36:K36)=0,"",ROUND(COUNTIF('Бие бялдар'!D36:K36,1)/8*100,1))</f>
        <v/>
      </c>
      <c r="D36" s="12">
        <f>IF(COUNT('Нийгэмшихүй, сэтгэл хөдлөл'!D36:H36)=0,"",ROUND(COUNTIF('Нийгэмшихүй, сэтгэл хөдлөл'!D36:H36,1)/5*100,1))</f>
        <v/>
      </c>
      <c r="E36" s="12">
        <f>IF(COUNT('Танин мэдэхүй'!D36:U36)=0,"",ROUND(COUNTIF('Танин мэдэхүй'!D36:U36,1)/18*100,1))</f>
        <v/>
      </c>
      <c r="F36" s="12">
        <f>COUNTIF('Бие бялдар'!D36:K36,1)+COUNTIF('Нийгэмшихүй, сэтгэл хөдлөл'!D36:H36,1)+COUNTIF('Танин мэдэхүй'!D36:U36,1)</f>
        <v/>
      </c>
      <c r="G36" s="12">
        <f>IF((COUNT('Бие бялдар'!D36:K36)+COUNT('Нийгэмшихүй, сэтгэл хөдлөл'!D36:H36)+COUNT('Танин мэдэхүй'!D36:U36))=0,"",ROUND(F36/31*100,1))</f>
        <v/>
      </c>
      <c r="H36" s="14">
        <f>IF(G36="","",IF(G36&gt;=Нэгтгэл!$K$4,"Хангалттай эзэмшиж байна",IF(G36&gt;=Нэгтгэл!$K$5,"Ахиж байна","Хөгжиж байна")))</f>
        <v/>
      </c>
    </row>
    <row r="37" ht="16" customHeight="1">
      <c r="A37" s="12" t="n">
        <v>31</v>
      </c>
      <c r="B37" s="13" t="inlineStr">
        <is>
          <t>Х-31</t>
        </is>
      </c>
      <c r="C37" s="12">
        <f>IF(COUNT('Бие бялдар'!D37:K37)=0,"",ROUND(COUNTIF('Бие бялдар'!D37:K37,1)/8*100,1))</f>
        <v/>
      </c>
      <c r="D37" s="12">
        <f>IF(COUNT('Нийгэмшихүй, сэтгэл хөдлөл'!D37:H37)=0,"",ROUND(COUNTIF('Нийгэмшихүй, сэтгэл хөдлөл'!D37:H37,1)/5*100,1))</f>
        <v/>
      </c>
      <c r="E37" s="12">
        <f>IF(COUNT('Танин мэдэхүй'!D37:U37)=0,"",ROUND(COUNTIF('Танин мэдэхүй'!D37:U37,1)/18*100,1))</f>
        <v/>
      </c>
      <c r="F37" s="12">
        <f>COUNTIF('Бие бялдар'!D37:K37,1)+COUNTIF('Нийгэмшихүй, сэтгэл хөдлөл'!D37:H37,1)+COUNTIF('Танин мэдэхүй'!D37:U37,1)</f>
        <v/>
      </c>
      <c r="G37" s="12">
        <f>IF((COUNT('Бие бялдар'!D37:K37)+COUNT('Нийгэмшихүй, сэтгэл хөдлөл'!D37:H37)+COUNT('Танин мэдэхүй'!D37:U37))=0,"",ROUND(F37/31*100,1))</f>
        <v/>
      </c>
      <c r="H37" s="14">
        <f>IF(G37="","",IF(G37&gt;=Нэгтгэл!$K$4,"Хангалттай эзэмшиж байна",IF(G37&gt;=Нэгтгэл!$K$5,"Ахиж байна","Хөгжиж байна")))</f>
        <v/>
      </c>
    </row>
    <row r="38">
      <c r="A38" s="5" t="inlineStr">
        <is>
          <t>Бүлгийн дундаж хувь</t>
        </is>
      </c>
      <c r="B38" s="15" t="n"/>
      <c r="C38" s="5">
        <f>IFERROR(ROUND(AVERAGE(C7:C37),1),"")</f>
        <v/>
      </c>
      <c r="D38" s="5">
        <f>IFERROR(ROUND(AVERAGE(D7:D37),1),"")</f>
        <v/>
      </c>
      <c r="E38" s="5">
        <f>IFERROR(ROUND(AVERAGE(E7:E37),1),"")</f>
        <v/>
      </c>
      <c r="F38" s="16" t="inlineStr"/>
      <c r="G38" s="5">
        <f>IFERROR(ROUND(AVERAGE(G7:G37),1),"")</f>
        <v/>
      </c>
      <c r="H38" s="16" t="inlineStr"/>
    </row>
    <row r="39">
      <c r="A39" s="17" t="inlineStr">
        <is>
          <t>Хангалттай эзэмшиж байна (тоо)</t>
        </is>
      </c>
      <c r="B39" s="15" t="n"/>
      <c r="C39" s="5">
        <f>COUNTIFS(C7:C37,"&gt;="&amp;Нэгтгэл!$K$4)</f>
        <v/>
      </c>
      <c r="D39" s="5">
        <f>COUNTIFS(D7:D37,"&gt;="&amp;Нэгтгэл!$K$4)</f>
        <v/>
      </c>
      <c r="E39" s="5">
        <f>COUNTIFS(E7:E37,"&gt;="&amp;Нэгтгэл!$K$4)</f>
        <v/>
      </c>
      <c r="F39" s="16" t="inlineStr"/>
      <c r="G39" s="5">
        <f>COUNTIFS(G7:G37,"&gt;="&amp;Нэгтгэл!$K$4)</f>
        <v/>
      </c>
      <c r="H39" s="5">
        <f>COUNTIF(H7:H37,"Хангалттай эзэмшиж байна")</f>
        <v/>
      </c>
    </row>
    <row r="40">
      <c r="A40" s="17" t="inlineStr">
        <is>
          <t>Ахиж байна (тоо)</t>
        </is>
      </c>
      <c r="B40" s="15" t="n"/>
      <c r="C40" s="5">
        <f>COUNTIFS(C7:C37,"&gt;="&amp;Нэгтгэл!$K$5,C7:C37,"&lt;"&amp;Нэгтгэл!$K$4)</f>
        <v/>
      </c>
      <c r="D40" s="5">
        <f>COUNTIFS(D7:D37,"&gt;="&amp;Нэгтгэл!$K$5,D7:D37,"&lt;"&amp;Нэгтгэл!$K$4)</f>
        <v/>
      </c>
      <c r="E40" s="5">
        <f>COUNTIFS(E7:E37,"&gt;="&amp;Нэгтгэл!$K$5,E7:E37,"&lt;"&amp;Нэгтгэл!$K$4)</f>
        <v/>
      </c>
      <c r="F40" s="16" t="inlineStr"/>
      <c r="G40" s="5">
        <f>COUNTIFS(G7:G37,"&gt;="&amp;Нэгтгэл!$K$5,G7:G37,"&lt;"&amp;Нэгтгэл!$K$4)</f>
        <v/>
      </c>
      <c r="H40" s="5">
        <f>COUNTIF(H7:H37,"Ахиж байна")</f>
        <v/>
      </c>
    </row>
    <row r="41">
      <c r="A41" s="17" t="inlineStr">
        <is>
          <t>Хөгжиж байна (тоо)</t>
        </is>
      </c>
      <c r="B41" s="15" t="n"/>
      <c r="C41" s="5">
        <f>COUNTIFS(C7:C37,"&lt;"&amp;Нэгтгэл!$K$5)</f>
        <v/>
      </c>
      <c r="D41" s="5">
        <f>COUNTIFS(D7:D37,"&lt;"&amp;Нэгтгэл!$K$5)</f>
        <v/>
      </c>
      <c r="E41" s="5">
        <f>COUNTIFS(E7:E37,"&lt;"&amp;Нэгтгэл!$K$5)</f>
        <v/>
      </c>
      <c r="F41" s="16" t="inlineStr"/>
      <c r="G41" s="5">
        <f>COUNTIFS(G7:G37,"&lt;"&amp;Нэгтгэл!$K$5)</f>
        <v/>
      </c>
      <c r="H41" s="5">
        <f>COUNTIF(H7:H37,"Хөгжиж байна")</f>
        <v/>
      </c>
    </row>
  </sheetData>
  <mergeCells count="14">
    <mergeCell ref="J3:K3"/>
    <mergeCell ref="A38:B38"/>
    <mergeCell ref="H3:H6"/>
    <mergeCell ref="F3:F6"/>
    <mergeCell ref="A41:B41"/>
    <mergeCell ref="G3:G6"/>
    <mergeCell ref="A2:H2"/>
    <mergeCell ref="A3:A6"/>
    <mergeCell ref="B3:B6"/>
    <mergeCell ref="C3:E3"/>
    <mergeCell ref="C4:E4"/>
    <mergeCell ref="A1:H1"/>
    <mergeCell ref="A39:B39"/>
    <mergeCell ref="A40:B40"/>
  </mergeCells>
  <printOptions horizontalCentered="1"/>
  <pageMargins left="0.5905511811023622" right="0.1968503937007874" top="0.5905511811023622" bottom="0.5905511811023622" header="0.3149606299212598" footer="0.3149606299212598"/>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P41"/>
  <sheetViews>
    <sheetView workbookViewId="0">
      <selection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7" customWidth="1" min="12" max="12"/>
    <col width="7" customWidth="1" min="13" max="13"/>
    <col width="8" customWidth="1" min="14" max="14"/>
    <col width="7" customWidth="1" min="15" max="15"/>
    <col width="14" customWidth="1" min="16" max="16"/>
  </cols>
  <sheetData>
    <row r="1">
      <c r="A1" s="1" t="inlineStr">
        <is>
          <t>................ ЦЭЦЭРЛЭГИЙН БАГА БҮЛГИЙН (2 НАС) ГАРААНЫ (ОНОШЛОХ) ҮНЭЛГЭЭ</t>
        </is>
      </c>
    </row>
    <row r="2" ht="30" customHeight="1">
      <c r="A2" s="18" t="inlineStr">
        <is>
          <t>Хөгжлийн чиглэл: Бие бялдар          Огноо: 20.... оны .... сар          Багш: ................................          Чадна = 1, Чадахгүй = 0  (А/79-ийн 2.4: «Нялх, балчир насны хүүхдийн хөгжлийг дэмжих хөтөлбөр», 25–36 сар)</t>
        </is>
      </c>
    </row>
    <row r="3">
      <c r="A3" s="3" t="inlineStr">
        <is>
          <t>№</t>
        </is>
      </c>
      <c r="B3" s="3" t="inlineStr">
        <is>
          <t>Хүүхдийн код</t>
        </is>
      </c>
      <c r="C3" s="4" t="n"/>
      <c r="D3" s="3" t="inlineStr">
        <is>
          <t>Хөгжлийн чиглэл: Бие бялдар</t>
        </is>
      </c>
      <c r="E3" s="4" t="n"/>
      <c r="F3" s="4" t="n"/>
      <c r="G3" s="4" t="n"/>
      <c r="H3" s="4" t="n"/>
      <c r="I3" s="4" t="n"/>
      <c r="J3" s="4" t="n"/>
      <c r="K3" s="4" t="n"/>
      <c r="L3" s="5" t="inlineStr">
        <is>
          <t>Чадна (1)</t>
        </is>
      </c>
      <c r="M3" s="5" t="inlineStr">
        <is>
          <t>Хувь</t>
        </is>
      </c>
      <c r="N3" s="5" t="inlineStr">
        <is>
          <t>Чадахгүй (0)</t>
        </is>
      </c>
      <c r="O3" s="5" t="inlineStr">
        <is>
          <t>Хувь</t>
        </is>
      </c>
      <c r="P3" s="5" t="inlineStr">
        <is>
          <t>Түвшин</t>
        </is>
      </c>
    </row>
    <row r="4" ht="56" customHeight="1">
      <c r="A4" s="4" t="n"/>
      <c r="B4" s="4" t="n"/>
      <c r="C4" s="4" t="n"/>
      <c r="D4" s="6" t="inlineStr">
        <is>
          <t>Авирна.</t>
        </is>
      </c>
      <c r="E4" s="6" t="inlineStr">
        <is>
          <t>Гүйхдээ сайн, гүйнгээ чигээ өөрчилж огцом эргэнэ.</t>
        </is>
      </c>
      <c r="F4" s="6" t="inlineStr">
        <is>
          <t>Гурван дугуйт унана.</t>
        </is>
      </c>
      <c r="G4" s="6" t="inlineStr">
        <is>
          <t>Баруун зүүн хөлөө ээлжилж шатаар дээш, доош алхана.</t>
        </is>
      </c>
      <c r="H4" s="6" t="inlineStr">
        <is>
          <t>Үсрэхийг оролдоно.</t>
        </is>
      </c>
      <c r="I4" s="6" t="inlineStr">
        <is>
          <t>Шүд, гараа угаана.</t>
        </is>
      </c>
      <c r="J4" s="6" t="inlineStr">
        <is>
          <t>Хоолоо сайн, удаан зажилж иднэ.</t>
        </is>
      </c>
      <c r="K4" s="6" t="inlineStr">
        <is>
          <t>Өөрөө хувцсаа өмсөж тайлна.</t>
        </is>
      </c>
      <c r="L4" s="4" t="n"/>
      <c r="M4" s="4" t="n"/>
      <c r="N4" s="4" t="n"/>
      <c r="O4" s="4" t="n"/>
      <c r="P4" s="4" t="n"/>
    </row>
    <row r="5" ht="85" customHeight="1">
      <c r="A5" s="4" t="n"/>
      <c r="B5" s="4" t="n"/>
      <c r="C5" s="4" t="n"/>
      <c r="D5" s="19" t="inlineStr">
        <is>
          <t>СҮД: — (шууд тохирох СҮД байхгүй)</t>
        </is>
      </c>
      <c r="E5" s="19" t="inlineStr">
        <is>
          <t>СҮД: ХЭМ1.1г. Байрандаа болон чиглэлээ өөрчилж алхаж, гүйнэ.</t>
        </is>
      </c>
      <c r="F5" s="19" t="inlineStr">
        <is>
          <t>СҮД: — (шууд тохирох СҮД байхгүй)</t>
        </is>
      </c>
      <c r="G5" s="19" t="inlineStr">
        <is>
          <t>СҮД: ХЭМ1.1л. Шатны бариулаас барьж 10 гишгүүрт өгсөж, уруудна.</t>
        </is>
      </c>
      <c r="H5" s="19" t="inlineStr">
        <is>
          <t>СҮД: ХЭМ1.1и. Хоёр хөл дээр байрандаа үсэрч бууна.</t>
        </is>
      </c>
      <c r="I5" s="19" t="inlineStr">
        <is>
          <t>СҮД: ХЭМ1.2а. Хувийн ариун цэврийг сахих үйлийг насанд хүрэгчийн дэмжлэгтэйгээр хамтран хийнэ.</t>
        </is>
      </c>
      <c r="J5" s="19" t="inlineStr">
        <is>
          <t>СҮД: ХЭМ1.2г. Хоолны хэрэгслийг нэрлэж, зориулалтын дагуу хэрэглэнэ.</t>
        </is>
      </c>
      <c r="K5" s="19" t="inlineStr">
        <is>
          <t>СҮД: — (шууд тохирох СҮД байхгүй)</t>
        </is>
      </c>
      <c r="L5" s="4" t="n"/>
      <c r="M5" s="4" t="n"/>
      <c r="N5" s="4" t="n"/>
      <c r="O5" s="4" t="n"/>
      <c r="P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4" t="n"/>
      <c r="M6" s="4" t="n"/>
      <c r="N6" s="4" t="n"/>
      <c r="O6" s="4" t="n"/>
      <c r="P6" s="4" t="n"/>
    </row>
    <row r="7" ht="16" customHeight="1">
      <c r="A7" s="12" t="n">
        <v>1</v>
      </c>
      <c r="B7" s="12">
        <f>IF(Нэгтгэл!B7="","",Нэгтгэл!B7)</f>
        <v/>
      </c>
      <c r="C7" s="4" t="n"/>
      <c r="D7" s="13" t="n">
        <v>1</v>
      </c>
      <c r="E7" s="13" t="n">
        <v>1</v>
      </c>
      <c r="F7" s="13" t="n">
        <v>1</v>
      </c>
      <c r="G7" s="13" t="n">
        <v>0</v>
      </c>
      <c r="H7" s="13" t="n">
        <v>1</v>
      </c>
      <c r="I7" s="13" t="n">
        <v>1</v>
      </c>
      <c r="J7" s="13" t="n">
        <v>1</v>
      </c>
      <c r="K7" s="13" t="n">
        <v>1</v>
      </c>
      <c r="L7" s="12">
        <f>COUNTIF(D7:K7,1)</f>
        <v/>
      </c>
      <c r="M7" s="12">
        <f>IF(COUNT(D7:K7)=0,"",ROUND(L7/8*100,1))</f>
        <v/>
      </c>
      <c r="N7" s="12">
        <f>COUNTIF(D7:K7,0)</f>
        <v/>
      </c>
      <c r="O7" s="12">
        <f>IF(COUNT(D7:K7)=0,"",ROUND(N7/8*100,1))</f>
        <v/>
      </c>
      <c r="P7" s="20">
        <f>IF(M7="","",IF(M7&gt;=Нэгтгэл!$K$4,"Хангалттай эзэмшиж байна",IF(M7&gt;=Нэгтгэл!$K$5,"Ахиж байна","Хөгжиж байна")))</f>
        <v/>
      </c>
    </row>
    <row r="8" ht="16" customHeight="1">
      <c r="A8" s="12" t="n">
        <v>2</v>
      </c>
      <c r="B8" s="12">
        <f>IF(Нэгтгэл!B8="","",Нэгтгэл!B8)</f>
        <v/>
      </c>
      <c r="C8" s="4" t="n"/>
      <c r="D8" s="13" t="n">
        <v>0</v>
      </c>
      <c r="E8" s="13" t="n">
        <v>1</v>
      </c>
      <c r="F8" s="13" t="n">
        <v>0</v>
      </c>
      <c r="G8" s="13" t="n">
        <v>0</v>
      </c>
      <c r="H8" s="13" t="n">
        <v>0</v>
      </c>
      <c r="I8" s="13" t="n">
        <v>1</v>
      </c>
      <c r="J8" s="13" t="n">
        <v>1</v>
      </c>
      <c r="K8" s="13" t="n">
        <v>1</v>
      </c>
      <c r="L8" s="12">
        <f>COUNTIF(D8:K8,1)</f>
        <v/>
      </c>
      <c r="M8" s="12">
        <f>IF(COUNT(D8:K8)=0,"",ROUND(L8/8*100,1))</f>
        <v/>
      </c>
      <c r="N8" s="12">
        <f>COUNTIF(D8:K8,0)</f>
        <v/>
      </c>
      <c r="O8" s="12">
        <f>IF(COUNT(D8:K8)=0,"",ROUND(N8/8*100,1))</f>
        <v/>
      </c>
      <c r="P8" s="20">
        <f>IF(M8="","",IF(M8&gt;=Нэгтгэл!$K$4,"Хангалттай эзэмшиж байна",IF(M8&gt;=Нэгтгэл!$K$5,"Ахиж байна","Хөгжиж байна")))</f>
        <v/>
      </c>
    </row>
    <row r="9" ht="16" customHeight="1">
      <c r="A9" s="12" t="n">
        <v>3</v>
      </c>
      <c r="B9" s="12">
        <f>IF(Нэгтгэл!B9="","",Нэгтгэл!B9)</f>
        <v/>
      </c>
      <c r="C9" s="4" t="n"/>
      <c r="D9" s="13" t="n">
        <v>1</v>
      </c>
      <c r="E9" s="13" t="n">
        <v>0</v>
      </c>
      <c r="F9" s="13" t="n">
        <v>1</v>
      </c>
      <c r="G9" s="13" t="n">
        <v>0</v>
      </c>
      <c r="H9" s="13" t="n">
        <v>1</v>
      </c>
      <c r="I9" s="13" t="n">
        <v>1</v>
      </c>
      <c r="J9" s="13" t="n">
        <v>1</v>
      </c>
      <c r="K9" s="13" t="n">
        <v>1</v>
      </c>
      <c r="L9" s="12">
        <f>COUNTIF(D9:K9,1)</f>
        <v/>
      </c>
      <c r="M9" s="12">
        <f>IF(COUNT(D9:K9)=0,"",ROUND(L9/8*100,1))</f>
        <v/>
      </c>
      <c r="N9" s="12">
        <f>COUNTIF(D9:K9,0)</f>
        <v/>
      </c>
      <c r="O9" s="12">
        <f>IF(COUNT(D9:K9)=0,"",ROUND(N9/8*100,1))</f>
        <v/>
      </c>
      <c r="P9" s="20">
        <f>IF(M9="","",IF(M9&gt;=Нэгтгэл!$K$4,"Хангалттай эзэмшиж байна",IF(M9&gt;=Нэгтгэл!$K$5,"Ахиж байна","Хөгжиж байна")))</f>
        <v/>
      </c>
    </row>
    <row r="10" ht="16" customHeight="1">
      <c r="A10" s="12" t="n">
        <v>4</v>
      </c>
      <c r="B10" s="12">
        <f>IF(Нэгтгэл!B10="","",Нэгтгэл!B10)</f>
        <v/>
      </c>
      <c r="C10" s="4" t="n"/>
      <c r="D10" s="13" t="n">
        <v>0</v>
      </c>
      <c r="E10" s="13" t="n">
        <v>0</v>
      </c>
      <c r="F10" s="13" t="n">
        <v>0</v>
      </c>
      <c r="G10" s="13" t="n">
        <v>0</v>
      </c>
      <c r="H10" s="13" t="n">
        <v>1</v>
      </c>
      <c r="I10" s="13" t="n">
        <v>1</v>
      </c>
      <c r="J10" s="13" t="n">
        <v>1</v>
      </c>
      <c r="K10" s="13" t="n">
        <v>1</v>
      </c>
      <c r="L10" s="12">
        <f>COUNTIF(D10:K10,1)</f>
        <v/>
      </c>
      <c r="M10" s="12">
        <f>IF(COUNT(D10:K10)=0,"",ROUND(L10/8*100,1))</f>
        <v/>
      </c>
      <c r="N10" s="12">
        <f>COUNTIF(D10:K10,0)</f>
        <v/>
      </c>
      <c r="O10" s="12">
        <f>IF(COUNT(D10:K10)=0,"",ROUND(N10/8*100,1))</f>
        <v/>
      </c>
      <c r="P10" s="20">
        <f>IF(M10="","",IF(M10&gt;=Нэгтгэл!$K$4,"Хангалттай эзэмшиж байна",IF(M10&gt;=Нэгтгэл!$K$5,"Ахиж байна","Хөгжиж байна")))</f>
        <v/>
      </c>
    </row>
    <row r="11" ht="16" customHeight="1">
      <c r="A11" s="12" t="n">
        <v>5</v>
      </c>
      <c r="B11" s="12">
        <f>IF(Нэгтгэл!B11="","",Нэгтгэл!B11)</f>
        <v/>
      </c>
      <c r="C11" s="4" t="n"/>
      <c r="D11" s="13" t="n">
        <v>1</v>
      </c>
      <c r="E11" s="13" t="n">
        <v>1</v>
      </c>
      <c r="F11" s="13" t="n">
        <v>0</v>
      </c>
      <c r="G11" s="13" t="n">
        <v>1</v>
      </c>
      <c r="H11" s="13" t="n">
        <v>1</v>
      </c>
      <c r="I11" s="13" t="n">
        <v>1</v>
      </c>
      <c r="J11" s="13" t="n">
        <v>1</v>
      </c>
      <c r="K11" s="13" t="n">
        <v>1</v>
      </c>
      <c r="L11" s="12">
        <f>COUNTIF(D11:K11,1)</f>
        <v/>
      </c>
      <c r="M11" s="12">
        <f>IF(COUNT(D11:K11)=0,"",ROUND(L11/8*100,1))</f>
        <v/>
      </c>
      <c r="N11" s="12">
        <f>COUNTIF(D11:K11,0)</f>
        <v/>
      </c>
      <c r="O11" s="12">
        <f>IF(COUNT(D11:K11)=0,"",ROUND(N11/8*100,1))</f>
        <v/>
      </c>
      <c r="P11" s="20">
        <f>IF(M11="","",IF(M11&gt;=Нэгтгэл!$K$4,"Хангалттай эзэмшиж байна",IF(M11&gt;=Нэгтгэл!$K$5,"Ахиж байна","Хөгжиж байна")))</f>
        <v/>
      </c>
    </row>
    <row r="12" ht="16" customHeight="1">
      <c r="A12" s="12" t="n">
        <v>6</v>
      </c>
      <c r="B12" s="12">
        <f>IF(Нэгтгэл!B12="","",Нэгтгэл!B12)</f>
        <v/>
      </c>
      <c r="C12" s="4" t="n"/>
      <c r="D12" s="13" t="n">
        <v>1</v>
      </c>
      <c r="E12" s="13" t="n">
        <v>1</v>
      </c>
      <c r="F12" s="13" t="n">
        <v>1</v>
      </c>
      <c r="G12" s="13" t="n">
        <v>1</v>
      </c>
      <c r="H12" s="13" t="n">
        <v>1</v>
      </c>
      <c r="I12" s="13" t="n">
        <v>1</v>
      </c>
      <c r="J12" s="13" t="n">
        <v>0</v>
      </c>
      <c r="K12" s="13" t="n">
        <v>1</v>
      </c>
      <c r="L12" s="12">
        <f>COUNTIF(D12:K12,1)</f>
        <v/>
      </c>
      <c r="M12" s="12">
        <f>IF(COUNT(D12:K12)=0,"",ROUND(L12/8*100,1))</f>
        <v/>
      </c>
      <c r="N12" s="12">
        <f>COUNTIF(D12:K12,0)</f>
        <v/>
      </c>
      <c r="O12" s="12">
        <f>IF(COUNT(D12:K12)=0,"",ROUND(N12/8*100,1))</f>
        <v/>
      </c>
      <c r="P12" s="20">
        <f>IF(M12="","",IF(M12&gt;=Нэгтгэл!$K$4,"Хангалттай эзэмшиж байна",IF(M12&gt;=Нэгтгэл!$K$5,"Ахиж байна","Хөгжиж байна")))</f>
        <v/>
      </c>
    </row>
    <row r="13" ht="16" customHeight="1">
      <c r="A13" s="12" t="n">
        <v>7</v>
      </c>
      <c r="B13" s="12">
        <f>IF(Нэгтгэл!B13="","",Нэгтгэл!B13)</f>
        <v/>
      </c>
      <c r="C13" s="4" t="n"/>
      <c r="D13" s="13" t="n">
        <v>1</v>
      </c>
      <c r="E13" s="13" t="n">
        <v>0</v>
      </c>
      <c r="F13" s="13" t="n">
        <v>1</v>
      </c>
      <c r="G13" s="13" t="n">
        <v>1</v>
      </c>
      <c r="H13" s="13" t="n">
        <v>0</v>
      </c>
      <c r="I13" s="13" t="n">
        <v>1</v>
      </c>
      <c r="J13" s="13" t="n">
        <v>1</v>
      </c>
      <c r="K13" s="13" t="n">
        <v>1</v>
      </c>
      <c r="L13" s="12">
        <f>COUNTIF(D13:K13,1)</f>
        <v/>
      </c>
      <c r="M13" s="12">
        <f>IF(COUNT(D13:K13)=0,"",ROUND(L13/8*100,1))</f>
        <v/>
      </c>
      <c r="N13" s="12">
        <f>COUNTIF(D13:K13,0)</f>
        <v/>
      </c>
      <c r="O13" s="12">
        <f>IF(COUNT(D13:K13)=0,"",ROUND(N13/8*100,1))</f>
        <v/>
      </c>
      <c r="P13" s="20">
        <f>IF(M13="","",IF(M13&gt;=Нэгтгэл!$K$4,"Хангалттай эзэмшиж байна",IF(M13&gt;=Нэгтгэл!$K$5,"Ахиж байна","Хөгжиж байна")))</f>
        <v/>
      </c>
    </row>
    <row r="14" ht="16" customHeight="1">
      <c r="A14" s="12" t="n">
        <v>8</v>
      </c>
      <c r="B14" s="12">
        <f>IF(Нэгтгэл!B14="","",Нэгтгэл!B14)</f>
        <v/>
      </c>
      <c r="C14" s="4" t="n"/>
      <c r="D14" s="13" t="n">
        <v>1</v>
      </c>
      <c r="E14" s="13" t="n">
        <v>1</v>
      </c>
      <c r="F14" s="13" t="n">
        <v>1</v>
      </c>
      <c r="G14" s="13" t="n">
        <v>1</v>
      </c>
      <c r="H14" s="13" t="n">
        <v>0</v>
      </c>
      <c r="I14" s="13" t="n">
        <v>1</v>
      </c>
      <c r="J14" s="13" t="n">
        <v>1</v>
      </c>
      <c r="K14" s="13" t="n">
        <v>1</v>
      </c>
      <c r="L14" s="12">
        <f>COUNTIF(D14:K14,1)</f>
        <v/>
      </c>
      <c r="M14" s="12">
        <f>IF(COUNT(D14:K14)=0,"",ROUND(L14/8*100,1))</f>
        <v/>
      </c>
      <c r="N14" s="12">
        <f>COUNTIF(D14:K14,0)</f>
        <v/>
      </c>
      <c r="O14" s="12">
        <f>IF(COUNT(D14:K14)=0,"",ROUND(N14/8*100,1))</f>
        <v/>
      </c>
      <c r="P14" s="20">
        <f>IF(M14="","",IF(M14&gt;=Нэгтгэл!$K$4,"Хангалттай эзэмшиж байна",IF(M14&gt;=Нэгтгэл!$K$5,"Ахиж байна","Хөгжиж байна")))</f>
        <v/>
      </c>
    </row>
    <row r="15" ht="16" customHeight="1">
      <c r="A15" s="12" t="n">
        <v>9</v>
      </c>
      <c r="B15" s="12">
        <f>IF(Нэгтгэл!B15="","",Нэгтгэл!B15)</f>
        <v/>
      </c>
      <c r="C15" s="4" t="n"/>
      <c r="D15" s="13" t="n">
        <v>1</v>
      </c>
      <c r="E15" s="13" t="n">
        <v>1</v>
      </c>
      <c r="F15" s="13" t="n">
        <v>0</v>
      </c>
      <c r="G15" s="13" t="n">
        <v>1</v>
      </c>
      <c r="H15" s="13" t="n">
        <v>1</v>
      </c>
      <c r="I15" s="13" t="n">
        <v>1</v>
      </c>
      <c r="J15" s="13" t="n">
        <v>0</v>
      </c>
      <c r="K15" s="13" t="n">
        <v>0</v>
      </c>
      <c r="L15" s="12">
        <f>COUNTIF(D15:K15,1)</f>
        <v/>
      </c>
      <c r="M15" s="12">
        <f>IF(COUNT(D15:K15)=0,"",ROUND(L15/8*100,1))</f>
        <v/>
      </c>
      <c r="N15" s="12">
        <f>COUNTIF(D15:K15,0)</f>
        <v/>
      </c>
      <c r="O15" s="12">
        <f>IF(COUNT(D15:K15)=0,"",ROUND(N15/8*100,1))</f>
        <v/>
      </c>
      <c r="P15" s="20">
        <f>IF(M15="","",IF(M15&gt;=Нэгтгэл!$K$4,"Хангалттай эзэмшиж байна",IF(M15&gt;=Нэгтгэл!$K$5,"Ахиж байна","Хөгжиж байна")))</f>
        <v/>
      </c>
    </row>
    <row r="16" ht="16" customHeight="1">
      <c r="A16" s="12" t="n">
        <v>10</v>
      </c>
      <c r="B16" s="12">
        <f>IF(Нэгтгэл!B16="","",Нэгтгэл!B16)</f>
        <v/>
      </c>
      <c r="C16" s="4" t="n"/>
      <c r="D16" s="13" t="n">
        <v>1</v>
      </c>
      <c r="E16" s="13" t="n">
        <v>1</v>
      </c>
      <c r="F16" s="13" t="n">
        <v>1</v>
      </c>
      <c r="G16" s="13" t="n">
        <v>1</v>
      </c>
      <c r="H16" s="13" t="n">
        <v>0</v>
      </c>
      <c r="I16" s="13" t="n">
        <v>1</v>
      </c>
      <c r="J16" s="13" t="n">
        <v>1</v>
      </c>
      <c r="K16" s="13" t="n">
        <v>0</v>
      </c>
      <c r="L16" s="12">
        <f>COUNTIF(D16:K16,1)</f>
        <v/>
      </c>
      <c r="M16" s="12">
        <f>IF(COUNT(D16:K16)=0,"",ROUND(L16/8*100,1))</f>
        <v/>
      </c>
      <c r="N16" s="12">
        <f>COUNTIF(D16:K16,0)</f>
        <v/>
      </c>
      <c r="O16" s="12">
        <f>IF(COUNT(D16:K16)=0,"",ROUND(N16/8*100,1))</f>
        <v/>
      </c>
      <c r="P16" s="20">
        <f>IF(M16="","",IF(M16&gt;=Нэгтгэл!$K$4,"Хангалттай эзэмшиж байна",IF(M16&gt;=Нэгтгэл!$K$5,"Ахиж байна","Хөгжиж байна")))</f>
        <v/>
      </c>
    </row>
    <row r="17" ht="16" customHeight="1">
      <c r="A17" s="12" t="n">
        <v>11</v>
      </c>
      <c r="B17" s="12">
        <f>IF(Нэгтгэл!B17="","",Нэгтгэл!B17)</f>
        <v/>
      </c>
      <c r="C17" s="4" t="n"/>
      <c r="D17" s="13" t="n">
        <v>1</v>
      </c>
      <c r="E17" s="13" t="n">
        <v>1</v>
      </c>
      <c r="F17" s="13" t="n">
        <v>1</v>
      </c>
      <c r="G17" s="13" t="n">
        <v>1</v>
      </c>
      <c r="H17" s="13" t="n">
        <v>1</v>
      </c>
      <c r="I17" s="13" t="n">
        <v>1</v>
      </c>
      <c r="J17" s="13" t="n">
        <v>1</v>
      </c>
      <c r="K17" s="13" t="n">
        <v>1</v>
      </c>
      <c r="L17" s="12">
        <f>COUNTIF(D17:K17,1)</f>
        <v/>
      </c>
      <c r="M17" s="12">
        <f>IF(COUNT(D17:K17)=0,"",ROUND(L17/8*100,1))</f>
        <v/>
      </c>
      <c r="N17" s="12">
        <f>COUNTIF(D17:K17,0)</f>
        <v/>
      </c>
      <c r="O17" s="12">
        <f>IF(COUNT(D17:K17)=0,"",ROUND(N17/8*100,1))</f>
        <v/>
      </c>
      <c r="P17" s="20">
        <f>IF(M17="","",IF(M17&gt;=Нэгтгэл!$K$4,"Хангалттай эзэмшиж байна",IF(M17&gt;=Нэгтгэл!$K$5,"Ахиж байна","Хөгжиж байна")))</f>
        <v/>
      </c>
    </row>
    <row r="18" ht="16" customHeight="1">
      <c r="A18" s="12" t="n">
        <v>12</v>
      </c>
      <c r="B18" s="12">
        <f>IF(Нэгтгэл!B18="","",Нэгтгэл!B18)</f>
        <v/>
      </c>
      <c r="C18" s="4" t="n"/>
      <c r="D18" s="13" t="n">
        <v>1</v>
      </c>
      <c r="E18" s="13" t="n">
        <v>0</v>
      </c>
      <c r="F18" s="13" t="n">
        <v>1</v>
      </c>
      <c r="G18" s="13" t="n">
        <v>1</v>
      </c>
      <c r="H18" s="13" t="n">
        <v>1</v>
      </c>
      <c r="I18" s="13" t="n">
        <v>0</v>
      </c>
      <c r="J18" s="13" t="n">
        <v>0</v>
      </c>
      <c r="K18" s="13" t="n">
        <v>1</v>
      </c>
      <c r="L18" s="12">
        <f>COUNTIF(D18:K18,1)</f>
        <v/>
      </c>
      <c r="M18" s="12">
        <f>IF(COUNT(D18:K18)=0,"",ROUND(L18/8*100,1))</f>
        <v/>
      </c>
      <c r="N18" s="12">
        <f>COUNTIF(D18:K18,0)</f>
        <v/>
      </c>
      <c r="O18" s="12">
        <f>IF(COUNT(D18:K18)=0,"",ROUND(N18/8*100,1))</f>
        <v/>
      </c>
      <c r="P18" s="20">
        <f>IF(M18="","",IF(M18&gt;=Нэгтгэл!$K$4,"Хангалттай эзэмшиж байна",IF(M18&gt;=Нэгтгэл!$K$5,"Ахиж байна","Хөгжиж байна")))</f>
        <v/>
      </c>
    </row>
    <row r="19" ht="16" customHeight="1">
      <c r="A19" s="12" t="n">
        <v>13</v>
      </c>
      <c r="B19" s="12">
        <f>IF(Нэгтгэл!B19="","",Нэгтгэл!B19)</f>
        <v/>
      </c>
      <c r="C19" s="4" t="n"/>
      <c r="D19" s="13" t="n">
        <v>0</v>
      </c>
      <c r="E19" s="13" t="n">
        <v>0</v>
      </c>
      <c r="F19" s="13" t="n">
        <v>1</v>
      </c>
      <c r="G19" s="13" t="n">
        <v>0</v>
      </c>
      <c r="H19" s="13" t="n">
        <v>1</v>
      </c>
      <c r="I19" s="13" t="n">
        <v>1</v>
      </c>
      <c r="J19" s="13" t="n">
        <v>0</v>
      </c>
      <c r="K19" s="13" t="n">
        <v>1</v>
      </c>
      <c r="L19" s="12">
        <f>COUNTIF(D19:K19,1)</f>
        <v/>
      </c>
      <c r="M19" s="12">
        <f>IF(COUNT(D19:K19)=0,"",ROUND(L19/8*100,1))</f>
        <v/>
      </c>
      <c r="N19" s="12">
        <f>COUNTIF(D19:K19,0)</f>
        <v/>
      </c>
      <c r="O19" s="12">
        <f>IF(COUNT(D19:K19)=0,"",ROUND(N19/8*100,1))</f>
        <v/>
      </c>
      <c r="P19" s="20">
        <f>IF(M19="","",IF(M19&gt;=Нэгтгэл!$K$4,"Хангалттай эзэмшиж байна",IF(M19&gt;=Нэгтгэл!$K$5,"Ахиж байна","Хөгжиж байна")))</f>
        <v/>
      </c>
    </row>
    <row r="20" ht="16" customHeight="1">
      <c r="A20" s="12" t="n">
        <v>14</v>
      </c>
      <c r="B20" s="12">
        <f>IF(Нэгтгэл!B20="","",Нэгтгэл!B20)</f>
        <v/>
      </c>
      <c r="C20" s="4" t="n"/>
      <c r="D20" s="13" t="n">
        <v>1</v>
      </c>
      <c r="E20" s="13" t="n">
        <v>0</v>
      </c>
      <c r="F20" s="13" t="n">
        <v>0</v>
      </c>
      <c r="G20" s="13" t="n">
        <v>0</v>
      </c>
      <c r="H20" s="13" t="n">
        <v>1</v>
      </c>
      <c r="I20" s="13" t="n">
        <v>1</v>
      </c>
      <c r="J20" s="13" t="n">
        <v>1</v>
      </c>
      <c r="K20" s="13" t="n">
        <v>1</v>
      </c>
      <c r="L20" s="12">
        <f>COUNTIF(D20:K20,1)</f>
        <v/>
      </c>
      <c r="M20" s="12">
        <f>IF(COUNT(D20:K20)=0,"",ROUND(L20/8*100,1))</f>
        <v/>
      </c>
      <c r="N20" s="12">
        <f>COUNTIF(D20:K20,0)</f>
        <v/>
      </c>
      <c r="O20" s="12">
        <f>IF(COUNT(D20:K20)=0,"",ROUND(N20/8*100,1))</f>
        <v/>
      </c>
      <c r="P20" s="20">
        <f>IF(M20="","",IF(M20&gt;=Нэгтгэл!$K$4,"Хангалттай эзэмшиж байна",IF(M20&gt;=Нэгтгэл!$K$5,"Ахиж байна","Хөгжиж байна")))</f>
        <v/>
      </c>
    </row>
    <row r="21" ht="16" customHeight="1">
      <c r="A21" s="12" t="n">
        <v>15</v>
      </c>
      <c r="B21" s="12">
        <f>IF(Нэгтгэл!B21="","",Нэгтгэл!B21)</f>
        <v/>
      </c>
      <c r="C21" s="4" t="n"/>
      <c r="D21" s="13" t="n">
        <v>1</v>
      </c>
      <c r="E21" s="13" t="n">
        <v>0</v>
      </c>
      <c r="F21" s="13" t="n">
        <v>1</v>
      </c>
      <c r="G21" s="13" t="n">
        <v>1</v>
      </c>
      <c r="H21" s="13" t="n">
        <v>1</v>
      </c>
      <c r="I21" s="13" t="n">
        <v>1</v>
      </c>
      <c r="J21" s="13" t="n">
        <v>1</v>
      </c>
      <c r="K21" s="13" t="n">
        <v>0</v>
      </c>
      <c r="L21" s="12">
        <f>COUNTIF(D21:K21,1)</f>
        <v/>
      </c>
      <c r="M21" s="12">
        <f>IF(COUNT(D21:K21)=0,"",ROUND(L21/8*100,1))</f>
        <v/>
      </c>
      <c r="N21" s="12">
        <f>COUNTIF(D21:K21,0)</f>
        <v/>
      </c>
      <c r="O21" s="12">
        <f>IF(COUNT(D21:K21)=0,"",ROUND(N21/8*100,1))</f>
        <v/>
      </c>
      <c r="P21" s="20">
        <f>IF(M21="","",IF(M21&gt;=Нэгтгэл!$K$4,"Хангалттай эзэмшиж байна",IF(M21&gt;=Нэгтгэл!$K$5,"Ахиж байна","Хөгжиж байна")))</f>
        <v/>
      </c>
    </row>
    <row r="22" ht="16" customHeight="1">
      <c r="A22" s="12" t="n">
        <v>16</v>
      </c>
      <c r="B22" s="12">
        <f>IF(Нэгтгэл!B22="","",Нэгтгэл!B22)</f>
        <v/>
      </c>
      <c r="C22" s="4" t="n"/>
      <c r="D22" s="13" t="n">
        <v>1</v>
      </c>
      <c r="E22" s="13" t="n">
        <v>0</v>
      </c>
      <c r="F22" s="13" t="n">
        <v>1</v>
      </c>
      <c r="G22" s="13" t="n">
        <v>1</v>
      </c>
      <c r="H22" s="13" t="n">
        <v>0</v>
      </c>
      <c r="I22" s="13" t="n">
        <v>0</v>
      </c>
      <c r="J22" s="13" t="n">
        <v>1</v>
      </c>
      <c r="K22" s="13" t="n">
        <v>1</v>
      </c>
      <c r="L22" s="12">
        <f>COUNTIF(D22:K22,1)</f>
        <v/>
      </c>
      <c r="M22" s="12">
        <f>IF(COUNT(D22:K22)=0,"",ROUND(L22/8*100,1))</f>
        <v/>
      </c>
      <c r="N22" s="12">
        <f>COUNTIF(D22:K22,0)</f>
        <v/>
      </c>
      <c r="O22" s="12">
        <f>IF(COUNT(D22:K22)=0,"",ROUND(N22/8*100,1))</f>
        <v/>
      </c>
      <c r="P22" s="20">
        <f>IF(M22="","",IF(M22&gt;=Нэгтгэл!$K$4,"Хангалттай эзэмшиж байна",IF(M22&gt;=Нэгтгэл!$K$5,"Ахиж байна","Хөгжиж байна")))</f>
        <v/>
      </c>
    </row>
    <row r="23" ht="16" customHeight="1">
      <c r="A23" s="12" t="n">
        <v>17</v>
      </c>
      <c r="B23" s="12">
        <f>IF(Нэгтгэл!B23="","",Нэгтгэл!B23)</f>
        <v/>
      </c>
      <c r="C23" s="4" t="n"/>
      <c r="D23" s="13" t="n">
        <v>1</v>
      </c>
      <c r="E23" s="13" t="n">
        <v>1</v>
      </c>
      <c r="F23" s="13" t="n">
        <v>1</v>
      </c>
      <c r="G23" s="13" t="n">
        <v>0</v>
      </c>
      <c r="H23" s="13" t="n">
        <v>0</v>
      </c>
      <c r="I23" s="13" t="n">
        <v>1</v>
      </c>
      <c r="J23" s="13" t="n">
        <v>0</v>
      </c>
      <c r="K23" s="13" t="n">
        <v>1</v>
      </c>
      <c r="L23" s="12">
        <f>COUNTIF(D23:K23,1)</f>
        <v/>
      </c>
      <c r="M23" s="12">
        <f>IF(COUNT(D23:K23)=0,"",ROUND(L23/8*100,1))</f>
        <v/>
      </c>
      <c r="N23" s="12">
        <f>COUNTIF(D23:K23,0)</f>
        <v/>
      </c>
      <c r="O23" s="12">
        <f>IF(COUNT(D23:K23)=0,"",ROUND(N23/8*100,1))</f>
        <v/>
      </c>
      <c r="P23" s="20">
        <f>IF(M23="","",IF(M23&gt;=Нэгтгэл!$K$4,"Хангалттай эзэмшиж байна",IF(M23&gt;=Нэгтгэл!$K$5,"Ахиж байна","Хөгжиж байна")))</f>
        <v/>
      </c>
    </row>
    <row r="24" ht="16" customHeight="1">
      <c r="A24" s="12" t="n">
        <v>18</v>
      </c>
      <c r="B24" s="12">
        <f>IF(Нэгтгэл!B24="","",Нэгтгэл!B24)</f>
        <v/>
      </c>
      <c r="C24" s="4" t="n"/>
      <c r="D24" s="13" t="n">
        <v>1</v>
      </c>
      <c r="E24" s="13" t="n">
        <v>1</v>
      </c>
      <c r="F24" s="13" t="n">
        <v>0</v>
      </c>
      <c r="G24" s="13" t="n">
        <v>0</v>
      </c>
      <c r="H24" s="13" t="n">
        <v>1</v>
      </c>
      <c r="I24" s="13" t="n">
        <v>1</v>
      </c>
      <c r="J24" s="13" t="n">
        <v>1</v>
      </c>
      <c r="K24" s="13" t="n">
        <v>0</v>
      </c>
      <c r="L24" s="12">
        <f>COUNTIF(D24:K24,1)</f>
        <v/>
      </c>
      <c r="M24" s="12">
        <f>IF(COUNT(D24:K24)=0,"",ROUND(L24/8*100,1))</f>
        <v/>
      </c>
      <c r="N24" s="12">
        <f>COUNTIF(D24:K24,0)</f>
        <v/>
      </c>
      <c r="O24" s="12">
        <f>IF(COUNT(D24:K24)=0,"",ROUND(N24/8*100,1))</f>
        <v/>
      </c>
      <c r="P24" s="20">
        <f>IF(M24="","",IF(M24&gt;=Нэгтгэл!$K$4,"Хангалттай эзэмшиж байна",IF(M24&gt;=Нэгтгэл!$K$5,"Ахиж байна","Хөгжиж байна")))</f>
        <v/>
      </c>
    </row>
    <row r="25" ht="16" customHeight="1">
      <c r="A25" s="12" t="n">
        <v>19</v>
      </c>
      <c r="B25" s="12">
        <f>IF(Нэгтгэл!B25="","",Нэгтгэл!B25)</f>
        <v/>
      </c>
      <c r="C25" s="4" t="n"/>
      <c r="D25" s="13" t="n">
        <v>0</v>
      </c>
      <c r="E25" s="13" t="n">
        <v>0</v>
      </c>
      <c r="F25" s="13" t="n">
        <v>1</v>
      </c>
      <c r="G25" s="13" t="n">
        <v>1</v>
      </c>
      <c r="H25" s="13" t="n">
        <v>0</v>
      </c>
      <c r="I25" s="13" t="n">
        <v>1</v>
      </c>
      <c r="J25" s="13" t="n">
        <v>1</v>
      </c>
      <c r="K25" s="13" t="n">
        <v>1</v>
      </c>
      <c r="L25" s="12">
        <f>COUNTIF(D25:K25,1)</f>
        <v/>
      </c>
      <c r="M25" s="12">
        <f>IF(COUNT(D25:K25)=0,"",ROUND(L25/8*100,1))</f>
        <v/>
      </c>
      <c r="N25" s="12">
        <f>COUNTIF(D25:K25,0)</f>
        <v/>
      </c>
      <c r="O25" s="12">
        <f>IF(COUNT(D25:K25)=0,"",ROUND(N25/8*100,1))</f>
        <v/>
      </c>
      <c r="P25" s="20">
        <f>IF(M25="","",IF(M25&gt;=Нэгтгэл!$K$4,"Хангалттай эзэмшиж байна",IF(M25&gt;=Нэгтгэл!$K$5,"Ахиж байна","Хөгжиж байна")))</f>
        <v/>
      </c>
    </row>
    <row r="26" ht="16" customHeight="1">
      <c r="A26" s="12" t="n">
        <v>20</v>
      </c>
      <c r="B26" s="12">
        <f>IF(Нэгтгэл!B26="","",Нэгтгэл!B26)</f>
        <v/>
      </c>
      <c r="C26" s="4" t="n"/>
      <c r="D26" s="13" t="n">
        <v>1</v>
      </c>
      <c r="E26" s="13" t="n">
        <v>0</v>
      </c>
      <c r="F26" s="13" t="n">
        <v>1</v>
      </c>
      <c r="G26" s="13" t="n">
        <v>1</v>
      </c>
      <c r="H26" s="13" t="n">
        <v>1</v>
      </c>
      <c r="I26" s="13" t="n">
        <v>0</v>
      </c>
      <c r="J26" s="13" t="n">
        <v>1</v>
      </c>
      <c r="K26" s="13" t="n">
        <v>1</v>
      </c>
      <c r="L26" s="12">
        <f>COUNTIF(D26:K26,1)</f>
        <v/>
      </c>
      <c r="M26" s="12">
        <f>IF(COUNT(D26:K26)=0,"",ROUND(L26/8*100,1))</f>
        <v/>
      </c>
      <c r="N26" s="12">
        <f>COUNTIF(D26:K26,0)</f>
        <v/>
      </c>
      <c r="O26" s="12">
        <f>IF(COUNT(D26:K26)=0,"",ROUND(N26/8*100,1))</f>
        <v/>
      </c>
      <c r="P26" s="20">
        <f>IF(M26="","",IF(M26&gt;=Нэгтгэл!$K$4,"Хангалттай эзэмшиж байна",IF(M26&gt;=Нэгтгэл!$K$5,"Ахиж байна","Хөгжиж байна")))</f>
        <v/>
      </c>
    </row>
    <row r="27" ht="16" customHeight="1">
      <c r="A27" s="12" t="n">
        <v>21</v>
      </c>
      <c r="B27" s="12">
        <f>IF(Нэгтгэл!B27="","",Нэгтгэл!B27)</f>
        <v/>
      </c>
      <c r="C27" s="4" t="n"/>
      <c r="D27" s="13" t="n">
        <v>1</v>
      </c>
      <c r="E27" s="13" t="n">
        <v>1</v>
      </c>
      <c r="F27" s="13" t="n">
        <v>1</v>
      </c>
      <c r="G27" s="13" t="n">
        <v>1</v>
      </c>
      <c r="H27" s="13" t="n">
        <v>0</v>
      </c>
      <c r="I27" s="13" t="n">
        <v>1</v>
      </c>
      <c r="J27" s="13" t="n">
        <v>0</v>
      </c>
      <c r="K27" s="13" t="n">
        <v>1</v>
      </c>
      <c r="L27" s="12">
        <f>COUNTIF(D27:K27,1)</f>
        <v/>
      </c>
      <c r="M27" s="12">
        <f>IF(COUNT(D27:K27)=0,"",ROUND(L27/8*100,1))</f>
        <v/>
      </c>
      <c r="N27" s="12">
        <f>COUNTIF(D27:K27,0)</f>
        <v/>
      </c>
      <c r="O27" s="12">
        <f>IF(COUNT(D27:K27)=0,"",ROUND(N27/8*100,1))</f>
        <v/>
      </c>
      <c r="P27" s="20">
        <f>IF(M27="","",IF(M27&gt;=Нэгтгэл!$K$4,"Хангалттай эзэмшиж байна",IF(M27&gt;=Нэгтгэл!$K$5,"Ахиж байна","Хөгжиж байна")))</f>
        <v/>
      </c>
    </row>
    <row r="28" ht="16" customHeight="1">
      <c r="A28" s="12" t="n">
        <v>22</v>
      </c>
      <c r="B28" s="12">
        <f>IF(Нэгтгэл!B28="","",Нэгтгэл!B28)</f>
        <v/>
      </c>
      <c r="C28" s="4" t="n"/>
      <c r="D28" s="13" t="n">
        <v>1</v>
      </c>
      <c r="E28" s="13" t="n">
        <v>1</v>
      </c>
      <c r="F28" s="13" t="n">
        <v>1</v>
      </c>
      <c r="G28" s="13" t="n">
        <v>1</v>
      </c>
      <c r="H28" s="13" t="n">
        <v>1</v>
      </c>
      <c r="I28" s="13" t="n">
        <v>1</v>
      </c>
      <c r="J28" s="13" t="n">
        <v>1</v>
      </c>
      <c r="K28" s="13" t="n">
        <v>1</v>
      </c>
      <c r="L28" s="12">
        <f>COUNTIF(D28:K28,1)</f>
        <v/>
      </c>
      <c r="M28" s="12">
        <f>IF(COUNT(D28:K28)=0,"",ROUND(L28/8*100,1))</f>
        <v/>
      </c>
      <c r="N28" s="12">
        <f>COUNTIF(D28:K28,0)</f>
        <v/>
      </c>
      <c r="O28" s="12">
        <f>IF(COUNT(D28:K28)=0,"",ROUND(N28/8*100,1))</f>
        <v/>
      </c>
      <c r="P28" s="20">
        <f>IF(M28="","",IF(M28&gt;=Нэгтгэл!$K$4,"Хангалттай эзэмшиж байна",IF(M28&gt;=Нэгтгэл!$K$5,"Ахиж байна","Хөгжиж байна")))</f>
        <v/>
      </c>
    </row>
    <row r="29" ht="16" customHeight="1">
      <c r="A29" s="12" t="n">
        <v>23</v>
      </c>
      <c r="B29" s="12">
        <f>IF(Нэгтгэл!B29="","",Нэгтгэл!B29)</f>
        <v/>
      </c>
      <c r="C29" s="4" t="n"/>
      <c r="D29" s="13" t="n">
        <v>0</v>
      </c>
      <c r="E29" s="13" t="n">
        <v>1</v>
      </c>
      <c r="F29" s="13" t="n">
        <v>1</v>
      </c>
      <c r="G29" s="13" t="n">
        <v>0</v>
      </c>
      <c r="H29" s="13" t="n">
        <v>1</v>
      </c>
      <c r="I29" s="13" t="n">
        <v>0</v>
      </c>
      <c r="J29" s="13" t="n">
        <v>1</v>
      </c>
      <c r="K29" s="13" t="n">
        <v>1</v>
      </c>
      <c r="L29" s="12">
        <f>COUNTIF(D29:K29,1)</f>
        <v/>
      </c>
      <c r="M29" s="12">
        <f>IF(COUNT(D29:K29)=0,"",ROUND(L29/8*100,1))</f>
        <v/>
      </c>
      <c r="N29" s="12">
        <f>COUNTIF(D29:K29,0)</f>
        <v/>
      </c>
      <c r="O29" s="12">
        <f>IF(COUNT(D29:K29)=0,"",ROUND(N29/8*100,1))</f>
        <v/>
      </c>
      <c r="P29" s="20">
        <f>IF(M29="","",IF(M29&gt;=Нэгтгэл!$K$4,"Хангалттай эзэмшиж байна",IF(M29&gt;=Нэгтгэл!$K$5,"Ахиж байна","Хөгжиж байна")))</f>
        <v/>
      </c>
    </row>
    <row r="30" ht="16" customHeight="1">
      <c r="A30" s="12" t="n">
        <v>24</v>
      </c>
      <c r="B30" s="12">
        <f>IF(Нэгтгэл!B30="","",Нэгтгэл!B30)</f>
        <v/>
      </c>
      <c r="C30" s="4" t="n"/>
      <c r="D30" s="13" t="n">
        <v>0</v>
      </c>
      <c r="E30" s="13" t="n">
        <v>1</v>
      </c>
      <c r="F30" s="13" t="n">
        <v>1</v>
      </c>
      <c r="G30" s="13" t="n">
        <v>0</v>
      </c>
      <c r="H30" s="13" t="n">
        <v>1</v>
      </c>
      <c r="I30" s="13" t="n">
        <v>0</v>
      </c>
      <c r="J30" s="13" t="n">
        <v>1</v>
      </c>
      <c r="K30" s="13" t="n">
        <v>0</v>
      </c>
      <c r="L30" s="12">
        <f>COUNTIF(D30:K30,1)</f>
        <v/>
      </c>
      <c r="M30" s="12">
        <f>IF(COUNT(D30:K30)=0,"",ROUND(L30/8*100,1))</f>
        <v/>
      </c>
      <c r="N30" s="12">
        <f>COUNTIF(D30:K30,0)</f>
        <v/>
      </c>
      <c r="O30" s="12">
        <f>IF(COUNT(D30:K30)=0,"",ROUND(N30/8*100,1))</f>
        <v/>
      </c>
      <c r="P30" s="20">
        <f>IF(M30="","",IF(M30&gt;=Нэгтгэл!$K$4,"Хангалттай эзэмшиж байна",IF(M30&gt;=Нэгтгэл!$K$5,"Ахиж байна","Хөгжиж байна")))</f>
        <v/>
      </c>
    </row>
    <row r="31" ht="16" customHeight="1">
      <c r="A31" s="12" t="n">
        <v>25</v>
      </c>
      <c r="B31" s="12">
        <f>IF(Нэгтгэл!B31="","",Нэгтгэл!B31)</f>
        <v/>
      </c>
      <c r="C31" s="4" t="n"/>
      <c r="D31" s="13" t="n">
        <v>1</v>
      </c>
      <c r="E31" s="13" t="n">
        <v>1</v>
      </c>
      <c r="F31" s="13" t="n">
        <v>1</v>
      </c>
      <c r="G31" s="13" t="n">
        <v>1</v>
      </c>
      <c r="H31" s="13" t="n">
        <v>1</v>
      </c>
      <c r="I31" s="13" t="n">
        <v>1</v>
      </c>
      <c r="J31" s="13" t="n">
        <v>1</v>
      </c>
      <c r="K31" s="13" t="n">
        <v>1</v>
      </c>
      <c r="L31" s="12">
        <f>COUNTIF(D31:K31,1)</f>
        <v/>
      </c>
      <c r="M31" s="12">
        <f>IF(COUNT(D31:K31)=0,"",ROUND(L31/8*100,1))</f>
        <v/>
      </c>
      <c r="N31" s="12">
        <f>COUNTIF(D31:K31,0)</f>
        <v/>
      </c>
      <c r="O31" s="12">
        <f>IF(COUNT(D31:K31)=0,"",ROUND(N31/8*100,1))</f>
        <v/>
      </c>
      <c r="P31" s="20">
        <f>IF(M31="","",IF(M31&gt;=Нэгтгэл!$K$4,"Хангалттай эзэмшиж байна",IF(M31&gt;=Нэгтгэл!$K$5,"Ахиж байна","Хөгжиж байна")))</f>
        <v/>
      </c>
    </row>
    <row r="32" ht="16" customHeight="1">
      <c r="A32" s="12" t="n">
        <v>26</v>
      </c>
      <c r="B32" s="12">
        <f>IF(Нэгтгэл!B32="","",Нэгтгэл!B32)</f>
        <v/>
      </c>
      <c r="C32" s="4" t="n"/>
      <c r="D32" s="13" t="n">
        <v>0</v>
      </c>
      <c r="E32" s="13" t="n">
        <v>1</v>
      </c>
      <c r="F32" s="13" t="n">
        <v>1</v>
      </c>
      <c r="G32" s="13" t="n">
        <v>1</v>
      </c>
      <c r="H32" s="13" t="n">
        <v>1</v>
      </c>
      <c r="I32" s="13" t="n">
        <v>1</v>
      </c>
      <c r="J32" s="13" t="n">
        <v>0</v>
      </c>
      <c r="K32" s="13" t="n">
        <v>0</v>
      </c>
      <c r="L32" s="12">
        <f>COUNTIF(D32:K32,1)</f>
        <v/>
      </c>
      <c r="M32" s="12">
        <f>IF(COUNT(D32:K32)=0,"",ROUND(L32/8*100,1))</f>
        <v/>
      </c>
      <c r="N32" s="12">
        <f>COUNTIF(D32:K32,0)</f>
        <v/>
      </c>
      <c r="O32" s="12">
        <f>IF(COUNT(D32:K32)=0,"",ROUND(N32/8*100,1))</f>
        <v/>
      </c>
      <c r="P32" s="20">
        <f>IF(M32="","",IF(M32&gt;=Нэгтгэл!$K$4,"Хангалттай эзэмшиж байна",IF(M32&gt;=Нэгтгэл!$K$5,"Ахиж байна","Хөгжиж байна")))</f>
        <v/>
      </c>
    </row>
    <row r="33" ht="16" customHeight="1">
      <c r="A33" s="12" t="n">
        <v>27</v>
      </c>
      <c r="B33" s="12">
        <f>IF(Нэгтгэл!B33="","",Нэгтгэл!B33)</f>
        <v/>
      </c>
      <c r="C33" s="4" t="n"/>
      <c r="D33" s="13" t="n">
        <v>0</v>
      </c>
      <c r="E33" s="13" t="n">
        <v>0</v>
      </c>
      <c r="F33" s="13" t="n">
        <v>1</v>
      </c>
      <c r="G33" s="13" t="n">
        <v>0</v>
      </c>
      <c r="H33" s="13" t="n">
        <v>0</v>
      </c>
      <c r="I33" s="13" t="n">
        <v>1</v>
      </c>
      <c r="J33" s="13" t="n">
        <v>1</v>
      </c>
      <c r="K33" s="13" t="n">
        <v>0</v>
      </c>
      <c r="L33" s="12">
        <f>COUNTIF(D33:K33,1)</f>
        <v/>
      </c>
      <c r="M33" s="12">
        <f>IF(COUNT(D33:K33)=0,"",ROUND(L33/8*100,1))</f>
        <v/>
      </c>
      <c r="N33" s="12">
        <f>COUNTIF(D33:K33,0)</f>
        <v/>
      </c>
      <c r="O33" s="12">
        <f>IF(COUNT(D33:K33)=0,"",ROUND(N33/8*100,1))</f>
        <v/>
      </c>
      <c r="P33" s="20">
        <f>IF(M33="","",IF(M33&gt;=Нэгтгэл!$K$4,"Хангалттай эзэмшиж байна",IF(M33&gt;=Нэгтгэл!$K$5,"Ахиж байна","Хөгжиж байна")))</f>
        <v/>
      </c>
    </row>
    <row r="34" ht="16" customHeight="1">
      <c r="A34" s="12" t="n">
        <v>28</v>
      </c>
      <c r="B34" s="12">
        <f>IF(Нэгтгэл!B34="","",Нэгтгэл!B34)</f>
        <v/>
      </c>
      <c r="C34" s="4" t="n"/>
      <c r="D34" s="13" t="n">
        <v>0</v>
      </c>
      <c r="E34" s="13" t="n">
        <v>1</v>
      </c>
      <c r="F34" s="13" t="n">
        <v>0</v>
      </c>
      <c r="G34" s="13" t="n">
        <v>1</v>
      </c>
      <c r="H34" s="13" t="n">
        <v>1</v>
      </c>
      <c r="I34" s="13" t="n">
        <v>1</v>
      </c>
      <c r="J34" s="13" t="n">
        <v>1</v>
      </c>
      <c r="K34" s="13" t="n">
        <v>1</v>
      </c>
      <c r="L34" s="12">
        <f>COUNTIF(D34:K34,1)</f>
        <v/>
      </c>
      <c r="M34" s="12">
        <f>IF(COUNT(D34:K34)=0,"",ROUND(L34/8*100,1))</f>
        <v/>
      </c>
      <c r="N34" s="12">
        <f>COUNTIF(D34:K34,0)</f>
        <v/>
      </c>
      <c r="O34" s="12">
        <f>IF(COUNT(D34:K34)=0,"",ROUND(N34/8*100,1))</f>
        <v/>
      </c>
      <c r="P34" s="20">
        <f>IF(M34="","",IF(M34&gt;=Нэгтгэл!$K$4,"Хангалттай эзэмшиж байна",IF(M34&gt;=Нэгтгэл!$K$5,"Ахиж байна","Хөгжиж байна")))</f>
        <v/>
      </c>
    </row>
    <row r="35" ht="16" customHeight="1">
      <c r="A35" s="12" t="n">
        <v>29</v>
      </c>
      <c r="B35" s="12">
        <f>IF(Нэгтгэл!B35="","",Нэгтгэл!B35)</f>
        <v/>
      </c>
      <c r="C35" s="4" t="n"/>
      <c r="D35" s="13" t="n">
        <v>1</v>
      </c>
      <c r="E35" s="13" t="n">
        <v>1</v>
      </c>
      <c r="F35" s="13" t="n">
        <v>1</v>
      </c>
      <c r="G35" s="13" t="n">
        <v>1</v>
      </c>
      <c r="H35" s="13" t="n">
        <v>1</v>
      </c>
      <c r="I35" s="13" t="n">
        <v>1</v>
      </c>
      <c r="J35" s="13" t="n">
        <v>1</v>
      </c>
      <c r="K35" s="13" t="n">
        <v>1</v>
      </c>
      <c r="L35" s="12">
        <f>COUNTIF(D35:K35,1)</f>
        <v/>
      </c>
      <c r="M35" s="12">
        <f>IF(COUNT(D35:K35)=0,"",ROUND(L35/8*100,1))</f>
        <v/>
      </c>
      <c r="N35" s="12">
        <f>COUNTIF(D35:K35,0)</f>
        <v/>
      </c>
      <c r="O35" s="12">
        <f>IF(COUNT(D35:K35)=0,"",ROUND(N35/8*100,1))</f>
        <v/>
      </c>
      <c r="P35" s="20">
        <f>IF(M35="","",IF(M35&gt;=Нэгтгэл!$K$4,"Хангалттай эзэмшиж байна",IF(M35&gt;=Нэгтгэл!$K$5,"Ахиж байна","Хөгжиж байна")))</f>
        <v/>
      </c>
    </row>
    <row r="36" ht="16" customHeight="1">
      <c r="A36" s="12" t="n">
        <v>30</v>
      </c>
      <c r="B36" s="12">
        <f>IF(Нэгтгэл!B36="","",Нэгтгэл!B36)</f>
        <v/>
      </c>
      <c r="C36" s="4" t="n"/>
      <c r="D36" s="13" t="n">
        <v>1</v>
      </c>
      <c r="E36" s="13" t="n">
        <v>1</v>
      </c>
      <c r="F36" s="13" t="n">
        <v>0</v>
      </c>
      <c r="G36" s="13" t="n">
        <v>1</v>
      </c>
      <c r="H36" s="13" t="n">
        <v>1</v>
      </c>
      <c r="I36" s="13" t="n">
        <v>0</v>
      </c>
      <c r="J36" s="13" t="n">
        <v>0</v>
      </c>
      <c r="K36" s="13" t="n">
        <v>1</v>
      </c>
      <c r="L36" s="12">
        <f>COUNTIF(D36:K36,1)</f>
        <v/>
      </c>
      <c r="M36" s="12">
        <f>IF(COUNT(D36:K36)=0,"",ROUND(L36/8*100,1))</f>
        <v/>
      </c>
      <c r="N36" s="12">
        <f>COUNTIF(D36:K36,0)</f>
        <v/>
      </c>
      <c r="O36" s="12">
        <f>IF(COUNT(D36:K36)=0,"",ROUND(N36/8*100,1))</f>
        <v/>
      </c>
      <c r="P36" s="20">
        <f>IF(M36="","",IF(M36&gt;=Нэгтгэл!$K$4,"Хангалттай эзэмшиж байна",IF(M36&gt;=Нэгтгэл!$K$5,"Ахиж байна","Хөгжиж байна")))</f>
        <v/>
      </c>
    </row>
    <row r="37" ht="16" customHeight="1">
      <c r="A37" s="12" t="n">
        <v>31</v>
      </c>
      <c r="B37" s="12">
        <f>IF(Нэгтгэл!B37="","",Нэгтгэл!B37)</f>
        <v/>
      </c>
      <c r="C37" s="4" t="n"/>
      <c r="D37" s="13" t="n">
        <v>1</v>
      </c>
      <c r="E37" s="13" t="n">
        <v>1</v>
      </c>
      <c r="F37" s="13" t="n">
        <v>1</v>
      </c>
      <c r="G37" s="13" t="n">
        <v>0</v>
      </c>
      <c r="H37" s="13" t="n">
        <v>1</v>
      </c>
      <c r="I37" s="13" t="n">
        <v>1</v>
      </c>
      <c r="J37" s="13" t="n">
        <v>1</v>
      </c>
      <c r="K37" s="13" t="n">
        <v>1</v>
      </c>
      <c r="L37" s="12">
        <f>COUNTIF(D37:K37,1)</f>
        <v/>
      </c>
      <c r="M37" s="12">
        <f>IF(COUNT(D37:K37)=0,"",ROUND(L37/8*100,1))</f>
        <v/>
      </c>
      <c r="N37" s="12">
        <f>COUNTIF(D37:K37,0)</f>
        <v/>
      </c>
      <c r="O37" s="12">
        <f>IF(COUNT(D37:K37)=0,"",ROUND(N37/8*100,1))</f>
        <v/>
      </c>
      <c r="P37" s="20">
        <f>IF(M37="","",IF(M37&gt;=Нэгтгэл!$K$4,"Хангалттай эзэмшиж байна",IF(M37&gt;=Нэгтгэл!$K$5,"Ахиж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5">
        <f>COUNTIF(H7:H37,1)</f>
        <v/>
      </c>
      <c r="I38" s="5">
        <f>COUNTIF(I7:I37,1)</f>
        <v/>
      </c>
      <c r="J38" s="5">
        <f>COUNTIF(J7:J37,1)</f>
        <v/>
      </c>
      <c r="K38" s="5">
        <f>COUNTIF(K7:K37,1)</f>
        <v/>
      </c>
      <c r="L38" s="21" t="inlineStr">
        <is>
          <t>Хангалттай эзэмшиж байна</t>
        </is>
      </c>
      <c r="M38" s="22" t="n"/>
      <c r="N38" s="22" t="n"/>
      <c r="O38" s="23" t="n"/>
      <c r="P38" s="5">
        <f>COUNTIF(P7:P37,"Хангалттай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5">
        <f>IF(COUNT(H7:H37)=0,"",ROUND(COUNTIF(H7:H37,1)/COUNT(H7:H37)*100,1))</f>
        <v/>
      </c>
      <c r="I39" s="5">
        <f>IF(COUNT(I7:I37)=0,"",ROUND(COUNTIF(I7:I37,1)/COUNT(I7:I37)*100,1))</f>
        <v/>
      </c>
      <c r="J39" s="5">
        <f>IF(COUNT(J7:J37)=0,"",ROUND(COUNTIF(J7:J37,1)/COUNT(J7:J37)*100,1))</f>
        <v/>
      </c>
      <c r="K39" s="5">
        <f>IF(COUNT(K7:K37)=0,"",ROUND(COUNTIF(K7:K37,1)/COUNT(K7:K37)*100,1))</f>
        <v/>
      </c>
      <c r="L39" s="21" t="inlineStr">
        <is>
          <t>Ахиж байна</t>
        </is>
      </c>
      <c r="M39" s="22" t="n"/>
      <c r="N39" s="22" t="n"/>
      <c r="O39" s="23" t="n"/>
      <c r="P39" s="5">
        <f>COUNTIF(P7:P37,"Ахиж байна")</f>
        <v/>
      </c>
    </row>
    <row r="40" ht="17" customHeight="1">
      <c r="A40" s="5" t="inlineStr">
        <is>
          <t>Чадахгүй (0)</t>
        </is>
      </c>
      <c r="B40" s="15" t="n"/>
      <c r="C40" s="15" t="n"/>
      <c r="D40" s="5">
        <f>COUNTIF(D7:D37,0)</f>
        <v/>
      </c>
      <c r="E40" s="5">
        <f>COUNTIF(E7:E37,0)</f>
        <v/>
      </c>
      <c r="F40" s="5">
        <f>COUNTIF(F7:F37,0)</f>
        <v/>
      </c>
      <c r="G40" s="5">
        <f>COUNTIF(G7:G37,0)</f>
        <v/>
      </c>
      <c r="H40" s="5">
        <f>COUNTIF(H7:H37,0)</f>
        <v/>
      </c>
      <c r="I40" s="5">
        <f>COUNTIF(I7:I37,0)</f>
        <v/>
      </c>
      <c r="J40" s="5">
        <f>COUNTIF(J7:J37,0)</f>
        <v/>
      </c>
      <c r="K40" s="5">
        <f>COUNTIF(K7:K37,0)</f>
        <v/>
      </c>
      <c r="L40" s="21" t="inlineStr">
        <is>
          <t>Хөгжиж байна</t>
        </is>
      </c>
      <c r="M40" s="22" t="n"/>
      <c r="N40" s="22" t="n"/>
      <c r="O40" s="23" t="n"/>
      <c r="P40" s="5">
        <f>COUNTIF(P7:P37,"Хөгжиж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5">
        <f>IF(COUNT(H7:H37)=0,"",ROUND(COUNTIF(H7:H37,0)/COUNT(H7:H37)*100,1))</f>
        <v/>
      </c>
      <c r="I41" s="5">
        <f>IF(COUNT(I7:I37)=0,"",ROUND(COUNTIF(I7:I37,0)/COUNT(I7:I37)*100,1))</f>
        <v/>
      </c>
      <c r="J41" s="5">
        <f>IF(COUNT(J7:J37)=0,"",ROUND(COUNTIF(J7:J37,0)/COUNT(J7:J37)*100,1))</f>
        <v/>
      </c>
      <c r="K41" s="5">
        <f>IF(COUNT(K7:K37)=0,"",ROUND(COUNTIF(K7:K37,0)/COUNT(K7:K37)*100,1))</f>
        <v/>
      </c>
      <c r="L41" s="15" t="n"/>
      <c r="M41" s="15" t="n"/>
      <c r="N41" s="15" t="n"/>
      <c r="O41" s="15" t="n"/>
      <c r="P41" s="15" t="n"/>
    </row>
  </sheetData>
  <mergeCells count="48">
    <mergeCell ref="A41:C41"/>
    <mergeCell ref="B16:C16"/>
    <mergeCell ref="B7:C7"/>
    <mergeCell ref="B25:C25"/>
    <mergeCell ref="L40:O40"/>
    <mergeCell ref="O3:O6"/>
    <mergeCell ref="L3:L6"/>
    <mergeCell ref="B22:C22"/>
    <mergeCell ref="B31:C31"/>
    <mergeCell ref="B18:C18"/>
    <mergeCell ref="B27:C27"/>
    <mergeCell ref="B12:C12"/>
    <mergeCell ref="B21:C21"/>
    <mergeCell ref="B11:C11"/>
    <mergeCell ref="N3:N6"/>
    <mergeCell ref="B23:C23"/>
    <mergeCell ref="A3:A6"/>
    <mergeCell ref="B14:C14"/>
    <mergeCell ref="B17:C17"/>
    <mergeCell ref="B8:C8"/>
    <mergeCell ref="A38:C38"/>
    <mergeCell ref="B13:C13"/>
    <mergeCell ref="B29:C29"/>
    <mergeCell ref="A1:P1"/>
    <mergeCell ref="B19:C19"/>
    <mergeCell ref="M3:M6"/>
    <mergeCell ref="B34:C34"/>
    <mergeCell ref="B10:C10"/>
    <mergeCell ref="B28:C28"/>
    <mergeCell ref="B37:C37"/>
    <mergeCell ref="A40:C40"/>
    <mergeCell ref="P3:P6"/>
    <mergeCell ref="A39:C39"/>
    <mergeCell ref="B9:C9"/>
    <mergeCell ref="D3:K3"/>
    <mergeCell ref="B3:C6"/>
    <mergeCell ref="B24:C24"/>
    <mergeCell ref="B30:C30"/>
    <mergeCell ref="B15:C15"/>
    <mergeCell ref="B33:C33"/>
    <mergeCell ref="L39:O39"/>
    <mergeCell ref="B20:C20"/>
    <mergeCell ref="B36:C36"/>
    <mergeCell ref="B32:C32"/>
    <mergeCell ref="L38:O38"/>
    <mergeCell ref="B26:C26"/>
    <mergeCell ref="B35:C35"/>
    <mergeCell ref="A2:P2"/>
  </mergeCells>
  <conditionalFormatting sqref="D7:K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H7 H8 H9 H10 H11 H12 H13 H14 H15 H16 H17 H18 H19 H20 H21 H22 H23 H24 H25 H26 H27 H28 H29 H30 H31 H32 H33 H34 H35 H36 H37 I7 I8 I9 I10 I11 I12 I13 I14 I15 I16 I17 I18 I19 I20 I21 I22 I23 I24 I25 I26 I27 I28 I29 I30 I31 I32 I33 I34 I35 I36 I37 J7 J8 J9 J10 J11 J12 J13 J14 J15 J16 J17 J18 J19 J20 J21 J22 J23 J24 J25 J26 J27 J28 J29 J30 J31 J32 J33 J34 J35 J36 J37 K7 K8 K9 K10 K11 K12 K13 K14 K15 K16 K17 K18 K19 K20 K21 K22 K23 K24 K25 K26 K27 K28 K29 K30 K31 K32 K33 K34 K35 K36 K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M41"/>
  <sheetViews>
    <sheetView workbookViewId="0">
      <selection activeCell="A1" sqref="A1"/>
    </sheetView>
  </sheetViews>
  <sheetFormatPr baseColWidth="8" defaultRowHeight="15"/>
  <cols>
    <col width="4.5" customWidth="1" min="1" max="1"/>
    <col width="8" customWidth="1" min="2" max="2"/>
    <col width="4" customWidth="1" min="3" max="3"/>
    <col width="18" customWidth="1" min="4" max="4"/>
    <col width="18" customWidth="1" min="5" max="5"/>
    <col width="18" customWidth="1" min="6" max="6"/>
    <col width="18" customWidth="1" min="7" max="7"/>
    <col width="18" customWidth="1" min="8" max="8"/>
    <col width="7" customWidth="1" min="9" max="9"/>
    <col width="7" customWidth="1" min="10" max="10"/>
    <col width="8" customWidth="1" min="11" max="11"/>
    <col width="7" customWidth="1" min="12" max="12"/>
    <col width="14" customWidth="1" min="13" max="13"/>
  </cols>
  <sheetData>
    <row r="1">
      <c r="A1" s="1" t="inlineStr">
        <is>
          <t>................ ЦЭЦЭРЛЭГИЙН БАГА БҮЛГИЙН (2 НАС) ГАРААНЫ (ОНОШЛОХ) ҮНЭЛГЭЭ</t>
        </is>
      </c>
    </row>
    <row r="2" ht="30" customHeight="1">
      <c r="A2" s="18" t="inlineStr">
        <is>
          <t>Хөгжлийн чиглэл: Нийгэмшихүй, сэтгэл хөдлөл          Огноо: 20.... оны .... сар          Багш: ................................          Чадна = 1, Чадахгүй = 0  (А/79-ийн 2.4: «Нялх, балчир насны хүүхдийн хөгжлийг дэмжих хөтөлбөр», 25–36 сар)</t>
        </is>
      </c>
    </row>
    <row r="3">
      <c r="A3" s="3" t="inlineStr">
        <is>
          <t>№</t>
        </is>
      </c>
      <c r="B3" s="3" t="inlineStr">
        <is>
          <t>Хүүхдийн код</t>
        </is>
      </c>
      <c r="C3" s="4" t="n"/>
      <c r="D3" s="3" t="inlineStr">
        <is>
          <t>Хөгжлийн чиглэл: Нийгэмшихүй, сэтгэл хөдлөл</t>
        </is>
      </c>
      <c r="E3" s="4" t="n"/>
      <c r="F3" s="4" t="n"/>
      <c r="G3" s="4" t="n"/>
      <c r="H3" s="4" t="n"/>
      <c r="I3" s="5" t="inlineStr">
        <is>
          <t>Чадна (1)</t>
        </is>
      </c>
      <c r="J3" s="5" t="inlineStr">
        <is>
          <t>Хувь</t>
        </is>
      </c>
      <c r="K3" s="5" t="inlineStr">
        <is>
          <t>Чадахгүй (0)</t>
        </is>
      </c>
      <c r="L3" s="5" t="inlineStr">
        <is>
          <t>Хувь</t>
        </is>
      </c>
      <c r="M3" s="5" t="inlineStr">
        <is>
          <t>Түвшин</t>
        </is>
      </c>
    </row>
    <row r="4" ht="56" customHeight="1">
      <c r="A4" s="4" t="n"/>
      <c r="B4" s="4" t="n"/>
      <c r="C4" s="4" t="n"/>
      <c r="D4" s="6" t="inlineStr">
        <is>
          <t>Бусдыг дуурайна, ялангуяа том хүн, бусад хүүхдийг дуурайна.</t>
        </is>
      </c>
      <c r="E4" s="6" t="inlineStr">
        <is>
          <t>Миний, чиний гэсэн төлөөний нэрийг ойлгож хариулна.</t>
        </is>
      </c>
      <c r="F4" s="6" t="inlineStr">
        <is>
          <t>Бусад хүүхдийн дэргэд зэрэгцэж тоглоно.</t>
        </is>
      </c>
      <c r="G4" s="6" t="inlineStr">
        <is>
          <t>Уйлж байгаа хүүхдэд санаа тавина.</t>
        </is>
      </c>
      <c r="H4" s="6" t="inlineStr">
        <is>
          <t>Эцэг эхээсээ асуудалгүй холдоно.</t>
        </is>
      </c>
      <c r="I4" s="4" t="n"/>
      <c r="J4" s="4" t="n"/>
      <c r="K4" s="4" t="n"/>
      <c r="L4" s="4" t="n"/>
      <c r="M4" s="4" t="n"/>
    </row>
    <row r="5" ht="74" customHeight="1">
      <c r="A5" s="4" t="n"/>
      <c r="B5" s="4" t="n"/>
      <c r="C5" s="4" t="n"/>
      <c r="D5" s="19" t="inlineStr">
        <is>
          <t>СҮД: БНО1.2б. Гэр бүлийн гишүүдээ нэрлэж, тэдний хийж буй үйлдлийг дуурайж тоглоно.</t>
        </is>
      </c>
      <c r="E5" s="19" t="inlineStr">
        <is>
          <t>СҮД: ХЯ1.1а. Бусдын яриаг сонсоод ойлгосноо үг үйлдлээр илэрхийлнэ.</t>
        </is>
      </c>
      <c r="F5" s="19" t="inlineStr">
        <is>
          <t>СҮД: НСХ1.3б. Бусад хүмүүс ижил зүйл хийж байгааг ажиглаж мэддэг болно.</t>
        </is>
      </c>
      <c r="G5" s="19" t="inlineStr">
        <is>
          <t>СҮД: НСХ1.2б. Бусдыг энэрсэн сэтгэлээ нүүр гар, биеийн хөдөлгөөн, дуу авиа, үгээр илэрхийлдэг болно.</t>
        </is>
      </c>
      <c r="H5" s="19" t="inlineStr">
        <is>
          <t>СҮД: НСХ1.3в. Насанд хүрэгчийн тусламжтай өдрийн хуваарьт үйл ажиллагаанд дасан зохицож оролцдог болно.</t>
        </is>
      </c>
      <c r="I5" s="4" t="n"/>
      <c r="J5" s="4" t="n"/>
      <c r="K5" s="4" t="n"/>
      <c r="L5" s="4" t="n"/>
      <c r="M5" s="4" t="n"/>
    </row>
    <row r="6" ht="14" customHeight="1">
      <c r="A6" s="4" t="n"/>
      <c r="B6" s="4" t="n"/>
      <c r="C6" s="4" t="n"/>
      <c r="D6" s="10" t="inlineStr">
        <is>
          <t>1 / 0</t>
        </is>
      </c>
      <c r="E6" s="10" t="inlineStr">
        <is>
          <t>1 / 0</t>
        </is>
      </c>
      <c r="F6" s="10" t="inlineStr">
        <is>
          <t>1 / 0</t>
        </is>
      </c>
      <c r="G6" s="10" t="inlineStr">
        <is>
          <t>1 / 0</t>
        </is>
      </c>
      <c r="H6" s="10" t="inlineStr">
        <is>
          <t>1 / 0</t>
        </is>
      </c>
      <c r="I6" s="4" t="n"/>
      <c r="J6" s="4" t="n"/>
      <c r="K6" s="4" t="n"/>
      <c r="L6" s="4" t="n"/>
      <c r="M6" s="4" t="n"/>
    </row>
    <row r="7" ht="16" customHeight="1">
      <c r="A7" s="12" t="n">
        <v>1</v>
      </c>
      <c r="B7" s="12">
        <f>IF(Нэгтгэл!B7="","",Нэгтгэл!B7)</f>
        <v/>
      </c>
      <c r="C7" s="4" t="n"/>
      <c r="D7" s="13" t="n">
        <v>1</v>
      </c>
      <c r="E7" s="13" t="n">
        <v>0</v>
      </c>
      <c r="F7" s="13" t="n">
        <v>0</v>
      </c>
      <c r="G7" s="13" t="n">
        <v>1</v>
      </c>
      <c r="H7" s="13" t="n">
        <v>1</v>
      </c>
      <c r="I7" s="12">
        <f>COUNTIF(D7:H7,1)</f>
        <v/>
      </c>
      <c r="J7" s="12">
        <f>IF(COUNT(D7:H7)=0,"",ROUND(I7/5*100,1))</f>
        <v/>
      </c>
      <c r="K7" s="12">
        <f>COUNTIF(D7:H7,0)</f>
        <v/>
      </c>
      <c r="L7" s="12">
        <f>IF(COUNT(D7:H7)=0,"",ROUND(K7/5*100,1))</f>
        <v/>
      </c>
      <c r="M7" s="20">
        <f>IF(J7="","",IF(J7&gt;=Нэгтгэл!$K$4,"Хангалттай эзэмшиж байна",IF(J7&gt;=Нэгтгэл!$K$5,"Ахиж байна","Хөгжиж байна")))</f>
        <v/>
      </c>
    </row>
    <row r="8" ht="16" customHeight="1">
      <c r="A8" s="12" t="n">
        <v>2</v>
      </c>
      <c r="B8" s="12">
        <f>IF(Нэгтгэл!B8="","",Нэгтгэл!B8)</f>
        <v/>
      </c>
      <c r="C8" s="4" t="n"/>
      <c r="D8" s="13" t="n">
        <v>1</v>
      </c>
      <c r="E8" s="13" t="n">
        <v>1</v>
      </c>
      <c r="F8" s="13" t="n">
        <v>1</v>
      </c>
      <c r="G8" s="13" t="n">
        <v>1</v>
      </c>
      <c r="H8" s="13" t="n">
        <v>1</v>
      </c>
      <c r="I8" s="12">
        <f>COUNTIF(D8:H8,1)</f>
        <v/>
      </c>
      <c r="J8" s="12">
        <f>IF(COUNT(D8:H8)=0,"",ROUND(I8/5*100,1))</f>
        <v/>
      </c>
      <c r="K8" s="12">
        <f>COUNTIF(D8:H8,0)</f>
        <v/>
      </c>
      <c r="L8" s="12">
        <f>IF(COUNT(D8:H8)=0,"",ROUND(K8/5*100,1))</f>
        <v/>
      </c>
      <c r="M8" s="20">
        <f>IF(J8="","",IF(J8&gt;=Нэгтгэл!$K$4,"Хангалттай эзэмшиж байна",IF(J8&gt;=Нэгтгэл!$K$5,"Ахиж байна","Хөгжиж байна")))</f>
        <v/>
      </c>
    </row>
    <row r="9" ht="16" customHeight="1">
      <c r="A9" s="12" t="n">
        <v>3</v>
      </c>
      <c r="B9" s="12">
        <f>IF(Нэгтгэл!B9="","",Нэгтгэл!B9)</f>
        <v/>
      </c>
      <c r="C9" s="4" t="n"/>
      <c r="D9" s="13" t="n">
        <v>0</v>
      </c>
      <c r="E9" s="13" t="n">
        <v>1</v>
      </c>
      <c r="F9" s="13" t="n">
        <v>0</v>
      </c>
      <c r="G9" s="13" t="n">
        <v>1</v>
      </c>
      <c r="H9" s="13" t="n">
        <v>1</v>
      </c>
      <c r="I9" s="12">
        <f>COUNTIF(D9:H9,1)</f>
        <v/>
      </c>
      <c r="J9" s="12">
        <f>IF(COUNT(D9:H9)=0,"",ROUND(I9/5*100,1))</f>
        <v/>
      </c>
      <c r="K9" s="12">
        <f>COUNTIF(D9:H9,0)</f>
        <v/>
      </c>
      <c r="L9" s="12">
        <f>IF(COUNT(D9:H9)=0,"",ROUND(K9/5*100,1))</f>
        <v/>
      </c>
      <c r="M9" s="20">
        <f>IF(J9="","",IF(J9&gt;=Нэгтгэл!$K$4,"Хангалттай эзэмшиж байна",IF(J9&gt;=Нэгтгэл!$K$5,"Ахиж байна","Хөгжиж байна")))</f>
        <v/>
      </c>
    </row>
    <row r="10" ht="16" customHeight="1">
      <c r="A10" s="12" t="n">
        <v>4</v>
      </c>
      <c r="B10" s="12">
        <f>IF(Нэгтгэл!B10="","",Нэгтгэл!B10)</f>
        <v/>
      </c>
      <c r="C10" s="4" t="n"/>
      <c r="D10" s="13" t="n">
        <v>1</v>
      </c>
      <c r="E10" s="13" t="n">
        <v>0</v>
      </c>
      <c r="F10" s="13" t="n">
        <v>1</v>
      </c>
      <c r="G10" s="13" t="n">
        <v>1</v>
      </c>
      <c r="H10" s="13" t="n">
        <v>1</v>
      </c>
      <c r="I10" s="12">
        <f>COUNTIF(D10:H10,1)</f>
        <v/>
      </c>
      <c r="J10" s="12">
        <f>IF(COUNT(D10:H10)=0,"",ROUND(I10/5*100,1))</f>
        <v/>
      </c>
      <c r="K10" s="12">
        <f>COUNTIF(D10:H10,0)</f>
        <v/>
      </c>
      <c r="L10" s="12">
        <f>IF(COUNT(D10:H10)=0,"",ROUND(K10/5*100,1))</f>
        <v/>
      </c>
      <c r="M10" s="20">
        <f>IF(J10="","",IF(J10&gt;=Нэгтгэл!$K$4,"Хангалттай эзэмшиж байна",IF(J10&gt;=Нэгтгэл!$K$5,"Ахиж байна","Хөгжиж байна")))</f>
        <v/>
      </c>
    </row>
    <row r="11" ht="16" customHeight="1">
      <c r="A11" s="12" t="n">
        <v>5</v>
      </c>
      <c r="B11" s="12">
        <f>IF(Нэгтгэл!B11="","",Нэгтгэл!B11)</f>
        <v/>
      </c>
      <c r="C11" s="4" t="n"/>
      <c r="D11" s="13" t="n">
        <v>0</v>
      </c>
      <c r="E11" s="13" t="n">
        <v>0</v>
      </c>
      <c r="F11" s="13" t="n">
        <v>1</v>
      </c>
      <c r="G11" s="13" t="n">
        <v>0</v>
      </c>
      <c r="H11" s="13" t="n">
        <v>1</v>
      </c>
      <c r="I11" s="12">
        <f>COUNTIF(D11:H11,1)</f>
        <v/>
      </c>
      <c r="J11" s="12">
        <f>IF(COUNT(D11:H11)=0,"",ROUND(I11/5*100,1))</f>
        <v/>
      </c>
      <c r="K11" s="12">
        <f>COUNTIF(D11:H11,0)</f>
        <v/>
      </c>
      <c r="L11" s="12">
        <f>IF(COUNT(D11:H11)=0,"",ROUND(K11/5*100,1))</f>
        <v/>
      </c>
      <c r="M11" s="20">
        <f>IF(J11="","",IF(J11&gt;=Нэгтгэл!$K$4,"Хангалттай эзэмшиж байна",IF(J11&gt;=Нэгтгэл!$K$5,"Ахиж байна","Хөгжиж байна")))</f>
        <v/>
      </c>
    </row>
    <row r="12" ht="16" customHeight="1">
      <c r="A12" s="12" t="n">
        <v>6</v>
      </c>
      <c r="B12" s="12">
        <f>IF(Нэгтгэл!B12="","",Нэгтгэл!B12)</f>
        <v/>
      </c>
      <c r="C12" s="4" t="n"/>
      <c r="D12" s="13" t="n">
        <v>0</v>
      </c>
      <c r="E12" s="13" t="n">
        <v>1</v>
      </c>
      <c r="F12" s="13" t="n">
        <v>0</v>
      </c>
      <c r="G12" s="13" t="n">
        <v>1</v>
      </c>
      <c r="H12" s="13" t="n">
        <v>0</v>
      </c>
      <c r="I12" s="12">
        <f>COUNTIF(D12:H12,1)</f>
        <v/>
      </c>
      <c r="J12" s="12">
        <f>IF(COUNT(D12:H12)=0,"",ROUND(I12/5*100,1))</f>
        <v/>
      </c>
      <c r="K12" s="12">
        <f>COUNTIF(D12:H12,0)</f>
        <v/>
      </c>
      <c r="L12" s="12">
        <f>IF(COUNT(D12:H12)=0,"",ROUND(K12/5*100,1))</f>
        <v/>
      </c>
      <c r="M12" s="20">
        <f>IF(J12="","",IF(J12&gt;=Нэгтгэл!$K$4,"Хангалттай эзэмшиж байна",IF(J12&gt;=Нэгтгэл!$K$5,"Ахиж байна","Хөгжиж байна")))</f>
        <v/>
      </c>
    </row>
    <row r="13" ht="16" customHeight="1">
      <c r="A13" s="12" t="n">
        <v>7</v>
      </c>
      <c r="B13" s="12">
        <f>IF(Нэгтгэл!B13="","",Нэгтгэл!B13)</f>
        <v/>
      </c>
      <c r="C13" s="4" t="n"/>
      <c r="D13" s="13" t="n">
        <v>1</v>
      </c>
      <c r="E13" s="13" t="n">
        <v>1</v>
      </c>
      <c r="F13" s="13" t="n">
        <v>1</v>
      </c>
      <c r="G13" s="13" t="n">
        <v>1</v>
      </c>
      <c r="H13" s="13" t="n">
        <v>0</v>
      </c>
      <c r="I13" s="12">
        <f>COUNTIF(D13:H13,1)</f>
        <v/>
      </c>
      <c r="J13" s="12">
        <f>IF(COUNT(D13:H13)=0,"",ROUND(I13/5*100,1))</f>
        <v/>
      </c>
      <c r="K13" s="12">
        <f>COUNTIF(D13:H13,0)</f>
        <v/>
      </c>
      <c r="L13" s="12">
        <f>IF(COUNT(D13:H13)=0,"",ROUND(K13/5*100,1))</f>
        <v/>
      </c>
      <c r="M13" s="20">
        <f>IF(J13="","",IF(J13&gt;=Нэгтгэл!$K$4,"Хангалттай эзэмшиж байна",IF(J13&gt;=Нэгтгэл!$K$5,"Ахиж байна","Хөгжиж байна")))</f>
        <v/>
      </c>
    </row>
    <row r="14" ht="16" customHeight="1">
      <c r="A14" s="12" t="n">
        <v>8</v>
      </c>
      <c r="B14" s="12">
        <f>IF(Нэгтгэл!B14="","",Нэгтгэл!B14)</f>
        <v/>
      </c>
      <c r="C14" s="4" t="n"/>
      <c r="D14" s="13" t="n">
        <v>0</v>
      </c>
      <c r="E14" s="13" t="n">
        <v>1</v>
      </c>
      <c r="F14" s="13" t="n">
        <v>0</v>
      </c>
      <c r="G14" s="13" t="n">
        <v>1</v>
      </c>
      <c r="H14" s="13" t="n">
        <v>0</v>
      </c>
      <c r="I14" s="12">
        <f>COUNTIF(D14:H14,1)</f>
        <v/>
      </c>
      <c r="J14" s="12">
        <f>IF(COUNT(D14:H14)=0,"",ROUND(I14/5*100,1))</f>
        <v/>
      </c>
      <c r="K14" s="12">
        <f>COUNTIF(D14:H14,0)</f>
        <v/>
      </c>
      <c r="L14" s="12">
        <f>IF(COUNT(D14:H14)=0,"",ROUND(K14/5*100,1))</f>
        <v/>
      </c>
      <c r="M14" s="20">
        <f>IF(J14="","",IF(J14&gt;=Нэгтгэл!$K$4,"Хангалттай эзэмшиж байна",IF(J14&gt;=Нэгтгэл!$K$5,"Ахиж байна","Хөгжиж байна")))</f>
        <v/>
      </c>
    </row>
    <row r="15" ht="16" customHeight="1">
      <c r="A15" s="12" t="n">
        <v>9</v>
      </c>
      <c r="B15" s="12">
        <f>IF(Нэгтгэл!B15="","",Нэгтгэл!B15)</f>
        <v/>
      </c>
      <c r="C15" s="4" t="n"/>
      <c r="D15" s="13" t="n">
        <v>1</v>
      </c>
      <c r="E15" s="13" t="n">
        <v>1</v>
      </c>
      <c r="F15" s="13" t="n">
        <v>1</v>
      </c>
      <c r="G15" s="13" t="n">
        <v>0</v>
      </c>
      <c r="H15" s="13" t="n">
        <v>1</v>
      </c>
      <c r="I15" s="12">
        <f>COUNTIF(D15:H15,1)</f>
        <v/>
      </c>
      <c r="J15" s="12">
        <f>IF(COUNT(D15:H15)=0,"",ROUND(I15/5*100,1))</f>
        <v/>
      </c>
      <c r="K15" s="12">
        <f>COUNTIF(D15:H15,0)</f>
        <v/>
      </c>
      <c r="L15" s="12">
        <f>IF(COUNT(D15:H15)=0,"",ROUND(K15/5*100,1))</f>
        <v/>
      </c>
      <c r="M15" s="20">
        <f>IF(J15="","",IF(J15&gt;=Нэгтгэл!$K$4,"Хангалттай эзэмшиж байна",IF(J15&gt;=Нэгтгэл!$K$5,"Ахиж байна","Хөгжиж байна")))</f>
        <v/>
      </c>
    </row>
    <row r="16" ht="16" customHeight="1">
      <c r="A16" s="12" t="n">
        <v>10</v>
      </c>
      <c r="B16" s="12">
        <f>IF(Нэгтгэл!B16="","",Нэгтгэл!B16)</f>
        <v/>
      </c>
      <c r="C16" s="4" t="n"/>
      <c r="D16" s="13" t="n">
        <v>1</v>
      </c>
      <c r="E16" s="13" t="n">
        <v>1</v>
      </c>
      <c r="F16" s="13" t="n">
        <v>1</v>
      </c>
      <c r="G16" s="13" t="n">
        <v>1</v>
      </c>
      <c r="H16" s="13" t="n">
        <v>1</v>
      </c>
      <c r="I16" s="12">
        <f>COUNTIF(D16:H16,1)</f>
        <v/>
      </c>
      <c r="J16" s="12">
        <f>IF(COUNT(D16:H16)=0,"",ROUND(I16/5*100,1))</f>
        <v/>
      </c>
      <c r="K16" s="12">
        <f>COUNTIF(D16:H16,0)</f>
        <v/>
      </c>
      <c r="L16" s="12">
        <f>IF(COUNT(D16:H16)=0,"",ROUND(K16/5*100,1))</f>
        <v/>
      </c>
      <c r="M16" s="20">
        <f>IF(J16="","",IF(J16&gt;=Нэгтгэл!$K$4,"Хангалттай эзэмшиж байна",IF(J16&gt;=Нэгтгэл!$K$5,"Ахиж байна","Хөгжиж байна")))</f>
        <v/>
      </c>
    </row>
    <row r="17" ht="16" customHeight="1">
      <c r="A17" s="12" t="n">
        <v>11</v>
      </c>
      <c r="B17" s="12">
        <f>IF(Нэгтгэл!B17="","",Нэгтгэл!B17)</f>
        <v/>
      </c>
      <c r="C17" s="4" t="n"/>
      <c r="D17" s="13" t="n">
        <v>1</v>
      </c>
      <c r="E17" s="13" t="n">
        <v>1</v>
      </c>
      <c r="F17" s="13" t="n">
        <v>1</v>
      </c>
      <c r="G17" s="13" t="n">
        <v>1</v>
      </c>
      <c r="H17" s="13" t="n">
        <v>1</v>
      </c>
      <c r="I17" s="12">
        <f>COUNTIF(D17:H17,1)</f>
        <v/>
      </c>
      <c r="J17" s="12">
        <f>IF(COUNT(D17:H17)=0,"",ROUND(I17/5*100,1))</f>
        <v/>
      </c>
      <c r="K17" s="12">
        <f>COUNTIF(D17:H17,0)</f>
        <v/>
      </c>
      <c r="L17" s="12">
        <f>IF(COUNT(D17:H17)=0,"",ROUND(K17/5*100,1))</f>
        <v/>
      </c>
      <c r="M17" s="20">
        <f>IF(J17="","",IF(J17&gt;=Нэгтгэл!$K$4,"Хангалттай эзэмшиж байна",IF(J17&gt;=Нэгтгэл!$K$5,"Ахиж байна","Хөгжиж байна")))</f>
        <v/>
      </c>
    </row>
    <row r="18" ht="16" customHeight="1">
      <c r="A18" s="12" t="n">
        <v>12</v>
      </c>
      <c r="B18" s="12">
        <f>IF(Нэгтгэл!B18="","",Нэгтгэл!B18)</f>
        <v/>
      </c>
      <c r="C18" s="4" t="n"/>
      <c r="D18" s="13" t="n">
        <v>1</v>
      </c>
      <c r="E18" s="13" t="n">
        <v>1</v>
      </c>
      <c r="F18" s="13" t="n">
        <v>1</v>
      </c>
      <c r="G18" s="13" t="n">
        <v>1</v>
      </c>
      <c r="H18" s="13" t="n">
        <v>1</v>
      </c>
      <c r="I18" s="12">
        <f>COUNTIF(D18:H18,1)</f>
        <v/>
      </c>
      <c r="J18" s="12">
        <f>IF(COUNT(D18:H18)=0,"",ROUND(I18/5*100,1))</f>
        <v/>
      </c>
      <c r="K18" s="12">
        <f>COUNTIF(D18:H18,0)</f>
        <v/>
      </c>
      <c r="L18" s="12">
        <f>IF(COUNT(D18:H18)=0,"",ROUND(K18/5*100,1))</f>
        <v/>
      </c>
      <c r="M18" s="20">
        <f>IF(J18="","",IF(J18&gt;=Нэгтгэл!$K$4,"Хангалттай эзэмшиж байна",IF(J18&gt;=Нэгтгэл!$K$5,"Ахиж байна","Хөгжиж байна")))</f>
        <v/>
      </c>
    </row>
    <row r="19" ht="16" customHeight="1">
      <c r="A19" s="12" t="n">
        <v>13</v>
      </c>
      <c r="B19" s="12">
        <f>IF(Нэгтгэл!B19="","",Нэгтгэл!B19)</f>
        <v/>
      </c>
      <c r="C19" s="4" t="n"/>
      <c r="D19" s="13" t="n">
        <v>1</v>
      </c>
      <c r="E19" s="13" t="n">
        <v>0</v>
      </c>
      <c r="F19" s="13" t="n">
        <v>1</v>
      </c>
      <c r="G19" s="13" t="n">
        <v>1</v>
      </c>
      <c r="H19" s="13" t="n">
        <v>1</v>
      </c>
      <c r="I19" s="12">
        <f>COUNTIF(D19:H19,1)</f>
        <v/>
      </c>
      <c r="J19" s="12">
        <f>IF(COUNT(D19:H19)=0,"",ROUND(I19/5*100,1))</f>
        <v/>
      </c>
      <c r="K19" s="12">
        <f>COUNTIF(D19:H19,0)</f>
        <v/>
      </c>
      <c r="L19" s="12">
        <f>IF(COUNT(D19:H19)=0,"",ROUND(K19/5*100,1))</f>
        <v/>
      </c>
      <c r="M19" s="20">
        <f>IF(J19="","",IF(J19&gt;=Нэгтгэл!$K$4,"Хангалттай эзэмшиж байна",IF(J19&gt;=Нэгтгэл!$K$5,"Ахиж байна","Хөгжиж байна")))</f>
        <v/>
      </c>
    </row>
    <row r="20" ht="16" customHeight="1">
      <c r="A20" s="12" t="n">
        <v>14</v>
      </c>
      <c r="B20" s="12">
        <f>IF(Нэгтгэл!B20="","",Нэгтгэл!B20)</f>
        <v/>
      </c>
      <c r="C20" s="4" t="n"/>
      <c r="D20" s="13" t="n">
        <v>1</v>
      </c>
      <c r="E20" s="13" t="n">
        <v>1</v>
      </c>
      <c r="F20" s="13" t="n">
        <v>1</v>
      </c>
      <c r="G20" s="13" t="n">
        <v>1</v>
      </c>
      <c r="H20" s="13" t="n">
        <v>1</v>
      </c>
      <c r="I20" s="12">
        <f>COUNTIF(D20:H20,1)</f>
        <v/>
      </c>
      <c r="J20" s="12">
        <f>IF(COUNT(D20:H20)=0,"",ROUND(I20/5*100,1))</f>
        <v/>
      </c>
      <c r="K20" s="12">
        <f>COUNTIF(D20:H20,0)</f>
        <v/>
      </c>
      <c r="L20" s="12">
        <f>IF(COUNT(D20:H20)=0,"",ROUND(K20/5*100,1))</f>
        <v/>
      </c>
      <c r="M20" s="20">
        <f>IF(J20="","",IF(J20&gt;=Нэгтгэл!$K$4,"Хангалттай эзэмшиж байна",IF(J20&gt;=Нэгтгэл!$K$5,"Ахиж байна","Хөгжиж байна")))</f>
        <v/>
      </c>
    </row>
    <row r="21" ht="16" customHeight="1">
      <c r="A21" s="12" t="n">
        <v>15</v>
      </c>
      <c r="B21" s="12">
        <f>IF(Нэгтгэл!B21="","",Нэгтгэл!B21)</f>
        <v/>
      </c>
      <c r="C21" s="4" t="n"/>
      <c r="D21" s="13" t="n">
        <v>1</v>
      </c>
      <c r="E21" s="13" t="n">
        <v>0</v>
      </c>
      <c r="F21" s="13" t="n">
        <v>1</v>
      </c>
      <c r="G21" s="13" t="n">
        <v>0</v>
      </c>
      <c r="H21" s="13" t="n">
        <v>1</v>
      </c>
      <c r="I21" s="12">
        <f>COUNTIF(D21:H21,1)</f>
        <v/>
      </c>
      <c r="J21" s="12">
        <f>IF(COUNT(D21:H21)=0,"",ROUND(I21/5*100,1))</f>
        <v/>
      </c>
      <c r="K21" s="12">
        <f>COUNTIF(D21:H21,0)</f>
        <v/>
      </c>
      <c r="L21" s="12">
        <f>IF(COUNT(D21:H21)=0,"",ROUND(K21/5*100,1))</f>
        <v/>
      </c>
      <c r="M21" s="20">
        <f>IF(J21="","",IF(J21&gt;=Нэгтгэл!$K$4,"Хангалттай эзэмшиж байна",IF(J21&gt;=Нэгтгэл!$K$5,"Ахиж байна","Хөгжиж байна")))</f>
        <v/>
      </c>
    </row>
    <row r="22" ht="16" customHeight="1">
      <c r="A22" s="12" t="n">
        <v>16</v>
      </c>
      <c r="B22" s="12">
        <f>IF(Нэгтгэл!B22="","",Нэгтгэл!B22)</f>
        <v/>
      </c>
      <c r="C22" s="4" t="n"/>
      <c r="D22" s="13" t="n">
        <v>1</v>
      </c>
      <c r="E22" s="13" t="n">
        <v>0</v>
      </c>
      <c r="F22" s="13" t="n">
        <v>1</v>
      </c>
      <c r="G22" s="13" t="n">
        <v>1</v>
      </c>
      <c r="H22" s="13" t="n">
        <v>1</v>
      </c>
      <c r="I22" s="12">
        <f>COUNTIF(D22:H22,1)</f>
        <v/>
      </c>
      <c r="J22" s="12">
        <f>IF(COUNT(D22:H22)=0,"",ROUND(I22/5*100,1))</f>
        <v/>
      </c>
      <c r="K22" s="12">
        <f>COUNTIF(D22:H22,0)</f>
        <v/>
      </c>
      <c r="L22" s="12">
        <f>IF(COUNT(D22:H22)=0,"",ROUND(K22/5*100,1))</f>
        <v/>
      </c>
      <c r="M22" s="20">
        <f>IF(J22="","",IF(J22&gt;=Нэгтгэл!$K$4,"Хангалттай эзэмшиж байна",IF(J22&gt;=Нэгтгэл!$K$5,"Ахиж байна","Хөгжиж байна")))</f>
        <v/>
      </c>
    </row>
    <row r="23" ht="16" customHeight="1">
      <c r="A23" s="12" t="n">
        <v>17</v>
      </c>
      <c r="B23" s="12">
        <f>IF(Нэгтгэл!B23="","",Нэгтгэл!B23)</f>
        <v/>
      </c>
      <c r="C23" s="4" t="n"/>
      <c r="D23" s="13" t="n">
        <v>0</v>
      </c>
      <c r="E23" s="13" t="n">
        <v>1</v>
      </c>
      <c r="F23" s="13" t="n">
        <v>1</v>
      </c>
      <c r="G23" s="13" t="n">
        <v>1</v>
      </c>
      <c r="H23" s="13" t="n">
        <v>0</v>
      </c>
      <c r="I23" s="12">
        <f>COUNTIF(D23:H23,1)</f>
        <v/>
      </c>
      <c r="J23" s="12">
        <f>IF(COUNT(D23:H23)=0,"",ROUND(I23/5*100,1))</f>
        <v/>
      </c>
      <c r="K23" s="12">
        <f>COUNTIF(D23:H23,0)</f>
        <v/>
      </c>
      <c r="L23" s="12">
        <f>IF(COUNT(D23:H23)=0,"",ROUND(K23/5*100,1))</f>
        <v/>
      </c>
      <c r="M23" s="20">
        <f>IF(J23="","",IF(J23&gt;=Нэгтгэл!$K$4,"Хангалттай эзэмшиж байна",IF(J23&gt;=Нэгтгэл!$K$5,"Ахиж байна","Хөгжиж байна")))</f>
        <v/>
      </c>
    </row>
    <row r="24" ht="16" customHeight="1">
      <c r="A24" s="12" t="n">
        <v>18</v>
      </c>
      <c r="B24" s="12">
        <f>IF(Нэгтгэл!B24="","",Нэгтгэл!B24)</f>
        <v/>
      </c>
      <c r="C24" s="4" t="n"/>
      <c r="D24" s="13" t="n">
        <v>1</v>
      </c>
      <c r="E24" s="13" t="n">
        <v>0</v>
      </c>
      <c r="F24" s="13" t="n">
        <v>1</v>
      </c>
      <c r="G24" s="13" t="n">
        <v>0</v>
      </c>
      <c r="H24" s="13" t="n">
        <v>0</v>
      </c>
      <c r="I24" s="12">
        <f>COUNTIF(D24:H24,1)</f>
        <v/>
      </c>
      <c r="J24" s="12">
        <f>IF(COUNT(D24:H24)=0,"",ROUND(I24/5*100,1))</f>
        <v/>
      </c>
      <c r="K24" s="12">
        <f>COUNTIF(D24:H24,0)</f>
        <v/>
      </c>
      <c r="L24" s="12">
        <f>IF(COUNT(D24:H24)=0,"",ROUND(K24/5*100,1))</f>
        <v/>
      </c>
      <c r="M24" s="20">
        <f>IF(J24="","",IF(J24&gt;=Нэгтгэл!$K$4,"Хангалттай эзэмшиж байна",IF(J24&gt;=Нэгтгэл!$K$5,"Ахиж байна","Хөгжиж байна")))</f>
        <v/>
      </c>
    </row>
    <row r="25" ht="16" customHeight="1">
      <c r="A25" s="12" t="n">
        <v>19</v>
      </c>
      <c r="B25" s="12">
        <f>IF(Нэгтгэл!B25="","",Нэгтгэл!B25)</f>
        <v/>
      </c>
      <c r="C25" s="4" t="n"/>
      <c r="D25" s="13" t="n">
        <v>0</v>
      </c>
      <c r="E25" s="13" t="n">
        <v>1</v>
      </c>
      <c r="F25" s="13" t="n">
        <v>0</v>
      </c>
      <c r="G25" s="13" t="n">
        <v>0</v>
      </c>
      <c r="H25" s="13" t="n">
        <v>1</v>
      </c>
      <c r="I25" s="12">
        <f>COUNTIF(D25:H25,1)</f>
        <v/>
      </c>
      <c r="J25" s="12">
        <f>IF(COUNT(D25:H25)=0,"",ROUND(I25/5*100,1))</f>
        <v/>
      </c>
      <c r="K25" s="12">
        <f>COUNTIF(D25:H25,0)</f>
        <v/>
      </c>
      <c r="L25" s="12">
        <f>IF(COUNT(D25:H25)=0,"",ROUND(K25/5*100,1))</f>
        <v/>
      </c>
      <c r="M25" s="20">
        <f>IF(J25="","",IF(J25&gt;=Нэгтгэл!$K$4,"Хангалттай эзэмшиж байна",IF(J25&gt;=Нэгтгэл!$K$5,"Ахиж байна","Хөгжиж байна")))</f>
        <v/>
      </c>
    </row>
    <row r="26" ht="16" customHeight="1">
      <c r="A26" s="12" t="n">
        <v>20</v>
      </c>
      <c r="B26" s="12">
        <f>IF(Нэгтгэл!B26="","",Нэгтгэл!B26)</f>
        <v/>
      </c>
      <c r="C26" s="4" t="n"/>
      <c r="D26" s="13" t="n">
        <v>0</v>
      </c>
      <c r="E26" s="13" t="n">
        <v>1</v>
      </c>
      <c r="F26" s="13" t="n">
        <v>1</v>
      </c>
      <c r="G26" s="13" t="n">
        <v>1</v>
      </c>
      <c r="H26" s="13" t="n">
        <v>1</v>
      </c>
      <c r="I26" s="12">
        <f>COUNTIF(D26:H26,1)</f>
        <v/>
      </c>
      <c r="J26" s="12">
        <f>IF(COUNT(D26:H26)=0,"",ROUND(I26/5*100,1))</f>
        <v/>
      </c>
      <c r="K26" s="12">
        <f>COUNTIF(D26:H26,0)</f>
        <v/>
      </c>
      <c r="L26" s="12">
        <f>IF(COUNT(D26:H26)=0,"",ROUND(K26/5*100,1))</f>
        <v/>
      </c>
      <c r="M26" s="20">
        <f>IF(J26="","",IF(J26&gt;=Нэгтгэл!$K$4,"Хангалттай эзэмшиж байна",IF(J26&gt;=Нэгтгэл!$K$5,"Ахиж байна","Хөгжиж байна")))</f>
        <v/>
      </c>
    </row>
    <row r="27" ht="16" customHeight="1">
      <c r="A27" s="12" t="n">
        <v>21</v>
      </c>
      <c r="B27" s="12">
        <f>IF(Нэгтгэл!B27="","",Нэгтгэл!B27)</f>
        <v/>
      </c>
      <c r="C27" s="4" t="n"/>
      <c r="D27" s="13" t="n">
        <v>1</v>
      </c>
      <c r="E27" s="13" t="n">
        <v>1</v>
      </c>
      <c r="F27" s="13" t="n">
        <v>0</v>
      </c>
      <c r="G27" s="13" t="n">
        <v>1</v>
      </c>
      <c r="H27" s="13" t="n">
        <v>1</v>
      </c>
      <c r="I27" s="12">
        <f>COUNTIF(D27:H27,1)</f>
        <v/>
      </c>
      <c r="J27" s="12">
        <f>IF(COUNT(D27:H27)=0,"",ROUND(I27/5*100,1))</f>
        <v/>
      </c>
      <c r="K27" s="12">
        <f>COUNTIF(D27:H27,0)</f>
        <v/>
      </c>
      <c r="L27" s="12">
        <f>IF(COUNT(D27:H27)=0,"",ROUND(K27/5*100,1))</f>
        <v/>
      </c>
      <c r="M27" s="20">
        <f>IF(J27="","",IF(J27&gt;=Нэгтгэл!$K$4,"Хангалттай эзэмшиж байна",IF(J27&gt;=Нэгтгэл!$K$5,"Ахиж байна","Хөгжиж байна")))</f>
        <v/>
      </c>
    </row>
    <row r="28" ht="16" customHeight="1">
      <c r="A28" s="12" t="n">
        <v>22</v>
      </c>
      <c r="B28" s="12">
        <f>IF(Нэгтгэл!B28="","",Нэгтгэл!B28)</f>
        <v/>
      </c>
      <c r="C28" s="4" t="n"/>
      <c r="D28" s="13" t="n">
        <v>1</v>
      </c>
      <c r="E28" s="13" t="n">
        <v>1</v>
      </c>
      <c r="F28" s="13" t="n">
        <v>0</v>
      </c>
      <c r="G28" s="13" t="n">
        <v>0</v>
      </c>
      <c r="H28" s="13" t="n">
        <v>0</v>
      </c>
      <c r="I28" s="12">
        <f>COUNTIF(D28:H28,1)</f>
        <v/>
      </c>
      <c r="J28" s="12">
        <f>IF(COUNT(D28:H28)=0,"",ROUND(I28/5*100,1))</f>
        <v/>
      </c>
      <c r="K28" s="12">
        <f>COUNTIF(D28:H28,0)</f>
        <v/>
      </c>
      <c r="L28" s="12">
        <f>IF(COUNT(D28:H28)=0,"",ROUND(K28/5*100,1))</f>
        <v/>
      </c>
      <c r="M28" s="20">
        <f>IF(J28="","",IF(J28&gt;=Нэгтгэл!$K$4,"Хангалттай эзэмшиж байна",IF(J28&gt;=Нэгтгэл!$K$5,"Ахиж байна","Хөгжиж байна")))</f>
        <v/>
      </c>
    </row>
    <row r="29" ht="16" customHeight="1">
      <c r="A29" s="12" t="n">
        <v>23</v>
      </c>
      <c r="B29" s="12">
        <f>IF(Нэгтгэл!B29="","",Нэгтгэл!B29)</f>
        <v/>
      </c>
      <c r="C29" s="4" t="n"/>
      <c r="D29" s="13" t="n">
        <v>0</v>
      </c>
      <c r="E29" s="13" t="n">
        <v>1</v>
      </c>
      <c r="F29" s="13" t="n">
        <v>0</v>
      </c>
      <c r="G29" s="13" t="n">
        <v>1</v>
      </c>
      <c r="H29" s="13" t="n">
        <v>1</v>
      </c>
      <c r="I29" s="12">
        <f>COUNTIF(D29:H29,1)</f>
        <v/>
      </c>
      <c r="J29" s="12">
        <f>IF(COUNT(D29:H29)=0,"",ROUND(I29/5*100,1))</f>
        <v/>
      </c>
      <c r="K29" s="12">
        <f>COUNTIF(D29:H29,0)</f>
        <v/>
      </c>
      <c r="L29" s="12">
        <f>IF(COUNT(D29:H29)=0,"",ROUND(K29/5*100,1))</f>
        <v/>
      </c>
      <c r="M29" s="20">
        <f>IF(J29="","",IF(J29&gt;=Нэгтгэл!$K$4,"Хангалттай эзэмшиж байна",IF(J29&gt;=Нэгтгэл!$K$5,"Ахиж байна","Хөгжиж байна")))</f>
        <v/>
      </c>
    </row>
    <row r="30" ht="16" customHeight="1">
      <c r="A30" s="12" t="n">
        <v>24</v>
      </c>
      <c r="B30" s="12">
        <f>IF(Нэгтгэл!B30="","",Нэгтгэл!B30)</f>
        <v/>
      </c>
      <c r="C30" s="4" t="n"/>
      <c r="D30" s="13" t="n">
        <v>1</v>
      </c>
      <c r="E30" s="13" t="n">
        <v>0</v>
      </c>
      <c r="F30" s="13" t="n">
        <v>1</v>
      </c>
      <c r="G30" s="13" t="n">
        <v>0</v>
      </c>
      <c r="H30" s="13" t="n">
        <v>0</v>
      </c>
      <c r="I30" s="12">
        <f>COUNTIF(D30:H30,1)</f>
        <v/>
      </c>
      <c r="J30" s="12">
        <f>IF(COUNT(D30:H30)=0,"",ROUND(I30/5*100,1))</f>
        <v/>
      </c>
      <c r="K30" s="12">
        <f>COUNTIF(D30:H30,0)</f>
        <v/>
      </c>
      <c r="L30" s="12">
        <f>IF(COUNT(D30:H30)=0,"",ROUND(K30/5*100,1))</f>
        <v/>
      </c>
      <c r="M30" s="20">
        <f>IF(J30="","",IF(J30&gt;=Нэгтгэл!$K$4,"Хангалттай эзэмшиж байна",IF(J30&gt;=Нэгтгэл!$K$5,"Ахиж байна","Хөгжиж байна")))</f>
        <v/>
      </c>
    </row>
    <row r="31" ht="16" customHeight="1">
      <c r="A31" s="12" t="n">
        <v>25</v>
      </c>
      <c r="B31" s="12">
        <f>IF(Нэгтгэл!B31="","",Нэгтгэл!B31)</f>
        <v/>
      </c>
      <c r="C31" s="4" t="n"/>
      <c r="D31" s="13" t="n">
        <v>1</v>
      </c>
      <c r="E31" s="13" t="n">
        <v>1</v>
      </c>
      <c r="F31" s="13" t="n">
        <v>0</v>
      </c>
      <c r="G31" s="13" t="n">
        <v>1</v>
      </c>
      <c r="H31" s="13" t="n">
        <v>1</v>
      </c>
      <c r="I31" s="12">
        <f>COUNTIF(D31:H31,1)</f>
        <v/>
      </c>
      <c r="J31" s="12">
        <f>IF(COUNT(D31:H31)=0,"",ROUND(I31/5*100,1))</f>
        <v/>
      </c>
      <c r="K31" s="12">
        <f>COUNTIF(D31:H31,0)</f>
        <v/>
      </c>
      <c r="L31" s="12">
        <f>IF(COUNT(D31:H31)=0,"",ROUND(K31/5*100,1))</f>
        <v/>
      </c>
      <c r="M31" s="20">
        <f>IF(J31="","",IF(J31&gt;=Нэгтгэл!$K$4,"Хангалттай эзэмшиж байна",IF(J31&gt;=Нэгтгэл!$K$5,"Ахиж байна","Хөгжиж байна")))</f>
        <v/>
      </c>
    </row>
    <row r="32" ht="16" customHeight="1">
      <c r="A32" s="12" t="n">
        <v>26</v>
      </c>
      <c r="B32" s="12">
        <f>IF(Нэгтгэл!B32="","",Нэгтгэл!B32)</f>
        <v/>
      </c>
      <c r="C32" s="4" t="n"/>
      <c r="D32" s="13" t="n">
        <v>0</v>
      </c>
      <c r="E32" s="13" t="n">
        <v>1</v>
      </c>
      <c r="F32" s="13" t="n">
        <v>0</v>
      </c>
      <c r="G32" s="13" t="n">
        <v>1</v>
      </c>
      <c r="H32" s="13" t="n">
        <v>1</v>
      </c>
      <c r="I32" s="12">
        <f>COUNTIF(D32:H32,1)</f>
        <v/>
      </c>
      <c r="J32" s="12">
        <f>IF(COUNT(D32:H32)=0,"",ROUND(I32/5*100,1))</f>
        <v/>
      </c>
      <c r="K32" s="12">
        <f>COUNTIF(D32:H32,0)</f>
        <v/>
      </c>
      <c r="L32" s="12">
        <f>IF(COUNT(D32:H32)=0,"",ROUND(K32/5*100,1))</f>
        <v/>
      </c>
      <c r="M32" s="20">
        <f>IF(J32="","",IF(J32&gt;=Нэгтгэл!$K$4,"Хангалттай эзэмшиж байна",IF(J32&gt;=Нэгтгэл!$K$5,"Ахиж байна","Хөгжиж байна")))</f>
        <v/>
      </c>
    </row>
    <row r="33" ht="16" customHeight="1">
      <c r="A33" s="12" t="n">
        <v>27</v>
      </c>
      <c r="B33" s="12">
        <f>IF(Нэгтгэл!B33="","",Нэгтгэл!B33)</f>
        <v/>
      </c>
      <c r="C33" s="4" t="n"/>
      <c r="D33" s="13" t="n">
        <v>1</v>
      </c>
      <c r="E33" s="13" t="n">
        <v>1</v>
      </c>
      <c r="F33" s="13" t="n">
        <v>1</v>
      </c>
      <c r="G33" s="13" t="n">
        <v>0</v>
      </c>
      <c r="H33" s="13" t="n">
        <v>1</v>
      </c>
      <c r="I33" s="12">
        <f>COUNTIF(D33:H33,1)</f>
        <v/>
      </c>
      <c r="J33" s="12">
        <f>IF(COUNT(D33:H33)=0,"",ROUND(I33/5*100,1))</f>
        <v/>
      </c>
      <c r="K33" s="12">
        <f>COUNTIF(D33:H33,0)</f>
        <v/>
      </c>
      <c r="L33" s="12">
        <f>IF(COUNT(D33:H33)=0,"",ROUND(K33/5*100,1))</f>
        <v/>
      </c>
      <c r="M33" s="20">
        <f>IF(J33="","",IF(J33&gt;=Нэгтгэл!$K$4,"Хангалттай эзэмшиж байна",IF(J33&gt;=Нэгтгэл!$K$5,"Ахиж байна","Хөгжиж байна")))</f>
        <v/>
      </c>
    </row>
    <row r="34" ht="16" customHeight="1">
      <c r="A34" s="12" t="n">
        <v>28</v>
      </c>
      <c r="B34" s="12">
        <f>IF(Нэгтгэл!B34="","",Нэгтгэл!B34)</f>
        <v/>
      </c>
      <c r="C34" s="4" t="n"/>
      <c r="D34" s="13" t="n">
        <v>1</v>
      </c>
      <c r="E34" s="13" t="n">
        <v>1</v>
      </c>
      <c r="F34" s="13" t="n">
        <v>1</v>
      </c>
      <c r="G34" s="13" t="n">
        <v>0</v>
      </c>
      <c r="H34" s="13" t="n">
        <v>1</v>
      </c>
      <c r="I34" s="12">
        <f>COUNTIF(D34:H34,1)</f>
        <v/>
      </c>
      <c r="J34" s="12">
        <f>IF(COUNT(D34:H34)=0,"",ROUND(I34/5*100,1))</f>
        <v/>
      </c>
      <c r="K34" s="12">
        <f>COUNTIF(D34:H34,0)</f>
        <v/>
      </c>
      <c r="L34" s="12">
        <f>IF(COUNT(D34:H34)=0,"",ROUND(K34/5*100,1))</f>
        <v/>
      </c>
      <c r="M34" s="20">
        <f>IF(J34="","",IF(J34&gt;=Нэгтгэл!$K$4,"Хангалттай эзэмшиж байна",IF(J34&gt;=Нэгтгэл!$K$5,"Ахиж байна","Хөгжиж байна")))</f>
        <v/>
      </c>
    </row>
    <row r="35" ht="16" customHeight="1">
      <c r="A35" s="12" t="n">
        <v>29</v>
      </c>
      <c r="B35" s="12">
        <f>IF(Нэгтгэл!B35="","",Нэгтгэл!B35)</f>
        <v/>
      </c>
      <c r="C35" s="4" t="n"/>
      <c r="D35" s="13" t="n">
        <v>1</v>
      </c>
      <c r="E35" s="13" t="n">
        <v>1</v>
      </c>
      <c r="F35" s="13" t="n">
        <v>1</v>
      </c>
      <c r="G35" s="13" t="n">
        <v>0</v>
      </c>
      <c r="H35" s="13" t="n">
        <v>1</v>
      </c>
      <c r="I35" s="12">
        <f>COUNTIF(D35:H35,1)</f>
        <v/>
      </c>
      <c r="J35" s="12">
        <f>IF(COUNT(D35:H35)=0,"",ROUND(I35/5*100,1))</f>
        <v/>
      </c>
      <c r="K35" s="12">
        <f>COUNTIF(D35:H35,0)</f>
        <v/>
      </c>
      <c r="L35" s="12">
        <f>IF(COUNT(D35:H35)=0,"",ROUND(K35/5*100,1))</f>
        <v/>
      </c>
      <c r="M35" s="20">
        <f>IF(J35="","",IF(J35&gt;=Нэгтгэл!$K$4,"Хангалттай эзэмшиж байна",IF(J35&gt;=Нэгтгэл!$K$5,"Ахиж байна","Хөгжиж байна")))</f>
        <v/>
      </c>
    </row>
    <row r="36" ht="16" customHeight="1">
      <c r="A36" s="12" t="n">
        <v>30</v>
      </c>
      <c r="B36" s="12">
        <f>IF(Нэгтгэл!B36="","",Нэгтгэл!B36)</f>
        <v/>
      </c>
      <c r="C36" s="4" t="n"/>
      <c r="D36" s="13" t="n">
        <v>0</v>
      </c>
      <c r="E36" s="13" t="n">
        <v>1</v>
      </c>
      <c r="F36" s="13" t="n">
        <v>1</v>
      </c>
      <c r="G36" s="13" t="n">
        <v>1</v>
      </c>
      <c r="H36" s="13" t="n">
        <v>1</v>
      </c>
      <c r="I36" s="12">
        <f>COUNTIF(D36:H36,1)</f>
        <v/>
      </c>
      <c r="J36" s="12">
        <f>IF(COUNT(D36:H36)=0,"",ROUND(I36/5*100,1))</f>
        <v/>
      </c>
      <c r="K36" s="12">
        <f>COUNTIF(D36:H36,0)</f>
        <v/>
      </c>
      <c r="L36" s="12">
        <f>IF(COUNT(D36:H36)=0,"",ROUND(K36/5*100,1))</f>
        <v/>
      </c>
      <c r="M36" s="20">
        <f>IF(J36="","",IF(J36&gt;=Нэгтгэл!$K$4,"Хангалттай эзэмшиж байна",IF(J36&gt;=Нэгтгэл!$K$5,"Ахиж байна","Хөгжиж байна")))</f>
        <v/>
      </c>
    </row>
    <row r="37" ht="16" customHeight="1">
      <c r="A37" s="12" t="n">
        <v>31</v>
      </c>
      <c r="B37" s="12">
        <f>IF(Нэгтгэл!B37="","",Нэгтгэл!B37)</f>
        <v/>
      </c>
      <c r="C37" s="4" t="n"/>
      <c r="D37" s="13" t="n">
        <v>0</v>
      </c>
      <c r="E37" s="13" t="n">
        <v>0</v>
      </c>
      <c r="F37" s="13" t="n">
        <v>0</v>
      </c>
      <c r="G37" s="13" t="n">
        <v>0</v>
      </c>
      <c r="H37" s="13" t="n">
        <v>1</v>
      </c>
      <c r="I37" s="12">
        <f>COUNTIF(D37:H37,1)</f>
        <v/>
      </c>
      <c r="J37" s="12">
        <f>IF(COUNT(D37:H37)=0,"",ROUND(I37/5*100,1))</f>
        <v/>
      </c>
      <c r="K37" s="12">
        <f>COUNTIF(D37:H37,0)</f>
        <v/>
      </c>
      <c r="L37" s="12">
        <f>IF(COUNT(D37:H37)=0,"",ROUND(K37/5*100,1))</f>
        <v/>
      </c>
      <c r="M37" s="20">
        <f>IF(J37="","",IF(J37&gt;=Нэгтгэл!$K$4,"Хангалттай эзэмшиж байна",IF(J37&gt;=Нэгтгэл!$K$5,"Ахиж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5">
        <f>COUNTIF(H7:H37,1)</f>
        <v/>
      </c>
      <c r="I38" s="21" t="inlineStr">
        <is>
          <t>Хангалттай эзэмшиж байна</t>
        </is>
      </c>
      <c r="J38" s="22" t="n"/>
      <c r="K38" s="22" t="n"/>
      <c r="L38" s="23" t="n"/>
      <c r="M38" s="5">
        <f>COUNTIF(M7:M37,"Хангалттай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5">
        <f>IF(COUNT(H7:H37)=0,"",ROUND(COUNTIF(H7:H37,1)/COUNT(H7:H37)*100,1))</f>
        <v/>
      </c>
      <c r="I39" s="21" t="inlineStr">
        <is>
          <t>Ахиж байна</t>
        </is>
      </c>
      <c r="J39" s="22" t="n"/>
      <c r="K39" s="22" t="n"/>
      <c r="L39" s="23" t="n"/>
      <c r="M39" s="5">
        <f>COUNTIF(M7:M37,"Ахиж байна")</f>
        <v/>
      </c>
    </row>
    <row r="40" ht="17" customHeight="1">
      <c r="A40" s="5" t="inlineStr">
        <is>
          <t>Чадахгүй (0)</t>
        </is>
      </c>
      <c r="B40" s="15" t="n"/>
      <c r="C40" s="15" t="n"/>
      <c r="D40" s="5">
        <f>COUNTIF(D7:D37,0)</f>
        <v/>
      </c>
      <c r="E40" s="5">
        <f>COUNTIF(E7:E37,0)</f>
        <v/>
      </c>
      <c r="F40" s="5">
        <f>COUNTIF(F7:F37,0)</f>
        <v/>
      </c>
      <c r="G40" s="5">
        <f>COUNTIF(G7:G37,0)</f>
        <v/>
      </c>
      <c r="H40" s="5">
        <f>COUNTIF(H7:H37,0)</f>
        <v/>
      </c>
      <c r="I40" s="21" t="inlineStr">
        <is>
          <t>Хөгжиж байна</t>
        </is>
      </c>
      <c r="J40" s="22" t="n"/>
      <c r="K40" s="22" t="n"/>
      <c r="L40" s="23" t="n"/>
      <c r="M40" s="5">
        <f>COUNTIF(M7:M37,"Хөгжиж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5">
        <f>IF(COUNT(H7:H37)=0,"",ROUND(COUNTIF(H7:H37,0)/COUNT(H7:H37)*100,1))</f>
        <v/>
      </c>
      <c r="I41" s="15" t="n"/>
      <c r="J41" s="15" t="n"/>
      <c r="K41" s="15" t="n"/>
      <c r="L41" s="15" t="n"/>
      <c r="M41" s="15" t="n"/>
    </row>
  </sheetData>
  <mergeCells count="48">
    <mergeCell ref="A41:C41"/>
    <mergeCell ref="B16:C16"/>
    <mergeCell ref="B7:C7"/>
    <mergeCell ref="B25:C25"/>
    <mergeCell ref="I39:L39"/>
    <mergeCell ref="L3:L6"/>
    <mergeCell ref="B22:C22"/>
    <mergeCell ref="I38:L38"/>
    <mergeCell ref="B31:C31"/>
    <mergeCell ref="B18:C18"/>
    <mergeCell ref="B27:C27"/>
    <mergeCell ref="B12:C12"/>
    <mergeCell ref="B21:C21"/>
    <mergeCell ref="I40:L40"/>
    <mergeCell ref="B11:C11"/>
    <mergeCell ref="I3:I6"/>
    <mergeCell ref="B23:C23"/>
    <mergeCell ref="A3:A6"/>
    <mergeCell ref="B14:C14"/>
    <mergeCell ref="B17:C17"/>
    <mergeCell ref="B8:C8"/>
    <mergeCell ref="A38:C38"/>
    <mergeCell ref="B13:C13"/>
    <mergeCell ref="A1:M1"/>
    <mergeCell ref="B29:C29"/>
    <mergeCell ref="B19:C19"/>
    <mergeCell ref="M3:M6"/>
    <mergeCell ref="B34:C34"/>
    <mergeCell ref="B10:C10"/>
    <mergeCell ref="B28:C28"/>
    <mergeCell ref="B37:C37"/>
    <mergeCell ref="A40:C40"/>
    <mergeCell ref="A39:C39"/>
    <mergeCell ref="B9:C9"/>
    <mergeCell ref="B35:C35"/>
    <mergeCell ref="D3:H3"/>
    <mergeCell ref="B3:C6"/>
    <mergeCell ref="B24:C24"/>
    <mergeCell ref="B30:C30"/>
    <mergeCell ref="B15:C15"/>
    <mergeCell ref="B33:C33"/>
    <mergeCell ref="J3:J6"/>
    <mergeCell ref="B20:C20"/>
    <mergeCell ref="K3:K6"/>
    <mergeCell ref="B36:C36"/>
    <mergeCell ref="B32:C32"/>
    <mergeCell ref="B26:C26"/>
    <mergeCell ref="A2:M2"/>
  </mergeCells>
  <conditionalFormatting sqref="D7:H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H7 H8 H9 H10 H11 H12 H13 H14 H15 H16 H17 H18 H19 H20 H21 H22 H23 H24 H25 H26 H27 H28 H29 H30 H31 H32 H33 H34 H35 H36 H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Z41"/>
  <sheetViews>
    <sheetView workbookViewId="0">
      <selection activeCell="A1" sqref="A1"/>
    </sheetView>
  </sheetViews>
  <sheetFormatPr baseColWidth="8" defaultRowHeight="15"/>
  <cols>
    <col width="4.5" customWidth="1" min="1" max="1"/>
    <col width="8" customWidth="1" min="2" max="2"/>
    <col width="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ht="30" customHeight="1">
      <c r="A2" s="18" t="inlineStr">
        <is>
          <t>Хөгжлийн чиглэл: Танин мэдэхүй          Огноо: 20.... оны .... сар          Багш: ................................          Чадна = 1, Чадахгүй = 0  (А/79-ийн 2.4: «Нялх, балчир насны хүүхдийн хөгжлийг дэмжих хөтөлбөр», 25–36 сар)</t>
        </is>
      </c>
    </row>
    <row r="3">
      <c r="A3" s="3" t="inlineStr">
        <is>
          <t>№</t>
        </is>
      </c>
      <c r="B3" s="3" t="inlineStr">
        <is>
          <t>Хүүхдийн код</t>
        </is>
      </c>
      <c r="C3" s="4" t="n"/>
      <c r="D3" s="3" t="inlineStr">
        <is>
          <t>Хөгжлийн чиглэл: Танин мэдэхүй</t>
        </is>
      </c>
      <c r="E3" s="4" t="n"/>
      <c r="F3" s="4" t="n"/>
      <c r="G3" s="4" t="n"/>
      <c r="H3" s="4" t="n"/>
      <c r="I3" s="4" t="n"/>
      <c r="J3" s="4" t="n"/>
      <c r="K3" s="4" t="n"/>
      <c r="L3" s="4" t="n"/>
      <c r="M3" s="4" t="n"/>
      <c r="N3" s="4" t="n"/>
      <c r="O3" s="4" t="n"/>
      <c r="P3" s="4" t="n"/>
      <c r="Q3" s="4" t="n"/>
      <c r="R3" s="4" t="n"/>
      <c r="S3" s="4" t="n"/>
      <c r="T3" s="4" t="n"/>
      <c r="U3" s="4" t="n"/>
      <c r="V3" s="5" t="inlineStr">
        <is>
          <t>Чадна (1)</t>
        </is>
      </c>
      <c r="W3" s="5" t="inlineStr">
        <is>
          <t>Хувь</t>
        </is>
      </c>
      <c r="X3" s="5" t="inlineStr">
        <is>
          <t>Чадахгүй (0)</t>
        </is>
      </c>
      <c r="Y3" s="5" t="inlineStr">
        <is>
          <t>Хувь</t>
        </is>
      </c>
      <c r="Z3" s="5" t="inlineStr">
        <is>
          <t>Түвшин</t>
        </is>
      </c>
    </row>
    <row r="4" ht="128" customHeight="1">
      <c r="A4" s="4" t="n"/>
      <c r="B4" s="4" t="n"/>
      <c r="C4" s="4" t="n"/>
      <c r="D4" s="6" t="inlineStr">
        <is>
          <t>2-3 алхамт зааварчилгааг дагах</t>
        </is>
      </c>
      <c r="E4" s="6" t="inlineStr">
        <is>
          <t>Дотор, дээр, гадна, доор гэсэн чиг заасан үгийг ойлгоно.</t>
        </is>
      </c>
      <c r="F4" s="6" t="inlineStr">
        <is>
          <t>Танил зүйлээ нэрлэнэ.</t>
        </is>
      </c>
      <c r="G4" s="6" t="inlineStr">
        <is>
          <t>Өөрийн нэр, нас, хүйсийг хэлнэ.</t>
        </is>
      </c>
      <c r="H4" s="6" t="inlineStr">
        <is>
          <t>Дүрд орж тоглоно.</t>
        </is>
      </c>
      <c r="I4" s="6" t="inlineStr">
        <is>
          <t>Тооны утгыг ойлгоно. Жишээ нь, нэг алим, олон цэцэг гэх мэт.</t>
        </is>
      </c>
      <c r="J4" s="6" t="inlineStr">
        <is>
          <t>3-4 хэсэгтэй эвлүүлдэг дүрсээр тоглоно.</t>
        </is>
      </c>
      <c r="K4" s="6" t="inlineStr">
        <is>
          <t>Тойрог, шулуун зураас дуурайж зурна.</t>
        </is>
      </c>
      <c r="L4" s="6" t="inlineStr">
        <is>
          <t>Эд юмсыг том жижиг, их бага гэх мэт эсрэг утгыг ойлгож, зааж үзүүлнэ.</t>
        </is>
      </c>
      <c r="M4" s="6" t="inlineStr">
        <is>
          <t>Найзынхаа нэрийг мэднэ.</t>
        </is>
      </c>
      <c r="N4" s="6" t="inlineStr">
        <is>
          <t>Би, чи, миний, бид гэсэн төлөөний үгийг хэлж, зарим үгийн олон тоог хэлнэ.</t>
        </is>
      </c>
      <c r="O4" s="6" t="inlineStr">
        <is>
          <t>Танихгүй хүнтэй ярилцаж чадна.</t>
        </is>
      </c>
      <c r="P4" s="6" t="inlineStr">
        <is>
          <t>Хоёр гурван өгүүлбэр ашиглан харилцан яриа өрнүүлнэ.</t>
        </is>
      </c>
      <c r="Q4" s="6" t="inlineStr">
        <is>
          <t>Өөр эд зүйлсийг өнгө, хэмжээ, хэлбэрээр нь ангилна.</t>
        </is>
      </c>
      <c r="R4" s="6" t="inlineStr">
        <is>
          <t>6-аас олон эвлүүлдэг тоглоомоор цамхаг барьж чадна.</t>
        </is>
      </c>
      <c r="S4" s="6" t="inlineStr">
        <is>
          <t>Дуу дуулна.</t>
        </is>
      </c>
      <c r="T4" s="6" t="inlineStr">
        <is>
          <t>Номыг зөв харуулж үзнэ.</t>
        </is>
      </c>
      <c r="U4" s="6" t="inlineStr">
        <is>
          <t>Бие эрхтний нэрийг хэлэхэд хуруугаараа заана.</t>
        </is>
      </c>
      <c r="V4" s="4" t="n"/>
      <c r="W4" s="4" t="n"/>
      <c r="X4" s="4" t="n"/>
      <c r="Y4" s="4" t="n"/>
      <c r="Z4" s="4" t="n"/>
    </row>
    <row r="5" ht="162" customHeight="1">
      <c r="A5" s="4" t="n"/>
      <c r="B5" s="4" t="n"/>
      <c r="C5" s="4" t="n"/>
      <c r="D5" s="19" t="inlineStr">
        <is>
          <t>СҮД: БНО1.2в. Гэрт болон ангидаа эд зүйлсийн байрлалыг мэдэж, багшийн өгсөн энгийн зааврыг биелүүлнэ.</t>
        </is>
      </c>
      <c r="E5" s="19" t="inlineStr">
        <is>
          <t>СҮД: МАТ1.3в. Юмсын байршлыг танина. (дээр, доор)</t>
        </is>
      </c>
      <c r="F5" s="19" t="inlineStr">
        <is>
          <t>СҮД: ХЯ1.2в. Танил эд юмсыг нэрлэнэ.</t>
        </is>
      </c>
      <c r="G5" s="19" t="inlineStr">
        <is>
          <t>СҮД: БНО1.2а. Өөрийн нэр, нас, бие, эрхтнээ нэрлэж, тоглоом, эд зүйлсээ танина.</t>
        </is>
      </c>
      <c r="H5" s="19" t="inlineStr">
        <is>
          <t>СҮД: БНО1.2б. Гэр бүлийн гишүүдээ нэрлэж, тэдний хийж буй үйлдлийг дуурайж тоглоно.</t>
        </is>
      </c>
      <c r="I5" s="19" t="inlineStr">
        <is>
          <t>СҮД: МАТ1.1а. Гэр, цэцэрлэгийн орчин тойронд байх юмсаас 1 эсвэл 3 ширхэг тоглоом, юмсыг заах, нэг гэж хэлнэ.</t>
        </is>
      </c>
      <c r="J5" s="19" t="inlineStr">
        <is>
          <t>СҮД: ЗУ1.2е. Өрж байгуулах, эвлүүлэх аргаар тоглоом, эд юмсыг бусдын дэмжлэгтэй бүтээнэ.</t>
        </is>
      </c>
      <c r="K5" s="19" t="inlineStr">
        <is>
          <t>СҮД: ЗУ1.2а. Зурах хэрэгслүүдийг ашиглан зурааслаж дүрсэлнэ.</t>
        </is>
      </c>
      <c r="L5" s="19" t="inlineStr">
        <is>
          <t>СҮД: МАТ1.3а. Тоглоом юмсаас тодорхой шинжтэй зүйлийг ялгана.</t>
        </is>
      </c>
      <c r="M5" s="19" t="inlineStr">
        <is>
          <t>СҮД: — (шууд тохирох СҮД байхгүй)</t>
        </is>
      </c>
      <c r="N5" s="19" t="inlineStr">
        <is>
          <t>СҮД: ХЯ1.2г. Хүсэл, хэрэгцээгээ тохирох үгс ашиглан илэрхийлнэ.</t>
        </is>
      </c>
      <c r="O5" s="19" t="inlineStr">
        <is>
          <t>СҮД: ХЯ1.2а. Харилцан яриаг ажиглан, үг, өгүүлбэрийг дуурайна.</t>
        </is>
      </c>
      <c r="P5" s="19" t="inlineStr">
        <is>
          <t>СҮД: ХЯ1.2д. Энгийн өгүүлбэрийг давтан хэлнэ.</t>
        </is>
      </c>
      <c r="Q5" s="19" t="inlineStr">
        <is>
          <t>СҮД: МАТ1.3а. Тоглоом юмсаас тодорхой шинжтэй зүйлийг ялгана.</t>
        </is>
      </c>
      <c r="R5" s="19" t="inlineStr">
        <is>
          <t>СҮД: ЗУ1.2е. Өрж байгуулах, эвлүүлэх аргаар тоглоом, эд юмсыг бусдын дэмжлэгтэй бүтээнэ.</t>
        </is>
      </c>
      <c r="S5" s="19" t="inlineStr">
        <is>
          <t>СҮД: ХӨГ1.1б. Дууг анхааралтай сонсож, зарим үг, авиаг дуурайн хэлж, аялна.</t>
        </is>
      </c>
      <c r="T5" s="19" t="inlineStr">
        <is>
          <t>СҮД: ХЯ1.3а. Номыг сонирхож үзнэ.</t>
        </is>
      </c>
      <c r="U5" s="19" t="inlineStr">
        <is>
          <t>СҮД: БНО1.2а. Өөрийн нэр, нас, бие, эрхтнээ нэрлэж, тоглоом, эд зүйлсээ танина.</t>
        </is>
      </c>
      <c r="V5" s="4" t="n"/>
      <c r="W5" s="4" t="n"/>
      <c r="X5" s="4" t="n"/>
      <c r="Y5" s="4" t="n"/>
      <c r="Z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10" t="inlineStr">
        <is>
          <t>1 / 0</t>
        </is>
      </c>
      <c r="M6" s="10" t="inlineStr">
        <is>
          <t>1 / 0</t>
        </is>
      </c>
      <c r="N6" s="10" t="inlineStr">
        <is>
          <t>1 / 0</t>
        </is>
      </c>
      <c r="O6" s="10" t="inlineStr">
        <is>
          <t>1 / 0</t>
        </is>
      </c>
      <c r="P6" s="10" t="inlineStr">
        <is>
          <t>1 / 0</t>
        </is>
      </c>
      <c r="Q6" s="10" t="inlineStr">
        <is>
          <t>1 / 0</t>
        </is>
      </c>
      <c r="R6" s="10" t="inlineStr">
        <is>
          <t>1 / 0</t>
        </is>
      </c>
      <c r="S6" s="10" t="inlineStr">
        <is>
          <t>1 / 0</t>
        </is>
      </c>
      <c r="T6" s="10" t="inlineStr">
        <is>
          <t>1 / 0</t>
        </is>
      </c>
      <c r="U6" s="10" t="inlineStr">
        <is>
          <t>1 / 0</t>
        </is>
      </c>
      <c r="V6" s="4" t="n"/>
      <c r="W6" s="4" t="n"/>
      <c r="X6" s="4" t="n"/>
      <c r="Y6" s="4" t="n"/>
      <c r="Z6" s="4" t="n"/>
    </row>
    <row r="7" ht="16" customHeight="1">
      <c r="A7" s="12" t="n">
        <v>1</v>
      </c>
      <c r="B7" s="12">
        <f>IF(Нэгтгэл!B7="","",Нэгтгэл!B7)</f>
        <v/>
      </c>
      <c r="C7" s="4" t="n"/>
      <c r="D7" s="13" t="n">
        <v>1</v>
      </c>
      <c r="E7" s="13" t="n">
        <v>1</v>
      </c>
      <c r="F7" s="13" t="n">
        <v>1</v>
      </c>
      <c r="G7" s="13" t="n">
        <v>1</v>
      </c>
      <c r="H7" s="13" t="n">
        <v>0</v>
      </c>
      <c r="I7" s="13" t="n">
        <v>1</v>
      </c>
      <c r="J7" s="13" t="n">
        <v>0</v>
      </c>
      <c r="K7" s="13" t="n">
        <v>1</v>
      </c>
      <c r="L7" s="13" t="n">
        <v>1</v>
      </c>
      <c r="M7" s="13" t="n">
        <v>1</v>
      </c>
      <c r="N7" s="13" t="n">
        <v>1</v>
      </c>
      <c r="O7" s="13" t="n">
        <v>1</v>
      </c>
      <c r="P7" s="13" t="n">
        <v>1</v>
      </c>
      <c r="Q7" s="13" t="n">
        <v>1</v>
      </c>
      <c r="R7" s="13" t="n">
        <v>1</v>
      </c>
      <c r="S7" s="13" t="n">
        <v>0</v>
      </c>
      <c r="T7" s="13" t="n">
        <v>1</v>
      </c>
      <c r="U7" s="13" t="n">
        <v>0</v>
      </c>
      <c r="V7" s="12">
        <f>COUNTIF(D7:U7,1)</f>
        <v/>
      </c>
      <c r="W7" s="12">
        <f>IF(COUNT(D7:U7)=0,"",ROUND(V7/18*100,1))</f>
        <v/>
      </c>
      <c r="X7" s="12">
        <f>COUNTIF(D7:U7,0)</f>
        <v/>
      </c>
      <c r="Y7" s="12">
        <f>IF(COUNT(D7:U7)=0,"",ROUND(X7/18*100,1))</f>
        <v/>
      </c>
      <c r="Z7" s="20">
        <f>IF(W7="","",IF(W7&gt;=Нэгтгэл!$K$4,"Хангалттай эзэмшиж байна",IF(W7&gt;=Нэгтгэл!$K$5,"Ахиж байна","Хөгжиж байна")))</f>
        <v/>
      </c>
    </row>
    <row r="8" ht="16" customHeight="1">
      <c r="A8" s="12" t="n">
        <v>2</v>
      </c>
      <c r="B8" s="12">
        <f>IF(Нэгтгэл!B8="","",Нэгтгэл!B8)</f>
        <v/>
      </c>
      <c r="C8" s="4" t="n"/>
      <c r="D8" s="13" t="n">
        <v>0</v>
      </c>
      <c r="E8" s="13" t="n">
        <v>1</v>
      </c>
      <c r="F8" s="13" t="n">
        <v>1</v>
      </c>
      <c r="G8" s="13" t="n">
        <v>1</v>
      </c>
      <c r="H8" s="13" t="n">
        <v>1</v>
      </c>
      <c r="I8" s="13" t="n">
        <v>0</v>
      </c>
      <c r="J8" s="13" t="n">
        <v>1</v>
      </c>
      <c r="K8" s="13" t="n">
        <v>1</v>
      </c>
      <c r="L8" s="13" t="n">
        <v>0</v>
      </c>
      <c r="M8" s="13" t="n">
        <v>1</v>
      </c>
      <c r="N8" s="13" t="n">
        <v>1</v>
      </c>
      <c r="O8" s="13" t="n">
        <v>1</v>
      </c>
      <c r="P8" s="13" t="n">
        <v>1</v>
      </c>
      <c r="Q8" s="13" t="n">
        <v>0</v>
      </c>
      <c r="R8" s="13" t="n">
        <v>1</v>
      </c>
      <c r="S8" s="13" t="n">
        <v>1</v>
      </c>
      <c r="T8" s="13" t="n">
        <v>1</v>
      </c>
      <c r="U8" s="13" t="n">
        <v>0</v>
      </c>
      <c r="V8" s="12">
        <f>COUNTIF(D8:U8,1)</f>
        <v/>
      </c>
      <c r="W8" s="12">
        <f>IF(COUNT(D8:U8)=0,"",ROUND(V8/18*100,1))</f>
        <v/>
      </c>
      <c r="X8" s="12">
        <f>COUNTIF(D8:U8,0)</f>
        <v/>
      </c>
      <c r="Y8" s="12">
        <f>IF(COUNT(D8:U8)=0,"",ROUND(X8/18*100,1))</f>
        <v/>
      </c>
      <c r="Z8" s="20">
        <f>IF(W8="","",IF(W8&gt;=Нэгтгэл!$K$4,"Хангалттай эзэмшиж байна",IF(W8&gt;=Нэгтгэл!$K$5,"Ахиж байна","Хөгжиж байна")))</f>
        <v/>
      </c>
    </row>
    <row r="9" ht="16" customHeight="1">
      <c r="A9" s="12" t="n">
        <v>3</v>
      </c>
      <c r="B9" s="12">
        <f>IF(Нэгтгэл!B9="","",Нэгтгэл!B9)</f>
        <v/>
      </c>
      <c r="C9" s="4" t="n"/>
      <c r="D9" s="13" t="n">
        <v>1</v>
      </c>
      <c r="E9" s="13" t="n">
        <v>1</v>
      </c>
      <c r="F9" s="13" t="n">
        <v>1</v>
      </c>
      <c r="G9" s="13" t="n">
        <v>1</v>
      </c>
      <c r="H9" s="13" t="n">
        <v>0</v>
      </c>
      <c r="I9" s="13" t="n">
        <v>0</v>
      </c>
      <c r="J9" s="13" t="n">
        <v>0</v>
      </c>
      <c r="K9" s="13" t="n">
        <v>1</v>
      </c>
      <c r="L9" s="13" t="n">
        <v>1</v>
      </c>
      <c r="M9" s="13" t="n">
        <v>0</v>
      </c>
      <c r="N9" s="13" t="n">
        <v>1</v>
      </c>
      <c r="O9" s="13" t="n">
        <v>1</v>
      </c>
      <c r="P9" s="13" t="n">
        <v>1</v>
      </c>
      <c r="Q9" s="13" t="n">
        <v>0</v>
      </c>
      <c r="R9" s="13" t="n">
        <v>1</v>
      </c>
      <c r="S9" s="13" t="n">
        <v>0</v>
      </c>
      <c r="T9" s="13" t="n">
        <v>1</v>
      </c>
      <c r="U9" s="13" t="n">
        <v>1</v>
      </c>
      <c r="V9" s="12">
        <f>COUNTIF(D9:U9,1)</f>
        <v/>
      </c>
      <c r="W9" s="12">
        <f>IF(COUNT(D9:U9)=0,"",ROUND(V9/18*100,1))</f>
        <v/>
      </c>
      <c r="X9" s="12">
        <f>COUNTIF(D9:U9,0)</f>
        <v/>
      </c>
      <c r="Y9" s="12">
        <f>IF(COUNT(D9:U9)=0,"",ROUND(X9/18*100,1))</f>
        <v/>
      </c>
      <c r="Z9" s="20">
        <f>IF(W9="","",IF(W9&gt;=Нэгтгэл!$K$4,"Хангалттай эзэмшиж байна",IF(W9&gt;=Нэгтгэл!$K$5,"Ахиж байна","Хөгжиж байна")))</f>
        <v/>
      </c>
    </row>
    <row r="10" ht="16" customHeight="1">
      <c r="A10" s="12" t="n">
        <v>4</v>
      </c>
      <c r="B10" s="12">
        <f>IF(Нэгтгэл!B10="","",Нэгтгэл!B10)</f>
        <v/>
      </c>
      <c r="C10" s="4" t="n"/>
      <c r="D10" s="13" t="n">
        <v>0</v>
      </c>
      <c r="E10" s="13" t="n">
        <v>1</v>
      </c>
      <c r="F10" s="13" t="n">
        <v>1</v>
      </c>
      <c r="G10" s="13" t="n">
        <v>1</v>
      </c>
      <c r="H10" s="13" t="n">
        <v>0</v>
      </c>
      <c r="I10" s="13" t="n">
        <v>1</v>
      </c>
      <c r="J10" s="13" t="n">
        <v>0</v>
      </c>
      <c r="K10" s="13" t="n">
        <v>1</v>
      </c>
      <c r="L10" s="13" t="n">
        <v>1</v>
      </c>
      <c r="M10" s="13" t="n">
        <v>1</v>
      </c>
      <c r="N10" s="13" t="n">
        <v>1</v>
      </c>
      <c r="O10" s="13" t="n">
        <v>0</v>
      </c>
      <c r="P10" s="13" t="n">
        <v>1</v>
      </c>
      <c r="Q10" s="13" t="n">
        <v>1</v>
      </c>
      <c r="R10" s="13" t="n">
        <v>1</v>
      </c>
      <c r="S10" s="13" t="n">
        <v>1</v>
      </c>
      <c r="T10" s="13" t="n">
        <v>1</v>
      </c>
      <c r="U10" s="13" t="n">
        <v>1</v>
      </c>
      <c r="V10" s="12">
        <f>COUNTIF(D10:U10,1)</f>
        <v/>
      </c>
      <c r="W10" s="12">
        <f>IF(COUNT(D10:U10)=0,"",ROUND(V10/18*100,1))</f>
        <v/>
      </c>
      <c r="X10" s="12">
        <f>COUNTIF(D10:U10,0)</f>
        <v/>
      </c>
      <c r="Y10" s="12">
        <f>IF(COUNT(D10:U10)=0,"",ROUND(X10/18*100,1))</f>
        <v/>
      </c>
      <c r="Z10" s="20">
        <f>IF(W10="","",IF(W10&gt;=Нэгтгэл!$K$4,"Хангалттай эзэмшиж байна",IF(W10&gt;=Нэгтгэл!$K$5,"Ахиж байна","Хөгжиж байна")))</f>
        <v/>
      </c>
    </row>
    <row r="11" ht="16" customHeight="1">
      <c r="A11" s="12" t="n">
        <v>5</v>
      </c>
      <c r="B11" s="12">
        <f>IF(Нэгтгэл!B11="","",Нэгтгэл!B11)</f>
        <v/>
      </c>
      <c r="C11" s="4" t="n"/>
      <c r="D11" s="13" t="n">
        <v>1</v>
      </c>
      <c r="E11" s="13" t="n">
        <v>1</v>
      </c>
      <c r="F11" s="13" t="n">
        <v>1</v>
      </c>
      <c r="G11" s="13" t="n">
        <v>1</v>
      </c>
      <c r="H11" s="13" t="n">
        <v>0</v>
      </c>
      <c r="I11" s="13" t="n">
        <v>0</v>
      </c>
      <c r="J11" s="13" t="n">
        <v>0</v>
      </c>
      <c r="K11" s="13" t="n">
        <v>0</v>
      </c>
      <c r="L11" s="13" t="n">
        <v>1</v>
      </c>
      <c r="M11" s="13" t="n">
        <v>1</v>
      </c>
      <c r="N11" s="13" t="n">
        <v>1</v>
      </c>
      <c r="O11" s="13" t="n">
        <v>1</v>
      </c>
      <c r="P11" s="13" t="n">
        <v>1</v>
      </c>
      <c r="Q11" s="13" t="n">
        <v>0</v>
      </c>
      <c r="R11" s="13" t="n">
        <v>0</v>
      </c>
      <c r="S11" s="13" t="n">
        <v>1</v>
      </c>
      <c r="T11" s="13" t="n">
        <v>1</v>
      </c>
      <c r="U11" s="13" t="n">
        <v>1</v>
      </c>
      <c r="V11" s="12">
        <f>COUNTIF(D11:U11,1)</f>
        <v/>
      </c>
      <c r="W11" s="12">
        <f>IF(COUNT(D11:U11)=0,"",ROUND(V11/18*100,1))</f>
        <v/>
      </c>
      <c r="X11" s="12">
        <f>COUNTIF(D11:U11,0)</f>
        <v/>
      </c>
      <c r="Y11" s="12">
        <f>IF(COUNT(D11:U11)=0,"",ROUND(X11/18*100,1))</f>
        <v/>
      </c>
      <c r="Z11" s="20">
        <f>IF(W11="","",IF(W11&gt;=Нэгтгэл!$K$4,"Хангалттай эзэмшиж байна",IF(W11&gt;=Нэгтгэл!$K$5,"Ахиж байна","Хөгжиж байна")))</f>
        <v/>
      </c>
    </row>
    <row r="12" ht="16" customHeight="1">
      <c r="A12" s="12" t="n">
        <v>6</v>
      </c>
      <c r="B12" s="12">
        <f>IF(Нэгтгэл!B12="","",Нэгтгэл!B12)</f>
        <v/>
      </c>
      <c r="C12" s="4" t="n"/>
      <c r="D12" s="13" t="n">
        <v>1</v>
      </c>
      <c r="E12" s="13" t="n">
        <v>1</v>
      </c>
      <c r="F12" s="13" t="n">
        <v>1</v>
      </c>
      <c r="G12" s="13" t="n">
        <v>0</v>
      </c>
      <c r="H12" s="13" t="n">
        <v>1</v>
      </c>
      <c r="I12" s="13" t="n">
        <v>0</v>
      </c>
      <c r="J12" s="13" t="n">
        <v>1</v>
      </c>
      <c r="K12" s="13" t="n">
        <v>1</v>
      </c>
      <c r="L12" s="13" t="n">
        <v>1</v>
      </c>
      <c r="M12" s="13" t="n">
        <v>1</v>
      </c>
      <c r="N12" s="13" t="n">
        <v>0</v>
      </c>
      <c r="O12" s="13" t="n">
        <v>1</v>
      </c>
      <c r="P12" s="13" t="n">
        <v>1</v>
      </c>
      <c r="Q12" s="13" t="n">
        <v>1</v>
      </c>
      <c r="R12" s="13" t="n">
        <v>1</v>
      </c>
      <c r="S12" s="13" t="n">
        <v>1</v>
      </c>
      <c r="T12" s="13" t="n">
        <v>1</v>
      </c>
      <c r="U12" s="13" t="n">
        <v>1</v>
      </c>
      <c r="V12" s="12">
        <f>COUNTIF(D12:U12,1)</f>
        <v/>
      </c>
      <c r="W12" s="12">
        <f>IF(COUNT(D12:U12)=0,"",ROUND(V12/18*100,1))</f>
        <v/>
      </c>
      <c r="X12" s="12">
        <f>COUNTIF(D12:U12,0)</f>
        <v/>
      </c>
      <c r="Y12" s="12">
        <f>IF(COUNT(D12:U12)=0,"",ROUND(X12/18*100,1))</f>
        <v/>
      </c>
      <c r="Z12" s="20">
        <f>IF(W12="","",IF(W12&gt;=Нэгтгэл!$K$4,"Хангалттай эзэмшиж байна",IF(W12&gt;=Нэгтгэл!$K$5,"Ахиж байна","Хөгжиж байна")))</f>
        <v/>
      </c>
    </row>
    <row r="13" ht="16" customHeight="1">
      <c r="A13" s="12" t="n">
        <v>7</v>
      </c>
      <c r="B13" s="12">
        <f>IF(Нэгтгэл!B13="","",Нэгтгэл!B13)</f>
        <v/>
      </c>
      <c r="C13" s="4" t="n"/>
      <c r="D13" s="13" t="n">
        <v>1</v>
      </c>
      <c r="E13" s="13" t="n">
        <v>1</v>
      </c>
      <c r="F13" s="13" t="n">
        <v>1</v>
      </c>
      <c r="G13" s="13" t="n">
        <v>1</v>
      </c>
      <c r="H13" s="13" t="n">
        <v>1</v>
      </c>
      <c r="I13" s="13" t="n">
        <v>1</v>
      </c>
      <c r="J13" s="13" t="n">
        <v>1</v>
      </c>
      <c r="K13" s="13" t="n">
        <v>1</v>
      </c>
      <c r="L13" s="13" t="n">
        <v>1</v>
      </c>
      <c r="M13" s="13" t="n">
        <v>1</v>
      </c>
      <c r="N13" s="13" t="n">
        <v>1</v>
      </c>
      <c r="O13" s="13" t="n">
        <v>1</v>
      </c>
      <c r="P13" s="13" t="n">
        <v>1</v>
      </c>
      <c r="Q13" s="13" t="n">
        <v>1</v>
      </c>
      <c r="R13" s="13" t="n">
        <v>1</v>
      </c>
      <c r="S13" s="13" t="n">
        <v>1</v>
      </c>
      <c r="T13" s="13" t="n">
        <v>1</v>
      </c>
      <c r="U13" s="13" t="n">
        <v>1</v>
      </c>
      <c r="V13" s="12">
        <f>COUNTIF(D13:U13,1)</f>
        <v/>
      </c>
      <c r="W13" s="12">
        <f>IF(COUNT(D13:U13)=0,"",ROUND(V13/18*100,1))</f>
        <v/>
      </c>
      <c r="X13" s="12">
        <f>COUNTIF(D13:U13,0)</f>
        <v/>
      </c>
      <c r="Y13" s="12">
        <f>IF(COUNT(D13:U13)=0,"",ROUND(X13/18*100,1))</f>
        <v/>
      </c>
      <c r="Z13" s="20">
        <f>IF(W13="","",IF(W13&gt;=Нэгтгэл!$K$4,"Хангалттай эзэмшиж байна",IF(W13&gt;=Нэгтгэл!$K$5,"Ахиж байна","Хөгжиж байна")))</f>
        <v/>
      </c>
    </row>
    <row r="14" ht="16" customHeight="1">
      <c r="A14" s="12" t="n">
        <v>8</v>
      </c>
      <c r="B14" s="12">
        <f>IF(Нэгтгэл!B14="","",Нэгтгэл!B14)</f>
        <v/>
      </c>
      <c r="C14" s="4" t="n"/>
      <c r="D14" s="13" t="n">
        <v>0</v>
      </c>
      <c r="E14" s="13" t="n">
        <v>0</v>
      </c>
      <c r="F14" s="13" t="n">
        <v>0</v>
      </c>
      <c r="G14" s="13" t="n">
        <v>0</v>
      </c>
      <c r="H14" s="13" t="n">
        <v>1</v>
      </c>
      <c r="I14" s="13" t="n">
        <v>1</v>
      </c>
      <c r="J14" s="13" t="n">
        <v>1</v>
      </c>
      <c r="K14" s="13" t="n">
        <v>1</v>
      </c>
      <c r="L14" s="13" t="n">
        <v>1</v>
      </c>
      <c r="M14" s="13" t="n">
        <v>0</v>
      </c>
      <c r="N14" s="13" t="n">
        <v>0</v>
      </c>
      <c r="O14" s="13" t="n">
        <v>1</v>
      </c>
      <c r="P14" s="13" t="n">
        <v>1</v>
      </c>
      <c r="Q14" s="13" t="n">
        <v>1</v>
      </c>
      <c r="R14" s="13" t="n">
        <v>0</v>
      </c>
      <c r="S14" s="13" t="n">
        <v>1</v>
      </c>
      <c r="T14" s="13" t="n">
        <v>0</v>
      </c>
      <c r="U14" s="13" t="n">
        <v>1</v>
      </c>
      <c r="V14" s="12">
        <f>COUNTIF(D14:U14,1)</f>
        <v/>
      </c>
      <c r="W14" s="12">
        <f>IF(COUNT(D14:U14)=0,"",ROUND(V14/18*100,1))</f>
        <v/>
      </c>
      <c r="X14" s="12">
        <f>COUNTIF(D14:U14,0)</f>
        <v/>
      </c>
      <c r="Y14" s="12">
        <f>IF(COUNT(D14:U14)=0,"",ROUND(X14/18*100,1))</f>
        <v/>
      </c>
      <c r="Z14" s="20">
        <f>IF(W14="","",IF(W14&gt;=Нэгтгэл!$K$4,"Хангалттай эзэмшиж байна",IF(W14&gt;=Нэгтгэл!$K$5,"Ахиж байна","Хөгжиж байна")))</f>
        <v/>
      </c>
    </row>
    <row r="15" ht="16" customHeight="1">
      <c r="A15" s="12" t="n">
        <v>9</v>
      </c>
      <c r="B15" s="12">
        <f>IF(Нэгтгэл!B15="","",Нэгтгэл!B15)</f>
        <v/>
      </c>
      <c r="C15" s="4" t="n"/>
      <c r="D15" s="13" t="n">
        <v>1</v>
      </c>
      <c r="E15" s="13" t="n">
        <v>0</v>
      </c>
      <c r="F15" s="13" t="n">
        <v>1</v>
      </c>
      <c r="G15" s="13" t="n">
        <v>1</v>
      </c>
      <c r="H15" s="13" t="n">
        <v>1</v>
      </c>
      <c r="I15" s="13" t="n">
        <v>1</v>
      </c>
      <c r="J15" s="13" t="n">
        <v>1</v>
      </c>
      <c r="K15" s="13" t="n">
        <v>0</v>
      </c>
      <c r="L15" s="13" t="n">
        <v>1</v>
      </c>
      <c r="M15" s="13" t="n">
        <v>1</v>
      </c>
      <c r="N15" s="13" t="n">
        <v>0</v>
      </c>
      <c r="O15" s="13" t="n">
        <v>1</v>
      </c>
      <c r="P15" s="13" t="n">
        <v>1</v>
      </c>
      <c r="Q15" s="13" t="n">
        <v>1</v>
      </c>
      <c r="R15" s="13" t="n">
        <v>1</v>
      </c>
      <c r="S15" s="13" t="n">
        <v>1</v>
      </c>
      <c r="T15" s="13" t="n">
        <v>1</v>
      </c>
      <c r="U15" s="13" t="n">
        <v>1</v>
      </c>
      <c r="V15" s="12">
        <f>COUNTIF(D15:U15,1)</f>
        <v/>
      </c>
      <c r="W15" s="12">
        <f>IF(COUNT(D15:U15)=0,"",ROUND(V15/18*100,1))</f>
        <v/>
      </c>
      <c r="X15" s="12">
        <f>COUNTIF(D15:U15,0)</f>
        <v/>
      </c>
      <c r="Y15" s="12">
        <f>IF(COUNT(D15:U15)=0,"",ROUND(X15/18*100,1))</f>
        <v/>
      </c>
      <c r="Z15" s="20">
        <f>IF(W15="","",IF(W15&gt;=Нэгтгэл!$K$4,"Хангалттай эзэмшиж байна",IF(W15&gt;=Нэгтгэл!$K$5,"Ахиж байна","Хөгжиж байна")))</f>
        <v/>
      </c>
    </row>
    <row r="16" ht="16" customHeight="1">
      <c r="A16" s="12" t="n">
        <v>10</v>
      </c>
      <c r="B16" s="12">
        <f>IF(Нэгтгэл!B16="","",Нэгтгэл!B16)</f>
        <v/>
      </c>
      <c r="C16" s="4" t="n"/>
      <c r="D16" s="13" t="n">
        <v>1</v>
      </c>
      <c r="E16" s="13" t="n">
        <v>1</v>
      </c>
      <c r="F16" s="13" t="n">
        <v>0</v>
      </c>
      <c r="G16" s="13" t="n">
        <v>0</v>
      </c>
      <c r="H16" s="13" t="n">
        <v>1</v>
      </c>
      <c r="I16" s="13" t="n">
        <v>1</v>
      </c>
      <c r="J16" s="13" t="n">
        <v>0</v>
      </c>
      <c r="K16" s="13" t="n">
        <v>0</v>
      </c>
      <c r="L16" s="13" t="n">
        <v>1</v>
      </c>
      <c r="M16" s="13" t="n">
        <v>1</v>
      </c>
      <c r="N16" s="13" t="n">
        <v>1</v>
      </c>
      <c r="O16" s="13" t="n">
        <v>1</v>
      </c>
      <c r="P16" s="13" t="n">
        <v>1</v>
      </c>
      <c r="Q16" s="13" t="n">
        <v>1</v>
      </c>
      <c r="R16" s="13" t="n">
        <v>1</v>
      </c>
      <c r="S16" s="13" t="n">
        <v>1</v>
      </c>
      <c r="T16" s="13" t="n">
        <v>1</v>
      </c>
      <c r="U16" s="13" t="n">
        <v>1</v>
      </c>
      <c r="V16" s="12">
        <f>COUNTIF(D16:U16,1)</f>
        <v/>
      </c>
      <c r="W16" s="12">
        <f>IF(COUNT(D16:U16)=0,"",ROUND(V16/18*100,1))</f>
        <v/>
      </c>
      <c r="X16" s="12">
        <f>COUNTIF(D16:U16,0)</f>
        <v/>
      </c>
      <c r="Y16" s="12">
        <f>IF(COUNT(D16:U16)=0,"",ROUND(X16/18*100,1))</f>
        <v/>
      </c>
      <c r="Z16" s="20">
        <f>IF(W16="","",IF(W16&gt;=Нэгтгэл!$K$4,"Хангалттай эзэмшиж байна",IF(W16&gt;=Нэгтгэл!$K$5,"Ахиж байна","Хөгжиж байна")))</f>
        <v/>
      </c>
    </row>
    <row r="17" ht="16" customHeight="1">
      <c r="A17" s="12" t="n">
        <v>11</v>
      </c>
      <c r="B17" s="12">
        <f>IF(Нэгтгэл!B17="","",Нэгтгэл!B17)</f>
        <v/>
      </c>
      <c r="C17" s="4" t="n"/>
      <c r="D17" s="13" t="n">
        <v>0</v>
      </c>
      <c r="E17" s="13" t="n">
        <v>1</v>
      </c>
      <c r="F17" s="13" t="n">
        <v>0</v>
      </c>
      <c r="G17" s="13" t="n">
        <v>1</v>
      </c>
      <c r="H17" s="13" t="n">
        <v>1</v>
      </c>
      <c r="I17" s="13" t="n">
        <v>0</v>
      </c>
      <c r="J17" s="13" t="n">
        <v>1</v>
      </c>
      <c r="K17" s="13" t="n">
        <v>0</v>
      </c>
      <c r="L17" s="13" t="n">
        <v>1</v>
      </c>
      <c r="M17" s="13" t="n">
        <v>1</v>
      </c>
      <c r="N17" s="13" t="n">
        <v>1</v>
      </c>
      <c r="O17" s="13" t="n">
        <v>1</v>
      </c>
      <c r="P17" s="13" t="n">
        <v>1</v>
      </c>
      <c r="Q17" s="13" t="n">
        <v>0</v>
      </c>
      <c r="R17" s="13" t="n">
        <v>0</v>
      </c>
      <c r="S17" s="13" t="n">
        <v>1</v>
      </c>
      <c r="T17" s="13" t="n">
        <v>0</v>
      </c>
      <c r="U17" s="13" t="n">
        <v>1</v>
      </c>
      <c r="V17" s="12">
        <f>COUNTIF(D17:U17,1)</f>
        <v/>
      </c>
      <c r="W17" s="12">
        <f>IF(COUNT(D17:U17)=0,"",ROUND(V17/18*100,1))</f>
        <v/>
      </c>
      <c r="X17" s="12">
        <f>COUNTIF(D17:U17,0)</f>
        <v/>
      </c>
      <c r="Y17" s="12">
        <f>IF(COUNT(D17:U17)=0,"",ROUND(X17/18*100,1))</f>
        <v/>
      </c>
      <c r="Z17" s="20">
        <f>IF(W17="","",IF(W17&gt;=Нэгтгэл!$K$4,"Хангалттай эзэмшиж байна",IF(W17&gt;=Нэгтгэл!$K$5,"Ахиж байна","Хөгжиж байна")))</f>
        <v/>
      </c>
    </row>
    <row r="18" ht="16" customHeight="1">
      <c r="A18" s="12" t="n">
        <v>12</v>
      </c>
      <c r="B18" s="12">
        <f>IF(Нэгтгэл!B18="","",Нэгтгэл!B18)</f>
        <v/>
      </c>
      <c r="C18" s="4" t="n"/>
      <c r="D18" s="13" t="n">
        <v>1</v>
      </c>
      <c r="E18" s="13" t="n">
        <v>1</v>
      </c>
      <c r="F18" s="13" t="n">
        <v>1</v>
      </c>
      <c r="G18" s="13" t="n">
        <v>0</v>
      </c>
      <c r="H18" s="13" t="n">
        <v>0</v>
      </c>
      <c r="I18" s="13" t="n">
        <v>1</v>
      </c>
      <c r="J18" s="13" t="n">
        <v>1</v>
      </c>
      <c r="K18" s="13" t="n">
        <v>1</v>
      </c>
      <c r="L18" s="13" t="n">
        <v>1</v>
      </c>
      <c r="M18" s="13" t="n">
        <v>1</v>
      </c>
      <c r="N18" s="13" t="n">
        <v>1</v>
      </c>
      <c r="O18" s="13" t="n">
        <v>1</v>
      </c>
      <c r="P18" s="13" t="n">
        <v>1</v>
      </c>
      <c r="Q18" s="13" t="n">
        <v>1</v>
      </c>
      <c r="R18" s="13" t="n">
        <v>1</v>
      </c>
      <c r="S18" s="13" t="n">
        <v>1</v>
      </c>
      <c r="T18" s="13" t="n">
        <v>1</v>
      </c>
      <c r="U18" s="13" t="n">
        <v>1</v>
      </c>
      <c r="V18" s="12">
        <f>COUNTIF(D18:U18,1)</f>
        <v/>
      </c>
      <c r="W18" s="12">
        <f>IF(COUNT(D18:U18)=0,"",ROUND(V18/18*100,1))</f>
        <v/>
      </c>
      <c r="X18" s="12">
        <f>COUNTIF(D18:U18,0)</f>
        <v/>
      </c>
      <c r="Y18" s="12">
        <f>IF(COUNT(D18:U18)=0,"",ROUND(X18/18*100,1))</f>
        <v/>
      </c>
      <c r="Z18" s="20">
        <f>IF(W18="","",IF(W18&gt;=Нэгтгэл!$K$4,"Хангалттай эзэмшиж байна",IF(W18&gt;=Нэгтгэл!$K$5,"Ахиж байна","Хөгжиж байна")))</f>
        <v/>
      </c>
    </row>
    <row r="19" ht="16" customHeight="1">
      <c r="A19" s="12" t="n">
        <v>13</v>
      </c>
      <c r="B19" s="12">
        <f>IF(Нэгтгэл!B19="","",Нэгтгэл!B19)</f>
        <v/>
      </c>
      <c r="C19" s="4" t="n"/>
      <c r="D19" s="13" t="n">
        <v>1</v>
      </c>
      <c r="E19" s="13" t="n">
        <v>1</v>
      </c>
      <c r="F19" s="13" t="n">
        <v>1</v>
      </c>
      <c r="G19" s="13" t="n">
        <v>1</v>
      </c>
      <c r="H19" s="13" t="n">
        <v>0</v>
      </c>
      <c r="I19" s="13" t="n">
        <v>1</v>
      </c>
      <c r="J19" s="13" t="n">
        <v>1</v>
      </c>
      <c r="K19" s="13" t="n">
        <v>1</v>
      </c>
      <c r="L19" s="13" t="n">
        <v>1</v>
      </c>
      <c r="M19" s="13" t="n">
        <v>1</v>
      </c>
      <c r="N19" s="13" t="n">
        <v>1</v>
      </c>
      <c r="O19" s="13" t="n">
        <v>1</v>
      </c>
      <c r="P19" s="13" t="n">
        <v>1</v>
      </c>
      <c r="Q19" s="13" t="n">
        <v>0</v>
      </c>
      <c r="R19" s="13" t="n">
        <v>1</v>
      </c>
      <c r="S19" s="13" t="n">
        <v>0</v>
      </c>
      <c r="T19" s="13" t="n">
        <v>1</v>
      </c>
      <c r="U19" s="13" t="n">
        <v>1</v>
      </c>
      <c r="V19" s="12">
        <f>COUNTIF(D19:U19,1)</f>
        <v/>
      </c>
      <c r="W19" s="12">
        <f>IF(COUNT(D19:U19)=0,"",ROUND(V19/18*100,1))</f>
        <v/>
      </c>
      <c r="X19" s="12">
        <f>COUNTIF(D19:U19,0)</f>
        <v/>
      </c>
      <c r="Y19" s="12">
        <f>IF(COUNT(D19:U19)=0,"",ROUND(X19/18*100,1))</f>
        <v/>
      </c>
      <c r="Z19" s="20">
        <f>IF(W19="","",IF(W19&gt;=Нэгтгэл!$K$4,"Хангалттай эзэмшиж байна",IF(W19&gt;=Нэгтгэл!$K$5,"Ахиж байна","Хөгжиж байна")))</f>
        <v/>
      </c>
    </row>
    <row r="20" ht="16" customHeight="1">
      <c r="A20" s="12" t="n">
        <v>14</v>
      </c>
      <c r="B20" s="12">
        <f>IF(Нэгтгэл!B20="","",Нэгтгэл!B20)</f>
        <v/>
      </c>
      <c r="C20" s="4" t="n"/>
      <c r="D20" s="13" t="n">
        <v>0</v>
      </c>
      <c r="E20" s="13" t="n">
        <v>1</v>
      </c>
      <c r="F20" s="13" t="n">
        <v>1</v>
      </c>
      <c r="G20" s="13" t="n">
        <v>0</v>
      </c>
      <c r="H20" s="13" t="n">
        <v>1</v>
      </c>
      <c r="I20" s="13" t="n">
        <v>1</v>
      </c>
      <c r="J20" s="13" t="n">
        <v>0</v>
      </c>
      <c r="K20" s="13" t="n">
        <v>1</v>
      </c>
      <c r="L20" s="13" t="n">
        <v>1</v>
      </c>
      <c r="M20" s="13" t="n">
        <v>0</v>
      </c>
      <c r="N20" s="13" t="n">
        <v>1</v>
      </c>
      <c r="O20" s="13" t="n">
        <v>1</v>
      </c>
      <c r="P20" s="13" t="n">
        <v>0</v>
      </c>
      <c r="Q20" s="13" t="n">
        <v>1</v>
      </c>
      <c r="R20" s="13" t="n">
        <v>0</v>
      </c>
      <c r="S20" s="13" t="n">
        <v>1</v>
      </c>
      <c r="T20" s="13" t="n">
        <v>1</v>
      </c>
      <c r="U20" s="13" t="n">
        <v>0</v>
      </c>
      <c r="V20" s="12">
        <f>COUNTIF(D20:U20,1)</f>
        <v/>
      </c>
      <c r="W20" s="12">
        <f>IF(COUNT(D20:U20)=0,"",ROUND(V20/18*100,1))</f>
        <v/>
      </c>
      <c r="X20" s="12">
        <f>COUNTIF(D20:U20,0)</f>
        <v/>
      </c>
      <c r="Y20" s="12">
        <f>IF(COUNT(D20:U20)=0,"",ROUND(X20/18*100,1))</f>
        <v/>
      </c>
      <c r="Z20" s="20">
        <f>IF(W20="","",IF(W20&gt;=Нэгтгэл!$K$4,"Хангалттай эзэмшиж байна",IF(W20&gt;=Нэгтгэл!$K$5,"Ахиж байна","Хөгжиж байна")))</f>
        <v/>
      </c>
    </row>
    <row r="21" ht="16" customHeight="1">
      <c r="A21" s="12" t="n">
        <v>15</v>
      </c>
      <c r="B21" s="12">
        <f>IF(Нэгтгэл!B21="","",Нэгтгэл!B21)</f>
        <v/>
      </c>
      <c r="C21" s="4" t="n"/>
      <c r="D21" s="13" t="n">
        <v>1</v>
      </c>
      <c r="E21" s="13" t="n">
        <v>1</v>
      </c>
      <c r="F21" s="13" t="n">
        <v>0</v>
      </c>
      <c r="G21" s="13" t="n">
        <v>0</v>
      </c>
      <c r="H21" s="13" t="n">
        <v>1</v>
      </c>
      <c r="I21" s="13" t="n">
        <v>1</v>
      </c>
      <c r="J21" s="13" t="n">
        <v>1</v>
      </c>
      <c r="K21" s="13" t="n">
        <v>1</v>
      </c>
      <c r="L21" s="13" t="n">
        <v>1</v>
      </c>
      <c r="M21" s="13" t="n">
        <v>1</v>
      </c>
      <c r="N21" s="13" t="n">
        <v>1</v>
      </c>
      <c r="O21" s="13" t="n">
        <v>1</v>
      </c>
      <c r="P21" s="13" t="n">
        <v>0</v>
      </c>
      <c r="Q21" s="13" t="n">
        <v>0</v>
      </c>
      <c r="R21" s="13" t="n">
        <v>1</v>
      </c>
      <c r="S21" s="13" t="n">
        <v>0</v>
      </c>
      <c r="T21" s="13" t="n">
        <v>1</v>
      </c>
      <c r="U21" s="13" t="n">
        <v>0</v>
      </c>
      <c r="V21" s="12">
        <f>COUNTIF(D21:U21,1)</f>
        <v/>
      </c>
      <c r="W21" s="12">
        <f>IF(COUNT(D21:U21)=0,"",ROUND(V21/18*100,1))</f>
        <v/>
      </c>
      <c r="X21" s="12">
        <f>COUNTIF(D21:U21,0)</f>
        <v/>
      </c>
      <c r="Y21" s="12">
        <f>IF(COUNT(D21:U21)=0,"",ROUND(X21/18*100,1))</f>
        <v/>
      </c>
      <c r="Z21" s="20">
        <f>IF(W21="","",IF(W21&gt;=Нэгтгэл!$K$4,"Хангалттай эзэмшиж байна",IF(W21&gt;=Нэгтгэл!$K$5,"Ахиж байна","Хөгжиж байна")))</f>
        <v/>
      </c>
    </row>
    <row r="22" ht="16" customHeight="1">
      <c r="A22" s="12" t="n">
        <v>16</v>
      </c>
      <c r="B22" s="12">
        <f>IF(Нэгтгэл!B22="","",Нэгтгэл!B22)</f>
        <v/>
      </c>
      <c r="C22" s="4" t="n"/>
      <c r="D22" s="13" t="n">
        <v>0</v>
      </c>
      <c r="E22" s="13" t="n">
        <v>1</v>
      </c>
      <c r="F22" s="13" t="n">
        <v>1</v>
      </c>
      <c r="G22" s="13" t="n">
        <v>1</v>
      </c>
      <c r="H22" s="13" t="n">
        <v>1</v>
      </c>
      <c r="I22" s="13" t="n">
        <v>0</v>
      </c>
      <c r="J22" s="13" t="n">
        <v>0</v>
      </c>
      <c r="K22" s="13" t="n">
        <v>1</v>
      </c>
      <c r="L22" s="13" t="n">
        <v>1</v>
      </c>
      <c r="M22" s="13" t="n">
        <v>0</v>
      </c>
      <c r="N22" s="13" t="n">
        <v>1</v>
      </c>
      <c r="O22" s="13" t="n">
        <v>0</v>
      </c>
      <c r="P22" s="13" t="n">
        <v>1</v>
      </c>
      <c r="Q22" s="13" t="n">
        <v>1</v>
      </c>
      <c r="R22" s="13" t="n">
        <v>1</v>
      </c>
      <c r="S22" s="13" t="n">
        <v>0</v>
      </c>
      <c r="T22" s="13" t="n">
        <v>1</v>
      </c>
      <c r="U22" s="13" t="n">
        <v>1</v>
      </c>
      <c r="V22" s="12">
        <f>COUNTIF(D22:U22,1)</f>
        <v/>
      </c>
      <c r="W22" s="12">
        <f>IF(COUNT(D22:U22)=0,"",ROUND(V22/18*100,1))</f>
        <v/>
      </c>
      <c r="X22" s="12">
        <f>COUNTIF(D22:U22,0)</f>
        <v/>
      </c>
      <c r="Y22" s="12">
        <f>IF(COUNT(D22:U22)=0,"",ROUND(X22/18*100,1))</f>
        <v/>
      </c>
      <c r="Z22" s="20">
        <f>IF(W22="","",IF(W22&gt;=Нэгтгэл!$K$4,"Хангалттай эзэмшиж байна",IF(W22&gt;=Нэгтгэл!$K$5,"Ахиж байна","Хөгжиж байна")))</f>
        <v/>
      </c>
    </row>
    <row r="23" ht="16" customHeight="1">
      <c r="A23" s="12" t="n">
        <v>17</v>
      </c>
      <c r="B23" s="12">
        <f>IF(Нэгтгэл!B23="","",Нэгтгэл!B23)</f>
        <v/>
      </c>
      <c r="C23" s="4" t="n"/>
      <c r="D23" s="13" t="n">
        <v>1</v>
      </c>
      <c r="E23" s="13" t="n">
        <v>1</v>
      </c>
      <c r="F23" s="13" t="n">
        <v>1</v>
      </c>
      <c r="G23" s="13" t="n">
        <v>1</v>
      </c>
      <c r="H23" s="13" t="n">
        <v>0</v>
      </c>
      <c r="I23" s="13" t="n">
        <v>1</v>
      </c>
      <c r="J23" s="13" t="n">
        <v>1</v>
      </c>
      <c r="K23" s="13" t="n">
        <v>1</v>
      </c>
      <c r="L23" s="13" t="n">
        <v>1</v>
      </c>
      <c r="M23" s="13" t="n">
        <v>1</v>
      </c>
      <c r="N23" s="13" t="n">
        <v>1</v>
      </c>
      <c r="O23" s="13" t="n">
        <v>1</v>
      </c>
      <c r="P23" s="13" t="n">
        <v>0</v>
      </c>
      <c r="Q23" s="13" t="n">
        <v>1</v>
      </c>
      <c r="R23" s="13" t="n">
        <v>1</v>
      </c>
      <c r="S23" s="13" t="n">
        <v>1</v>
      </c>
      <c r="T23" s="13" t="n">
        <v>1</v>
      </c>
      <c r="U23" s="13" t="n">
        <v>1</v>
      </c>
      <c r="V23" s="12">
        <f>COUNTIF(D23:U23,1)</f>
        <v/>
      </c>
      <c r="W23" s="12">
        <f>IF(COUNT(D23:U23)=0,"",ROUND(V23/18*100,1))</f>
        <v/>
      </c>
      <c r="X23" s="12">
        <f>COUNTIF(D23:U23,0)</f>
        <v/>
      </c>
      <c r="Y23" s="12">
        <f>IF(COUNT(D23:U23)=0,"",ROUND(X23/18*100,1))</f>
        <v/>
      </c>
      <c r="Z23" s="20">
        <f>IF(W23="","",IF(W23&gt;=Нэгтгэл!$K$4,"Хангалттай эзэмшиж байна",IF(W23&gt;=Нэгтгэл!$K$5,"Ахиж байна","Хөгжиж байна")))</f>
        <v/>
      </c>
    </row>
    <row r="24" ht="16" customHeight="1">
      <c r="A24" s="12" t="n">
        <v>18</v>
      </c>
      <c r="B24" s="12">
        <f>IF(Нэгтгэл!B24="","",Нэгтгэл!B24)</f>
        <v/>
      </c>
      <c r="C24" s="4" t="n"/>
      <c r="D24" s="13" t="n">
        <v>1</v>
      </c>
      <c r="E24" s="13" t="n">
        <v>1</v>
      </c>
      <c r="F24" s="13" t="n">
        <v>0</v>
      </c>
      <c r="G24" s="13" t="n">
        <v>1</v>
      </c>
      <c r="H24" s="13" t="n">
        <v>1</v>
      </c>
      <c r="I24" s="13" t="n">
        <v>1</v>
      </c>
      <c r="J24" s="13" t="n">
        <v>1</v>
      </c>
      <c r="K24" s="13" t="n">
        <v>1</v>
      </c>
      <c r="L24" s="13" t="n">
        <v>0</v>
      </c>
      <c r="M24" s="13" t="n">
        <v>0</v>
      </c>
      <c r="N24" s="13" t="n">
        <v>1</v>
      </c>
      <c r="O24" s="13" t="n">
        <v>1</v>
      </c>
      <c r="P24" s="13" t="n">
        <v>1</v>
      </c>
      <c r="Q24" s="13" t="n">
        <v>0</v>
      </c>
      <c r="R24" s="13" t="n">
        <v>0</v>
      </c>
      <c r="S24" s="13" t="n">
        <v>1</v>
      </c>
      <c r="T24" s="13" t="n">
        <v>1</v>
      </c>
      <c r="U24" s="13" t="n">
        <v>1</v>
      </c>
      <c r="V24" s="12">
        <f>COUNTIF(D24:U24,1)</f>
        <v/>
      </c>
      <c r="W24" s="12">
        <f>IF(COUNT(D24:U24)=0,"",ROUND(V24/18*100,1))</f>
        <v/>
      </c>
      <c r="X24" s="12">
        <f>COUNTIF(D24:U24,0)</f>
        <v/>
      </c>
      <c r="Y24" s="12">
        <f>IF(COUNT(D24:U24)=0,"",ROUND(X24/18*100,1))</f>
        <v/>
      </c>
      <c r="Z24" s="20">
        <f>IF(W24="","",IF(W24&gt;=Нэгтгэл!$K$4,"Хангалттай эзэмшиж байна",IF(W24&gt;=Нэгтгэл!$K$5,"Ахиж байна","Хөгжиж байна")))</f>
        <v/>
      </c>
    </row>
    <row r="25" ht="16" customHeight="1">
      <c r="A25" s="12" t="n">
        <v>19</v>
      </c>
      <c r="B25" s="12">
        <f>IF(Нэгтгэл!B25="","",Нэгтгэл!B25)</f>
        <v/>
      </c>
      <c r="C25" s="4" t="n"/>
      <c r="D25" s="13" t="n">
        <v>1</v>
      </c>
      <c r="E25" s="13" t="n">
        <v>0</v>
      </c>
      <c r="F25" s="13" t="n">
        <v>1</v>
      </c>
      <c r="G25" s="13" t="n">
        <v>1</v>
      </c>
      <c r="H25" s="13" t="n">
        <v>1</v>
      </c>
      <c r="I25" s="13" t="n">
        <v>0</v>
      </c>
      <c r="J25" s="13" t="n">
        <v>1</v>
      </c>
      <c r="K25" s="13" t="n">
        <v>1</v>
      </c>
      <c r="L25" s="13" t="n">
        <v>1</v>
      </c>
      <c r="M25" s="13" t="n">
        <v>1</v>
      </c>
      <c r="N25" s="13" t="n">
        <v>0</v>
      </c>
      <c r="O25" s="13" t="n">
        <v>1</v>
      </c>
      <c r="P25" s="13" t="n">
        <v>1</v>
      </c>
      <c r="Q25" s="13" t="n">
        <v>1</v>
      </c>
      <c r="R25" s="13" t="n">
        <v>1</v>
      </c>
      <c r="S25" s="13" t="n">
        <v>0</v>
      </c>
      <c r="T25" s="13" t="n">
        <v>1</v>
      </c>
      <c r="U25" s="13" t="n">
        <v>1</v>
      </c>
      <c r="V25" s="12">
        <f>COUNTIF(D25:U25,1)</f>
        <v/>
      </c>
      <c r="W25" s="12">
        <f>IF(COUNT(D25:U25)=0,"",ROUND(V25/18*100,1))</f>
        <v/>
      </c>
      <c r="X25" s="12">
        <f>COUNTIF(D25:U25,0)</f>
        <v/>
      </c>
      <c r="Y25" s="12">
        <f>IF(COUNT(D25:U25)=0,"",ROUND(X25/18*100,1))</f>
        <v/>
      </c>
      <c r="Z25" s="20">
        <f>IF(W25="","",IF(W25&gt;=Нэгтгэл!$K$4,"Хангалттай эзэмшиж байна",IF(W25&gt;=Нэгтгэл!$K$5,"Ахиж байна","Хөгжиж байна")))</f>
        <v/>
      </c>
    </row>
    <row r="26" ht="16" customHeight="1">
      <c r="A26" s="12" t="n">
        <v>20</v>
      </c>
      <c r="B26" s="12">
        <f>IF(Нэгтгэл!B26="","",Нэгтгэл!B26)</f>
        <v/>
      </c>
      <c r="C26" s="4" t="n"/>
      <c r="D26" s="13" t="n">
        <v>1</v>
      </c>
      <c r="E26" s="13" t="n">
        <v>1</v>
      </c>
      <c r="F26" s="13" t="n">
        <v>1</v>
      </c>
      <c r="G26" s="13" t="n">
        <v>1</v>
      </c>
      <c r="H26" s="13" t="n">
        <v>1</v>
      </c>
      <c r="I26" s="13" t="n">
        <v>1</v>
      </c>
      <c r="J26" s="13" t="n">
        <v>0</v>
      </c>
      <c r="K26" s="13" t="n">
        <v>1</v>
      </c>
      <c r="L26" s="13" t="n">
        <v>1</v>
      </c>
      <c r="M26" s="13" t="n">
        <v>1</v>
      </c>
      <c r="N26" s="13" t="n">
        <v>0</v>
      </c>
      <c r="O26" s="13" t="n">
        <v>1</v>
      </c>
      <c r="P26" s="13" t="n">
        <v>1</v>
      </c>
      <c r="Q26" s="13" t="n">
        <v>1</v>
      </c>
      <c r="R26" s="13" t="n">
        <v>1</v>
      </c>
      <c r="S26" s="13" t="n">
        <v>1</v>
      </c>
      <c r="T26" s="13" t="n">
        <v>1</v>
      </c>
      <c r="U26" s="13" t="n">
        <v>1</v>
      </c>
      <c r="V26" s="12">
        <f>COUNTIF(D26:U26,1)</f>
        <v/>
      </c>
      <c r="W26" s="12">
        <f>IF(COUNT(D26:U26)=0,"",ROUND(V26/18*100,1))</f>
        <v/>
      </c>
      <c r="X26" s="12">
        <f>COUNTIF(D26:U26,0)</f>
        <v/>
      </c>
      <c r="Y26" s="12">
        <f>IF(COUNT(D26:U26)=0,"",ROUND(X26/18*100,1))</f>
        <v/>
      </c>
      <c r="Z26" s="20">
        <f>IF(W26="","",IF(W26&gt;=Нэгтгэл!$K$4,"Хангалттай эзэмшиж байна",IF(W26&gt;=Нэгтгэл!$K$5,"Ахиж байна","Хөгжиж байна")))</f>
        <v/>
      </c>
    </row>
    <row r="27" ht="16" customHeight="1">
      <c r="A27" s="12" t="n">
        <v>21</v>
      </c>
      <c r="B27" s="12">
        <f>IF(Нэгтгэл!B27="","",Нэгтгэл!B27)</f>
        <v/>
      </c>
      <c r="C27" s="4" t="n"/>
      <c r="D27" s="13" t="n">
        <v>1</v>
      </c>
      <c r="E27" s="13" t="n">
        <v>0</v>
      </c>
      <c r="F27" s="13" t="n">
        <v>1</v>
      </c>
      <c r="G27" s="13" t="n">
        <v>1</v>
      </c>
      <c r="H27" s="13" t="n">
        <v>1</v>
      </c>
      <c r="I27" s="13" t="n">
        <v>1</v>
      </c>
      <c r="J27" s="13" t="n">
        <v>0</v>
      </c>
      <c r="K27" s="13" t="n">
        <v>1</v>
      </c>
      <c r="L27" s="13" t="n">
        <v>0</v>
      </c>
      <c r="M27" s="13" t="n">
        <v>1</v>
      </c>
      <c r="N27" s="13" t="n">
        <v>1</v>
      </c>
      <c r="O27" s="13" t="n">
        <v>0</v>
      </c>
      <c r="P27" s="13" t="n">
        <v>1</v>
      </c>
      <c r="Q27" s="13" t="n">
        <v>0</v>
      </c>
      <c r="R27" s="13" t="n">
        <v>0</v>
      </c>
      <c r="S27" s="13" t="n">
        <v>1</v>
      </c>
      <c r="T27" s="13" t="n">
        <v>0</v>
      </c>
      <c r="U27" s="13" t="n">
        <v>1</v>
      </c>
      <c r="V27" s="12">
        <f>COUNTIF(D27:U27,1)</f>
        <v/>
      </c>
      <c r="W27" s="12">
        <f>IF(COUNT(D27:U27)=0,"",ROUND(V27/18*100,1))</f>
        <v/>
      </c>
      <c r="X27" s="12">
        <f>COUNTIF(D27:U27,0)</f>
        <v/>
      </c>
      <c r="Y27" s="12">
        <f>IF(COUNT(D27:U27)=0,"",ROUND(X27/18*100,1))</f>
        <v/>
      </c>
      <c r="Z27" s="20">
        <f>IF(W27="","",IF(W27&gt;=Нэгтгэл!$K$4,"Хангалттай эзэмшиж байна",IF(W27&gt;=Нэгтгэл!$K$5,"Ахиж байна","Хөгжиж байна")))</f>
        <v/>
      </c>
    </row>
    <row r="28" ht="16" customHeight="1">
      <c r="A28" s="12" t="n">
        <v>22</v>
      </c>
      <c r="B28" s="12">
        <f>IF(Нэгтгэл!B28="","",Нэгтгэл!B28)</f>
        <v/>
      </c>
      <c r="C28" s="4" t="n"/>
      <c r="D28" s="13" t="n">
        <v>1</v>
      </c>
      <c r="E28" s="13" t="n">
        <v>0</v>
      </c>
      <c r="F28" s="13" t="n">
        <v>0</v>
      </c>
      <c r="G28" s="13" t="n">
        <v>1</v>
      </c>
      <c r="H28" s="13" t="n">
        <v>0</v>
      </c>
      <c r="I28" s="13" t="n">
        <v>1</v>
      </c>
      <c r="J28" s="13" t="n">
        <v>0</v>
      </c>
      <c r="K28" s="13" t="n">
        <v>0</v>
      </c>
      <c r="L28" s="13" t="n">
        <v>0</v>
      </c>
      <c r="M28" s="13" t="n">
        <v>0</v>
      </c>
      <c r="N28" s="13" t="n">
        <v>1</v>
      </c>
      <c r="O28" s="13" t="n">
        <v>0</v>
      </c>
      <c r="P28" s="13" t="n">
        <v>1</v>
      </c>
      <c r="Q28" s="13" t="n">
        <v>1</v>
      </c>
      <c r="R28" s="13" t="n">
        <v>1</v>
      </c>
      <c r="S28" s="13" t="n">
        <v>1</v>
      </c>
      <c r="T28" s="13" t="n">
        <v>1</v>
      </c>
      <c r="U28" s="13" t="n">
        <v>1</v>
      </c>
      <c r="V28" s="12">
        <f>COUNTIF(D28:U28,1)</f>
        <v/>
      </c>
      <c r="W28" s="12">
        <f>IF(COUNT(D28:U28)=0,"",ROUND(V28/18*100,1))</f>
        <v/>
      </c>
      <c r="X28" s="12">
        <f>COUNTIF(D28:U28,0)</f>
        <v/>
      </c>
      <c r="Y28" s="12">
        <f>IF(COUNT(D28:U28)=0,"",ROUND(X28/18*100,1))</f>
        <v/>
      </c>
      <c r="Z28" s="20">
        <f>IF(W28="","",IF(W28&gt;=Нэгтгэл!$K$4,"Хангалттай эзэмшиж байна",IF(W28&gt;=Нэгтгэл!$K$5,"Ахиж байна","Хөгжиж байна")))</f>
        <v/>
      </c>
    </row>
    <row r="29" ht="16" customHeight="1">
      <c r="A29" s="12" t="n">
        <v>23</v>
      </c>
      <c r="B29" s="12">
        <f>IF(Нэгтгэл!B29="","",Нэгтгэл!B29)</f>
        <v/>
      </c>
      <c r="C29" s="4" t="n"/>
      <c r="D29" s="13" t="n">
        <v>1</v>
      </c>
      <c r="E29" s="13" t="n">
        <v>0</v>
      </c>
      <c r="F29" s="13" t="n">
        <v>1</v>
      </c>
      <c r="G29" s="13" t="n">
        <v>1</v>
      </c>
      <c r="H29" s="13" t="n">
        <v>1</v>
      </c>
      <c r="I29" s="13" t="n">
        <v>1</v>
      </c>
      <c r="J29" s="13" t="n">
        <v>1</v>
      </c>
      <c r="K29" s="13" t="n">
        <v>1</v>
      </c>
      <c r="L29" s="13" t="n">
        <v>1</v>
      </c>
      <c r="M29" s="13" t="n">
        <v>1</v>
      </c>
      <c r="N29" s="13" t="n">
        <v>1</v>
      </c>
      <c r="O29" s="13" t="n">
        <v>1</v>
      </c>
      <c r="P29" s="13" t="n">
        <v>1</v>
      </c>
      <c r="Q29" s="13" t="n">
        <v>1</v>
      </c>
      <c r="R29" s="13" t="n">
        <v>1</v>
      </c>
      <c r="S29" s="13" t="n">
        <v>1</v>
      </c>
      <c r="T29" s="13" t="n">
        <v>1</v>
      </c>
      <c r="U29" s="13" t="n">
        <v>1</v>
      </c>
      <c r="V29" s="12">
        <f>COUNTIF(D29:U29,1)</f>
        <v/>
      </c>
      <c r="W29" s="12">
        <f>IF(COUNT(D29:U29)=0,"",ROUND(V29/18*100,1))</f>
        <v/>
      </c>
      <c r="X29" s="12">
        <f>COUNTIF(D29:U29,0)</f>
        <v/>
      </c>
      <c r="Y29" s="12">
        <f>IF(COUNT(D29:U29)=0,"",ROUND(X29/18*100,1))</f>
        <v/>
      </c>
      <c r="Z29" s="20">
        <f>IF(W29="","",IF(W29&gt;=Нэгтгэл!$K$4,"Хангалттай эзэмшиж байна",IF(W29&gt;=Нэгтгэл!$K$5,"Ахиж байна","Хөгжиж байна")))</f>
        <v/>
      </c>
    </row>
    <row r="30" ht="16" customHeight="1">
      <c r="A30" s="12" t="n">
        <v>24</v>
      </c>
      <c r="B30" s="12">
        <f>IF(Нэгтгэл!B30="","",Нэгтгэл!B30)</f>
        <v/>
      </c>
      <c r="C30" s="4" t="n"/>
      <c r="D30" s="13" t="n">
        <v>1</v>
      </c>
      <c r="E30" s="13" t="n">
        <v>1</v>
      </c>
      <c r="F30" s="13" t="n">
        <v>1</v>
      </c>
      <c r="G30" s="13" t="n">
        <v>1</v>
      </c>
      <c r="H30" s="13" t="n">
        <v>1</v>
      </c>
      <c r="I30" s="13" t="n">
        <v>1</v>
      </c>
      <c r="J30" s="13" t="n">
        <v>1</v>
      </c>
      <c r="K30" s="13" t="n">
        <v>1</v>
      </c>
      <c r="L30" s="13" t="n">
        <v>1</v>
      </c>
      <c r="M30" s="13" t="n">
        <v>1</v>
      </c>
      <c r="N30" s="13" t="n">
        <v>0</v>
      </c>
      <c r="O30" s="13" t="n">
        <v>1</v>
      </c>
      <c r="P30" s="13" t="n">
        <v>0</v>
      </c>
      <c r="Q30" s="13" t="n">
        <v>0</v>
      </c>
      <c r="R30" s="13" t="n">
        <v>0</v>
      </c>
      <c r="S30" s="13" t="n">
        <v>0</v>
      </c>
      <c r="T30" s="13" t="n">
        <v>1</v>
      </c>
      <c r="U30" s="13" t="n">
        <v>1</v>
      </c>
      <c r="V30" s="12">
        <f>COUNTIF(D30:U30,1)</f>
        <v/>
      </c>
      <c r="W30" s="12">
        <f>IF(COUNT(D30:U30)=0,"",ROUND(V30/18*100,1))</f>
        <v/>
      </c>
      <c r="X30" s="12">
        <f>COUNTIF(D30:U30,0)</f>
        <v/>
      </c>
      <c r="Y30" s="12">
        <f>IF(COUNT(D30:U30)=0,"",ROUND(X30/18*100,1))</f>
        <v/>
      </c>
      <c r="Z30" s="20">
        <f>IF(W30="","",IF(W30&gt;=Нэгтгэл!$K$4,"Хангалттай эзэмшиж байна",IF(W30&gt;=Нэгтгэл!$K$5,"Ахиж байна","Хөгжиж байна")))</f>
        <v/>
      </c>
    </row>
    <row r="31" ht="16" customHeight="1">
      <c r="A31" s="12" t="n">
        <v>25</v>
      </c>
      <c r="B31" s="12">
        <f>IF(Нэгтгэл!B31="","",Нэгтгэл!B31)</f>
        <v/>
      </c>
      <c r="C31" s="4" t="n"/>
      <c r="D31" s="13" t="n">
        <v>1</v>
      </c>
      <c r="E31" s="13" t="n">
        <v>1</v>
      </c>
      <c r="F31" s="13" t="n">
        <v>1</v>
      </c>
      <c r="G31" s="13" t="n">
        <v>1</v>
      </c>
      <c r="H31" s="13" t="n">
        <v>1</v>
      </c>
      <c r="I31" s="13" t="n">
        <v>1</v>
      </c>
      <c r="J31" s="13" t="n">
        <v>0</v>
      </c>
      <c r="K31" s="13" t="n">
        <v>1</v>
      </c>
      <c r="L31" s="13" t="n">
        <v>1</v>
      </c>
      <c r="M31" s="13" t="n">
        <v>1</v>
      </c>
      <c r="N31" s="13" t="n">
        <v>1</v>
      </c>
      <c r="O31" s="13" t="n">
        <v>1</v>
      </c>
      <c r="P31" s="13" t="n">
        <v>0</v>
      </c>
      <c r="Q31" s="13" t="n">
        <v>1</v>
      </c>
      <c r="R31" s="13" t="n">
        <v>1</v>
      </c>
      <c r="S31" s="13" t="n">
        <v>1</v>
      </c>
      <c r="T31" s="13" t="n">
        <v>1</v>
      </c>
      <c r="U31" s="13" t="n">
        <v>1</v>
      </c>
      <c r="V31" s="12">
        <f>COUNTIF(D31:U31,1)</f>
        <v/>
      </c>
      <c r="W31" s="12">
        <f>IF(COUNT(D31:U31)=0,"",ROUND(V31/18*100,1))</f>
        <v/>
      </c>
      <c r="X31" s="12">
        <f>COUNTIF(D31:U31,0)</f>
        <v/>
      </c>
      <c r="Y31" s="12">
        <f>IF(COUNT(D31:U31)=0,"",ROUND(X31/18*100,1))</f>
        <v/>
      </c>
      <c r="Z31" s="20">
        <f>IF(W31="","",IF(W31&gt;=Нэгтгэл!$K$4,"Хангалттай эзэмшиж байна",IF(W31&gt;=Нэгтгэл!$K$5,"Ахиж байна","Хөгжиж байна")))</f>
        <v/>
      </c>
    </row>
    <row r="32" ht="16" customHeight="1">
      <c r="A32" s="12" t="n">
        <v>26</v>
      </c>
      <c r="B32" s="12">
        <f>IF(Нэгтгэл!B32="","",Нэгтгэл!B32)</f>
        <v/>
      </c>
      <c r="C32" s="4" t="n"/>
      <c r="D32" s="13" t="n">
        <v>1</v>
      </c>
      <c r="E32" s="13" t="n">
        <v>1</v>
      </c>
      <c r="F32" s="13" t="n">
        <v>1</v>
      </c>
      <c r="G32" s="13" t="n">
        <v>1</v>
      </c>
      <c r="H32" s="13" t="n">
        <v>1</v>
      </c>
      <c r="I32" s="13" t="n">
        <v>1</v>
      </c>
      <c r="J32" s="13" t="n">
        <v>0</v>
      </c>
      <c r="K32" s="13" t="n">
        <v>1</v>
      </c>
      <c r="L32" s="13" t="n">
        <v>0</v>
      </c>
      <c r="M32" s="13" t="n">
        <v>1</v>
      </c>
      <c r="N32" s="13" t="n">
        <v>1</v>
      </c>
      <c r="O32" s="13" t="n">
        <v>1</v>
      </c>
      <c r="P32" s="13" t="n">
        <v>1</v>
      </c>
      <c r="Q32" s="13" t="n">
        <v>0</v>
      </c>
      <c r="R32" s="13" t="n">
        <v>1</v>
      </c>
      <c r="S32" s="13" t="n">
        <v>1</v>
      </c>
      <c r="T32" s="13" t="n">
        <v>1</v>
      </c>
      <c r="U32" s="13" t="n">
        <v>1</v>
      </c>
      <c r="V32" s="12">
        <f>COUNTIF(D32:U32,1)</f>
        <v/>
      </c>
      <c r="W32" s="12">
        <f>IF(COUNT(D32:U32)=0,"",ROUND(V32/18*100,1))</f>
        <v/>
      </c>
      <c r="X32" s="12">
        <f>COUNTIF(D32:U32,0)</f>
        <v/>
      </c>
      <c r="Y32" s="12">
        <f>IF(COUNT(D32:U32)=0,"",ROUND(X32/18*100,1))</f>
        <v/>
      </c>
      <c r="Z32" s="20">
        <f>IF(W32="","",IF(W32&gt;=Нэгтгэл!$K$4,"Хангалттай эзэмшиж байна",IF(W32&gt;=Нэгтгэл!$K$5,"Ахиж байна","Хөгжиж байна")))</f>
        <v/>
      </c>
    </row>
    <row r="33" ht="16" customHeight="1">
      <c r="A33" s="12" t="n">
        <v>27</v>
      </c>
      <c r="B33" s="12">
        <f>IF(Нэгтгэл!B33="","",Нэгтгэл!B33)</f>
        <v/>
      </c>
      <c r="C33" s="4" t="n"/>
      <c r="D33" s="13" t="n">
        <v>1</v>
      </c>
      <c r="E33" s="13" t="n">
        <v>1</v>
      </c>
      <c r="F33" s="13" t="n">
        <v>1</v>
      </c>
      <c r="G33" s="13" t="n">
        <v>1</v>
      </c>
      <c r="H33" s="13" t="n">
        <v>1</v>
      </c>
      <c r="I33" s="13" t="n">
        <v>1</v>
      </c>
      <c r="J33" s="13" t="n">
        <v>1</v>
      </c>
      <c r="K33" s="13" t="n">
        <v>1</v>
      </c>
      <c r="L33" s="13" t="n">
        <v>1</v>
      </c>
      <c r="M33" s="13" t="n">
        <v>1</v>
      </c>
      <c r="N33" s="13" t="n">
        <v>1</v>
      </c>
      <c r="O33" s="13" t="n">
        <v>1</v>
      </c>
      <c r="P33" s="13" t="n">
        <v>0</v>
      </c>
      <c r="Q33" s="13" t="n">
        <v>1</v>
      </c>
      <c r="R33" s="13" t="n">
        <v>1</v>
      </c>
      <c r="S33" s="13" t="n">
        <v>1</v>
      </c>
      <c r="T33" s="13" t="n">
        <v>1</v>
      </c>
      <c r="U33" s="13" t="n">
        <v>0</v>
      </c>
      <c r="V33" s="12">
        <f>COUNTIF(D33:U33,1)</f>
        <v/>
      </c>
      <c r="W33" s="12">
        <f>IF(COUNT(D33:U33)=0,"",ROUND(V33/18*100,1))</f>
        <v/>
      </c>
      <c r="X33" s="12">
        <f>COUNTIF(D33:U33,0)</f>
        <v/>
      </c>
      <c r="Y33" s="12">
        <f>IF(COUNT(D33:U33)=0,"",ROUND(X33/18*100,1))</f>
        <v/>
      </c>
      <c r="Z33" s="20">
        <f>IF(W33="","",IF(W33&gt;=Нэгтгэл!$K$4,"Хангалттай эзэмшиж байна",IF(W33&gt;=Нэгтгэл!$K$5,"Ахиж байна","Хөгжиж байна")))</f>
        <v/>
      </c>
    </row>
    <row r="34" ht="16" customHeight="1">
      <c r="A34" s="12" t="n">
        <v>28</v>
      </c>
      <c r="B34" s="12">
        <f>IF(Нэгтгэл!B34="","",Нэгтгэл!B34)</f>
        <v/>
      </c>
      <c r="C34" s="4" t="n"/>
      <c r="D34" s="13" t="n">
        <v>0</v>
      </c>
      <c r="E34" s="13" t="n">
        <v>0</v>
      </c>
      <c r="F34" s="13" t="n">
        <v>1</v>
      </c>
      <c r="G34" s="13" t="n">
        <v>0</v>
      </c>
      <c r="H34" s="13" t="n">
        <v>1</v>
      </c>
      <c r="I34" s="13" t="n">
        <v>1</v>
      </c>
      <c r="J34" s="13" t="n">
        <v>1</v>
      </c>
      <c r="K34" s="13" t="n">
        <v>1</v>
      </c>
      <c r="L34" s="13" t="n">
        <v>1</v>
      </c>
      <c r="M34" s="13" t="n">
        <v>1</v>
      </c>
      <c r="N34" s="13" t="n">
        <v>1</v>
      </c>
      <c r="O34" s="13" t="n">
        <v>1</v>
      </c>
      <c r="P34" s="13" t="n">
        <v>1</v>
      </c>
      <c r="Q34" s="13" t="n">
        <v>0</v>
      </c>
      <c r="R34" s="13" t="n">
        <v>1</v>
      </c>
      <c r="S34" s="13" t="n">
        <v>0</v>
      </c>
      <c r="T34" s="13" t="n">
        <v>1</v>
      </c>
      <c r="U34" s="13" t="n">
        <v>1</v>
      </c>
      <c r="V34" s="12">
        <f>COUNTIF(D34:U34,1)</f>
        <v/>
      </c>
      <c r="W34" s="12">
        <f>IF(COUNT(D34:U34)=0,"",ROUND(V34/18*100,1))</f>
        <v/>
      </c>
      <c r="X34" s="12">
        <f>COUNTIF(D34:U34,0)</f>
        <v/>
      </c>
      <c r="Y34" s="12">
        <f>IF(COUNT(D34:U34)=0,"",ROUND(X34/18*100,1))</f>
        <v/>
      </c>
      <c r="Z34" s="20">
        <f>IF(W34="","",IF(W34&gt;=Нэгтгэл!$K$4,"Хангалттай эзэмшиж байна",IF(W34&gt;=Нэгтгэл!$K$5,"Ахиж байна","Хөгжиж байна")))</f>
        <v/>
      </c>
    </row>
    <row r="35" ht="16" customHeight="1">
      <c r="A35" s="12" t="n">
        <v>29</v>
      </c>
      <c r="B35" s="12">
        <f>IF(Нэгтгэл!B35="","",Нэгтгэл!B35)</f>
        <v/>
      </c>
      <c r="C35" s="4" t="n"/>
      <c r="D35" s="13" t="n">
        <v>1</v>
      </c>
      <c r="E35" s="13" t="n">
        <v>1</v>
      </c>
      <c r="F35" s="13" t="n">
        <v>1</v>
      </c>
      <c r="G35" s="13" t="n">
        <v>1</v>
      </c>
      <c r="H35" s="13" t="n">
        <v>1</v>
      </c>
      <c r="I35" s="13" t="n">
        <v>1</v>
      </c>
      <c r="J35" s="13" t="n">
        <v>1</v>
      </c>
      <c r="K35" s="13" t="n">
        <v>1</v>
      </c>
      <c r="L35" s="13" t="n">
        <v>0</v>
      </c>
      <c r="M35" s="13" t="n">
        <v>1</v>
      </c>
      <c r="N35" s="13" t="n">
        <v>1</v>
      </c>
      <c r="O35" s="13" t="n">
        <v>0</v>
      </c>
      <c r="P35" s="13" t="n">
        <v>1</v>
      </c>
      <c r="Q35" s="13" t="n">
        <v>1</v>
      </c>
      <c r="R35" s="13" t="n">
        <v>1</v>
      </c>
      <c r="S35" s="13" t="n">
        <v>1</v>
      </c>
      <c r="T35" s="13" t="n">
        <v>1</v>
      </c>
      <c r="U35" s="13" t="n">
        <v>1</v>
      </c>
      <c r="V35" s="12">
        <f>COUNTIF(D35:U35,1)</f>
        <v/>
      </c>
      <c r="W35" s="12">
        <f>IF(COUNT(D35:U35)=0,"",ROUND(V35/18*100,1))</f>
        <v/>
      </c>
      <c r="X35" s="12">
        <f>COUNTIF(D35:U35,0)</f>
        <v/>
      </c>
      <c r="Y35" s="12">
        <f>IF(COUNT(D35:U35)=0,"",ROUND(X35/18*100,1))</f>
        <v/>
      </c>
      <c r="Z35" s="20">
        <f>IF(W35="","",IF(W35&gt;=Нэгтгэл!$K$4,"Хангалттай эзэмшиж байна",IF(W35&gt;=Нэгтгэл!$K$5,"Ахиж байна","Хөгжиж байна")))</f>
        <v/>
      </c>
    </row>
    <row r="36" ht="16" customHeight="1">
      <c r="A36" s="12" t="n">
        <v>30</v>
      </c>
      <c r="B36" s="12">
        <f>IF(Нэгтгэл!B36="","",Нэгтгэл!B36)</f>
        <v/>
      </c>
      <c r="C36" s="4" t="n"/>
      <c r="D36" s="13" t="n">
        <v>1</v>
      </c>
      <c r="E36" s="13" t="n">
        <v>1</v>
      </c>
      <c r="F36" s="13" t="n">
        <v>1</v>
      </c>
      <c r="G36" s="13" t="n">
        <v>1</v>
      </c>
      <c r="H36" s="13" t="n">
        <v>1</v>
      </c>
      <c r="I36" s="13" t="n">
        <v>1</v>
      </c>
      <c r="J36" s="13" t="n">
        <v>1</v>
      </c>
      <c r="K36" s="13" t="n">
        <v>1</v>
      </c>
      <c r="L36" s="13" t="n">
        <v>1</v>
      </c>
      <c r="M36" s="13" t="n">
        <v>1</v>
      </c>
      <c r="N36" s="13" t="n">
        <v>1</v>
      </c>
      <c r="O36" s="13" t="n">
        <v>1</v>
      </c>
      <c r="P36" s="13" t="n">
        <v>0</v>
      </c>
      <c r="Q36" s="13" t="n">
        <v>1</v>
      </c>
      <c r="R36" s="13" t="n">
        <v>1</v>
      </c>
      <c r="S36" s="13" t="n">
        <v>0</v>
      </c>
      <c r="T36" s="13" t="n">
        <v>0</v>
      </c>
      <c r="U36" s="13" t="n">
        <v>1</v>
      </c>
      <c r="V36" s="12">
        <f>COUNTIF(D36:U36,1)</f>
        <v/>
      </c>
      <c r="W36" s="12">
        <f>IF(COUNT(D36:U36)=0,"",ROUND(V36/18*100,1))</f>
        <v/>
      </c>
      <c r="X36" s="12">
        <f>COUNTIF(D36:U36,0)</f>
        <v/>
      </c>
      <c r="Y36" s="12">
        <f>IF(COUNT(D36:U36)=0,"",ROUND(X36/18*100,1))</f>
        <v/>
      </c>
      <c r="Z36" s="20">
        <f>IF(W36="","",IF(W36&gt;=Нэгтгэл!$K$4,"Хангалттай эзэмшиж байна",IF(W36&gt;=Нэгтгэл!$K$5,"Ахиж байна","Хөгжиж байна")))</f>
        <v/>
      </c>
    </row>
    <row r="37" ht="16" customHeight="1">
      <c r="A37" s="12" t="n">
        <v>31</v>
      </c>
      <c r="B37" s="12">
        <f>IF(Нэгтгэл!B37="","",Нэгтгэл!B37)</f>
        <v/>
      </c>
      <c r="C37" s="4" t="n"/>
      <c r="D37" s="13" t="n">
        <v>1</v>
      </c>
      <c r="E37" s="13" t="n">
        <v>0</v>
      </c>
      <c r="F37" s="13" t="n">
        <v>1</v>
      </c>
      <c r="G37" s="13" t="n">
        <v>0</v>
      </c>
      <c r="H37" s="13" t="n">
        <v>1</v>
      </c>
      <c r="I37" s="13" t="n">
        <v>1</v>
      </c>
      <c r="J37" s="13" t="n">
        <v>1</v>
      </c>
      <c r="K37" s="13" t="n">
        <v>1</v>
      </c>
      <c r="L37" s="13" t="n">
        <v>1</v>
      </c>
      <c r="M37" s="13" t="n">
        <v>1</v>
      </c>
      <c r="N37" s="13" t="n">
        <v>0</v>
      </c>
      <c r="O37" s="13" t="n">
        <v>0</v>
      </c>
      <c r="P37" s="13" t="n">
        <v>0</v>
      </c>
      <c r="Q37" s="13" t="n">
        <v>1</v>
      </c>
      <c r="R37" s="13" t="n">
        <v>1</v>
      </c>
      <c r="S37" s="13" t="n">
        <v>0</v>
      </c>
      <c r="T37" s="13" t="n">
        <v>0</v>
      </c>
      <c r="U37" s="13" t="n">
        <v>1</v>
      </c>
      <c r="V37" s="12">
        <f>COUNTIF(D37:U37,1)</f>
        <v/>
      </c>
      <c r="W37" s="12">
        <f>IF(COUNT(D37:U37)=0,"",ROUND(V37/18*100,1))</f>
        <v/>
      </c>
      <c r="X37" s="12">
        <f>COUNTIF(D37:U37,0)</f>
        <v/>
      </c>
      <c r="Y37" s="12">
        <f>IF(COUNT(D37:U37)=0,"",ROUND(X37/18*100,1))</f>
        <v/>
      </c>
      <c r="Z37" s="20">
        <f>IF(W37="","",IF(W37&gt;=Нэгтгэл!$K$4,"Хангалттай эзэмшиж байна",IF(W37&gt;=Нэгтгэл!$K$5,"Ахиж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5">
        <f>COUNTIF(H7:H37,1)</f>
        <v/>
      </c>
      <c r="I38" s="5">
        <f>COUNTIF(I7:I37,1)</f>
        <v/>
      </c>
      <c r="J38" s="5">
        <f>COUNTIF(J7:J37,1)</f>
        <v/>
      </c>
      <c r="K38" s="5">
        <f>COUNTIF(K7:K37,1)</f>
        <v/>
      </c>
      <c r="L38" s="5">
        <f>COUNTIF(L7:L37,1)</f>
        <v/>
      </c>
      <c r="M38" s="5">
        <f>COUNTIF(M7:M37,1)</f>
        <v/>
      </c>
      <c r="N38" s="5">
        <f>COUNTIF(N7:N37,1)</f>
        <v/>
      </c>
      <c r="O38" s="5">
        <f>COUNTIF(O7:O37,1)</f>
        <v/>
      </c>
      <c r="P38" s="5">
        <f>COUNTIF(P7:P37,1)</f>
        <v/>
      </c>
      <c r="Q38" s="5">
        <f>COUNTIF(Q7:Q37,1)</f>
        <v/>
      </c>
      <c r="R38" s="5">
        <f>COUNTIF(R7:R37,1)</f>
        <v/>
      </c>
      <c r="S38" s="5">
        <f>COUNTIF(S7:S37,1)</f>
        <v/>
      </c>
      <c r="T38" s="5">
        <f>COUNTIF(T7:T37,1)</f>
        <v/>
      </c>
      <c r="U38" s="5">
        <f>COUNTIF(U7:U37,1)</f>
        <v/>
      </c>
      <c r="V38" s="21" t="inlineStr">
        <is>
          <t>Хангалттай эзэмшиж байна</t>
        </is>
      </c>
      <c r="W38" s="22" t="n"/>
      <c r="X38" s="22" t="n"/>
      <c r="Y38" s="23" t="n"/>
      <c r="Z38" s="5">
        <f>COUNTIF(Z7:Z37,"Хангалттай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5">
        <f>IF(COUNT(H7:H37)=0,"",ROUND(COUNTIF(H7:H37,1)/COUNT(H7:H37)*100,1))</f>
        <v/>
      </c>
      <c r="I39" s="5">
        <f>IF(COUNT(I7:I37)=0,"",ROUND(COUNTIF(I7:I37,1)/COUNT(I7:I37)*100,1))</f>
        <v/>
      </c>
      <c r="J39" s="5">
        <f>IF(COUNT(J7:J37)=0,"",ROUND(COUNTIF(J7:J37,1)/COUNT(J7:J37)*100,1))</f>
        <v/>
      </c>
      <c r="K39" s="5">
        <f>IF(COUNT(K7:K37)=0,"",ROUND(COUNTIF(K7:K37,1)/COUNT(K7:K37)*100,1))</f>
        <v/>
      </c>
      <c r="L39" s="5">
        <f>IF(COUNT(L7:L37)=0,"",ROUND(COUNTIF(L7:L37,1)/COUNT(L7:L37)*100,1))</f>
        <v/>
      </c>
      <c r="M39" s="5">
        <f>IF(COUNT(M7:M37)=0,"",ROUND(COUNTIF(M7:M37,1)/COUNT(M7:M37)*100,1))</f>
        <v/>
      </c>
      <c r="N39" s="5">
        <f>IF(COUNT(N7:N37)=0,"",ROUND(COUNTIF(N7:N37,1)/COUNT(N7:N37)*100,1))</f>
        <v/>
      </c>
      <c r="O39" s="5">
        <f>IF(COUNT(O7:O37)=0,"",ROUND(COUNTIF(O7:O37,1)/COUNT(O7:O37)*100,1))</f>
        <v/>
      </c>
      <c r="P39" s="5">
        <f>IF(COUNT(P7:P37)=0,"",ROUND(COUNTIF(P7:P37,1)/COUNT(P7:P37)*100,1))</f>
        <v/>
      </c>
      <c r="Q39" s="5">
        <f>IF(COUNT(Q7:Q37)=0,"",ROUND(COUNTIF(Q7:Q37,1)/COUNT(Q7:Q37)*100,1))</f>
        <v/>
      </c>
      <c r="R39" s="5">
        <f>IF(COUNT(R7:R37)=0,"",ROUND(COUNTIF(R7:R37,1)/COUNT(R7:R37)*100,1))</f>
        <v/>
      </c>
      <c r="S39" s="5">
        <f>IF(COUNT(S7:S37)=0,"",ROUND(COUNTIF(S7:S37,1)/COUNT(S7:S37)*100,1))</f>
        <v/>
      </c>
      <c r="T39" s="5">
        <f>IF(COUNT(T7:T37)=0,"",ROUND(COUNTIF(T7:T37,1)/COUNT(T7:T37)*100,1))</f>
        <v/>
      </c>
      <c r="U39" s="5">
        <f>IF(COUNT(U7:U37)=0,"",ROUND(COUNTIF(U7:U37,1)/COUNT(U7:U37)*100,1))</f>
        <v/>
      </c>
      <c r="V39" s="21" t="inlineStr">
        <is>
          <t>Ахиж байна</t>
        </is>
      </c>
      <c r="W39" s="22" t="n"/>
      <c r="X39" s="22" t="n"/>
      <c r="Y39" s="23" t="n"/>
      <c r="Z39" s="5">
        <f>COUNTIF(Z7:Z37,"Ахиж байна")</f>
        <v/>
      </c>
    </row>
    <row r="40" ht="17" customHeight="1">
      <c r="A40" s="5" t="inlineStr">
        <is>
          <t>Чадахгүй (0)</t>
        </is>
      </c>
      <c r="B40" s="15" t="n"/>
      <c r="C40" s="15" t="n"/>
      <c r="D40" s="5">
        <f>COUNTIF(D7:D37,0)</f>
        <v/>
      </c>
      <c r="E40" s="5">
        <f>COUNTIF(E7:E37,0)</f>
        <v/>
      </c>
      <c r="F40" s="5">
        <f>COUNTIF(F7:F37,0)</f>
        <v/>
      </c>
      <c r="G40" s="5">
        <f>COUNTIF(G7:G37,0)</f>
        <v/>
      </c>
      <c r="H40" s="5">
        <f>COUNTIF(H7:H37,0)</f>
        <v/>
      </c>
      <c r="I40" s="5">
        <f>COUNTIF(I7:I37,0)</f>
        <v/>
      </c>
      <c r="J40" s="5">
        <f>COUNTIF(J7:J37,0)</f>
        <v/>
      </c>
      <c r="K40" s="5">
        <f>COUNTIF(K7:K37,0)</f>
        <v/>
      </c>
      <c r="L40" s="5">
        <f>COUNTIF(L7:L37,0)</f>
        <v/>
      </c>
      <c r="M40" s="5">
        <f>COUNTIF(M7:M37,0)</f>
        <v/>
      </c>
      <c r="N40" s="5">
        <f>COUNTIF(N7:N37,0)</f>
        <v/>
      </c>
      <c r="O40" s="5">
        <f>COUNTIF(O7:O37,0)</f>
        <v/>
      </c>
      <c r="P40" s="5">
        <f>COUNTIF(P7:P37,0)</f>
        <v/>
      </c>
      <c r="Q40" s="5">
        <f>COUNTIF(Q7:Q37,0)</f>
        <v/>
      </c>
      <c r="R40" s="5">
        <f>COUNTIF(R7:R37,0)</f>
        <v/>
      </c>
      <c r="S40" s="5">
        <f>COUNTIF(S7:S37,0)</f>
        <v/>
      </c>
      <c r="T40" s="5">
        <f>COUNTIF(T7:T37,0)</f>
        <v/>
      </c>
      <c r="U40" s="5">
        <f>COUNTIF(U7:U37,0)</f>
        <v/>
      </c>
      <c r="V40" s="21" t="inlineStr">
        <is>
          <t>Хөгжиж байна</t>
        </is>
      </c>
      <c r="W40" s="22" t="n"/>
      <c r="X40" s="22" t="n"/>
      <c r="Y40" s="23" t="n"/>
      <c r="Z40" s="5">
        <f>COUNTIF(Z7:Z37,"Хөгжиж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5">
        <f>IF(COUNT(H7:H37)=0,"",ROUND(COUNTIF(H7:H37,0)/COUNT(H7:H37)*100,1))</f>
        <v/>
      </c>
      <c r="I41" s="5">
        <f>IF(COUNT(I7:I37)=0,"",ROUND(COUNTIF(I7:I37,0)/COUNT(I7:I37)*100,1))</f>
        <v/>
      </c>
      <c r="J41" s="5">
        <f>IF(COUNT(J7:J37)=0,"",ROUND(COUNTIF(J7:J37,0)/COUNT(J7:J37)*100,1))</f>
        <v/>
      </c>
      <c r="K41" s="5">
        <f>IF(COUNT(K7:K37)=0,"",ROUND(COUNTIF(K7:K37,0)/COUNT(K7:K37)*100,1))</f>
        <v/>
      </c>
      <c r="L41" s="5">
        <f>IF(COUNT(L7:L37)=0,"",ROUND(COUNTIF(L7:L37,0)/COUNT(L7:L37)*100,1))</f>
        <v/>
      </c>
      <c r="M41" s="5">
        <f>IF(COUNT(M7:M37)=0,"",ROUND(COUNTIF(M7:M37,0)/COUNT(M7:M37)*100,1))</f>
        <v/>
      </c>
      <c r="N41" s="5">
        <f>IF(COUNT(N7:N37)=0,"",ROUND(COUNTIF(N7:N37,0)/COUNT(N7:N37)*100,1))</f>
        <v/>
      </c>
      <c r="O41" s="5">
        <f>IF(COUNT(O7:O37)=0,"",ROUND(COUNTIF(O7:O37,0)/COUNT(O7:O37)*100,1))</f>
        <v/>
      </c>
      <c r="P41" s="5">
        <f>IF(COUNT(P7:P37)=0,"",ROUND(COUNTIF(P7:P37,0)/COUNT(P7:P37)*100,1))</f>
        <v/>
      </c>
      <c r="Q41" s="5">
        <f>IF(COUNT(Q7:Q37)=0,"",ROUND(COUNTIF(Q7:Q37,0)/COUNT(Q7:Q37)*100,1))</f>
        <v/>
      </c>
      <c r="R41" s="5">
        <f>IF(COUNT(R7:R37)=0,"",ROUND(COUNTIF(R7:R37,0)/COUNT(R7:R37)*100,1))</f>
        <v/>
      </c>
      <c r="S41" s="5">
        <f>IF(COUNT(S7:S37)=0,"",ROUND(COUNTIF(S7:S37,0)/COUNT(S7:S37)*100,1))</f>
        <v/>
      </c>
      <c r="T41" s="5">
        <f>IF(COUNT(T7:T37)=0,"",ROUND(COUNTIF(T7:T37,0)/COUNT(T7:T37)*100,1))</f>
        <v/>
      </c>
      <c r="U41" s="5">
        <f>IF(COUNT(U7:U37)=0,"",ROUND(COUNTIF(U7:U37,0)/COUNT(U7:U37)*100,1))</f>
        <v/>
      </c>
      <c r="V41" s="15" t="n"/>
      <c r="W41" s="15" t="n"/>
      <c r="X41" s="15" t="n"/>
      <c r="Y41" s="15" t="n"/>
      <c r="Z41" s="15" t="n"/>
    </row>
  </sheetData>
  <mergeCells count="48">
    <mergeCell ref="A41:C41"/>
    <mergeCell ref="B16:C16"/>
    <mergeCell ref="B7:C7"/>
    <mergeCell ref="B25:C25"/>
    <mergeCell ref="Y3:Y6"/>
    <mergeCell ref="B22:C22"/>
    <mergeCell ref="B31:C31"/>
    <mergeCell ref="B18:C18"/>
    <mergeCell ref="B27:C27"/>
    <mergeCell ref="B12:C12"/>
    <mergeCell ref="B21:C21"/>
    <mergeCell ref="A1:Z1"/>
    <mergeCell ref="B11:C11"/>
    <mergeCell ref="X3:X6"/>
    <mergeCell ref="Z3:Z6"/>
    <mergeCell ref="B23:C23"/>
    <mergeCell ref="A3:A6"/>
    <mergeCell ref="B14:C14"/>
    <mergeCell ref="B17:C17"/>
    <mergeCell ref="B8:C8"/>
    <mergeCell ref="A38:C38"/>
    <mergeCell ref="V38:Y38"/>
    <mergeCell ref="D3:U3"/>
    <mergeCell ref="B13:C13"/>
    <mergeCell ref="B29:C29"/>
    <mergeCell ref="B19:C19"/>
    <mergeCell ref="W3:W6"/>
    <mergeCell ref="B34:C34"/>
    <mergeCell ref="B10:C10"/>
    <mergeCell ref="B28:C28"/>
    <mergeCell ref="B37:C37"/>
    <mergeCell ref="A40:C40"/>
    <mergeCell ref="A2:Z2"/>
    <mergeCell ref="A39:C39"/>
    <mergeCell ref="B9:C9"/>
    <mergeCell ref="B3:C6"/>
    <mergeCell ref="B24:C24"/>
    <mergeCell ref="B30:C30"/>
    <mergeCell ref="B15:C15"/>
    <mergeCell ref="B33:C33"/>
    <mergeCell ref="V40:Y40"/>
    <mergeCell ref="V39:Y39"/>
    <mergeCell ref="V3:V6"/>
    <mergeCell ref="B20:C20"/>
    <mergeCell ref="B36:C36"/>
    <mergeCell ref="B32:C32"/>
    <mergeCell ref="B26:C26"/>
    <mergeCell ref="B35:C35"/>
  </mergeCells>
  <conditionalFormatting sqref="D7:U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H7 H8 H9 H10 H11 H12 H13 H14 H15 H16 H17 H18 H19 H20 H21 H22 H23 H24 H25 H26 H27 H28 H29 H30 H31 H32 H33 H34 H35 H36 H37 I7 I8 I9 I10 I11 I12 I13 I14 I15 I16 I17 I18 I19 I20 I21 I22 I23 I24 I25 I26 I27 I28 I29 I30 I31 I32 I33 I34 I35 I36 I37 J7 J8 J9 J10 J11 J12 J13 J14 J15 J16 J17 J18 J19 J20 J21 J22 J23 J24 J25 J26 J27 J28 J29 J30 J31 J32 J33 J34 J35 J36 J37 K7 K8 K9 K10 K11 K12 K13 K14 K15 K16 K17 K18 K19 K20 K21 K22 K23 K24 K25 K26 K27 K28 K29 K30 K31 K32 K33 K34 K35 K36 K37 L7 L8 L9 L10 L11 L12 L13 L14 L15 L16 L17 L18 L19 L20 L21 L22 L23 L24 L25 L26 L27 L28 L29 L30 L31 L32 L33 L34 L35 L36 L37 M7 M8 M9 M10 M11 M12 M13 M14 M15 M16 M17 M18 M19 M20 M21 M22 M23 M24 M25 M26 M27 M28 M29 M30 M31 M32 M33 M34 M35 M36 M37 N7 N8 N9 N10 N11 N12 N13 N14 N15 N16 N17 N18 N19 N20 N21 N22 N23 N24 N25 N26 N27 N28 N29 N30 N31 N32 N33 N34 N35 N36 N37 O7 O8 O9 O10 O11 O12 O13 O14 O15 O16 O17 O18 O19 O20 O21 O22 O23 O24 O25 O26 O27 O28 O29 O30 O31 O32 O33 O34 O35 O36 O37 P7 P8 P9 P10 P11 P12 P13 P14 P15 P16 P17 P18 P19 P20 P21 P22 P23 P24 P25 P26 P27 P28 P29 P30 P31 P32 P33 P34 P35 P36 P37 Q7 Q8 Q9 Q10 Q11 Q12 Q13 Q14 Q15 Q16 Q17 Q18 Q19 Q20 Q21 Q22 Q23 Q24 Q25 Q26 Q27 Q28 Q29 Q30 Q31 Q32 Q33 Q34 Q35 Q36 Q37 R7 R8 R9 R10 R11 R12 R13 R14 R15 R16 R17 R18 R19 R20 R21 R22 R23 R24 R25 R26 R27 R28 R29 R30 R31 R32 R33 R34 R35 R36 R37 S7 S8 S9 S10 S11 S12 S13 S14 S15 S16 S17 S18 S19 S20 S21 S22 S23 S24 S25 S26 S27 S28 S29 S30 S31 S32 S33 S34 S35 S36 S37 T7 T8 T9 T10 T11 T12 T13 T14 T15 T16 T17 T18 T19 T20 T21 T22 T23 T24 T25 T26 T27 T28 T29 T30 T31 T32 T33 T34 T35 T36 T37 U7 U8 U9 U10 U11 U12 U13 U14 U15 U16 U17 U18 U19 U20 U21 U22 U23 U24 U25 U26 U27 U28 U29 U30 U31 U32 U33 U34 U35 U36 U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2026-10-12T01:37:54Z</dcterms:created>
  <dcterms:modified xmlns:dcterms="http://purl.org/dc/terms/" xmlns:xsi="http://www.w3.org/2001/XMLSchema-instance" xsi:type="dcterms:W3CDTF">2026-10-12T01:37:54Z</dcterms:modified>
</cp:coreProperties>
</file>
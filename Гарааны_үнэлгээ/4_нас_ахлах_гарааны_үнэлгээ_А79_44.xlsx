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эгтгэл" sheetId="1" state="visible" r:id="rId1"/>
    <sheet xmlns:r="http://schemas.openxmlformats.org/officeDocument/2006/relationships" name="Мэдлэг" sheetId="2" state="visible" r:id="rId2"/>
    <sheet xmlns:r="http://schemas.openxmlformats.org/officeDocument/2006/relationships" name="Чадвар" sheetId="3" state="visible" r:id="rId3"/>
    <sheet xmlns:r="http://schemas.openxmlformats.org/officeDocument/2006/relationships" name="Төлөвшил" sheetId="4" state="visible" r:id="rId4"/>
  </sheets>
  <definedNames>
    <definedName name="_xlnm.Print_Titles" localSheetId="0">'Нэгтгэл'!$3:$6</definedName>
    <definedName name="_xlnm.Print_Area" localSheetId="0">'Нэгтгэл'!$A$1:$H$54</definedName>
    <definedName name="_xlnm.Print_Titles" localSheetId="1">'Мэдлэг'!$3:$6</definedName>
    <definedName name="_xlnm.Print_Area" localSheetId="1">'Мэдлэг'!$A$1:$Q$54</definedName>
    <definedName name="_xlnm.Print_Titles" localSheetId="2">'Чадвар'!$3:$6</definedName>
    <definedName name="_xlnm.Print_Area" localSheetId="2">'Чадвар'!$A$1:$AM$54</definedName>
    <definedName name="_xlnm.Print_Titles" localSheetId="3">'Төлөвшил'!$3:$6</definedName>
    <definedName name="_xlnm.Print_Area" localSheetId="3">'Төлөвшил'!$A$1:$N$54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2"/>
    </font>
    <font>
      <name val="Arial"/>
      <sz val="11"/>
    </font>
    <font>
      <name val="Arial"/>
      <b val="1"/>
      <sz val="10"/>
    </font>
    <font>
      <name val="Arial"/>
      <b val="1"/>
      <sz val="9"/>
    </font>
    <font>
      <name val="Arial"/>
      <sz val="8"/>
    </font>
    <font>
      <name val="Arial"/>
      <b val="1"/>
      <sz val="8"/>
    </font>
    <font>
      <name val="Arial"/>
      <sz val="10"/>
    </font>
    <font>
      <name val="Arial"/>
      <sz val="9"/>
    </font>
    <font>
      <name val="Arial"/>
      <i val="1"/>
      <sz val="8"/>
    </font>
  </fonts>
  <fills count="6">
    <fill>
      <patternFill/>
    </fill>
    <fill>
      <patternFill patternType="gray125"/>
    </fill>
    <fill>
      <patternFill patternType="solid">
        <fgColor rgb="00DDEBF7"/>
      </patternFill>
    </fill>
    <fill>
      <patternFill patternType="solid">
        <fgColor rgb="00E2EFDA"/>
      </patternFill>
    </fill>
    <fill>
      <patternFill patternType="solid">
        <fgColor rgb="00F2F2F2"/>
      </patternFill>
    </fill>
    <fill>
      <patternFill patternType="solid">
        <fgColor rgb="00FFFDE7"/>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1" pivotButton="0" quotePrefix="0" xfId="0"/>
    <xf numFmtId="0" fontId="3" fillId="3"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2" borderId="1" pivotButton="0" quotePrefix="0" xfId="0"/>
    <xf numFmtId="0" fontId="8" fillId="0" borderId="1" applyAlignment="1" pivotButton="0" quotePrefix="0" xfId="0">
      <alignment horizontal="left" vertical="center" wrapText="1"/>
    </xf>
    <xf numFmtId="0" fontId="3" fillId="5" borderId="1" applyAlignment="1" pivotButton="0" quotePrefix="0" xfId="0">
      <alignment horizontal="center" vertical="center" wrapText="1"/>
    </xf>
    <xf numFmtId="0" fontId="6" fillId="2" borderId="1" applyAlignment="1" pivotButton="0" quotePrefix="0" xfId="0">
      <alignment horizontal="center" vertical="center" wrapText="1"/>
    </xf>
    <xf numFmtId="0" fontId="9" fillId="0" borderId="0" applyAlignment="1" pivotButton="0" quotePrefix="0" xfId="0">
      <alignment horizontal="left" vertical="center" wrapText="1"/>
    </xf>
    <xf numFmtId="0" fontId="7"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0" fillId="3" borderId="1" pivotButton="0" quotePrefix="0" xfId="0"/>
    <xf numFmtId="0" fontId="7"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0" borderId="0" applyAlignment="1" pivotButton="0" quotePrefix="0" xfId="0">
      <alignment horizontal="left" vertical="center" wrapText="1"/>
    </xf>
    <xf numFmtId="0" fontId="5" fillId="4"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54"/>
  <sheetViews>
    <sheetView workbookViewId="0">
      <selection activeCell="A1" sqref="A1"/>
    </sheetView>
  </sheetViews>
  <sheetFormatPr baseColWidth="8" defaultRowHeight="15"/>
  <cols>
    <col width="5" customWidth="1" min="1" max="1"/>
    <col width="14" customWidth="1" min="2" max="2"/>
    <col width="16" customWidth="1" min="3" max="3"/>
    <col width="16" customWidth="1" min="4" max="4"/>
    <col width="16" customWidth="1" min="5" max="5"/>
    <col width="14" customWidth="1" min="6" max="6"/>
    <col width="12" customWidth="1" min="7" max="7"/>
    <col width="30" customWidth="1" min="8" max="8"/>
    <col width="2" customWidth="1" min="9" max="9"/>
    <col width="26" customWidth="1" min="10" max="10"/>
    <col width="8" customWidth="1" min="11" max="11"/>
  </cols>
  <sheetData>
    <row r="1">
      <c r="A1" s="1" t="inlineStr">
        <is>
          <t>................ ЦЭЦЭРЛЭГИЙН АХЛАХ БҮЛГИЙН (4 НАС) ГАРААНЫ (ОНОШЛОХ) ҮНЭЛГЭЭНИЙ НЭГТГЭЛ</t>
        </is>
      </c>
    </row>
    <row r="2">
      <c r="A2" s="2" t="inlineStr">
        <is>
          <t>Огноо: 20.... оны .... сар     Багш: ....................     Хүүхдийн кодыг B баганад бичнэ.</t>
        </is>
      </c>
    </row>
    <row r="3">
      <c r="A3" s="3" t="inlineStr">
        <is>
          <t>№</t>
        </is>
      </c>
      <c r="B3" s="3" t="inlineStr">
        <is>
          <t>Хүүхдийн код</t>
        </is>
      </c>
      <c r="C3" s="3" t="inlineStr">
        <is>
          <t>«Чадна» хувь (%)</t>
        </is>
      </c>
      <c r="D3" s="4" t="n"/>
      <c r="E3" s="4" t="n"/>
      <c r="F3" s="5" t="inlineStr">
        <is>
          <t>Нийт чадна (46-аас)</t>
        </is>
      </c>
      <c r="G3" s="5" t="inlineStr">
        <is>
          <t>Нийт хувь</t>
        </is>
      </c>
      <c r="H3" s="5" t="inlineStr">
        <is>
          <t>Түвшин</t>
        </is>
      </c>
      <c r="J3" s="6" t="inlineStr">
        <is>
          <t>Түвшний босго (%) — өөрчилж болно</t>
        </is>
      </c>
      <c r="K3" s="7" t="n"/>
    </row>
    <row r="4">
      <c r="A4" s="4" t="n"/>
      <c r="B4" s="4" t="n"/>
      <c r="C4" s="6" t="inlineStr">
        <is>
          <t>Үнэлгээний хүрээ</t>
        </is>
      </c>
      <c r="D4" s="4" t="n"/>
      <c r="E4" s="4" t="n"/>
      <c r="F4" s="4" t="n"/>
      <c r="G4" s="4" t="n"/>
      <c r="H4" s="4" t="n"/>
      <c r="J4" s="8" t="inlineStr">
        <is>
          <t>Хангалттай эзэмшиж байна ≥</t>
        </is>
      </c>
      <c r="K4" s="9" t="n">
        <v>80</v>
      </c>
    </row>
    <row r="5" ht="18" customHeight="1">
      <c r="A5" s="4" t="n"/>
      <c r="B5" s="4" t="n"/>
      <c r="C5" s="6" t="inlineStr">
        <is>
          <t>Мэдлэг</t>
        </is>
      </c>
      <c r="D5" s="6" t="inlineStr">
        <is>
          <t>Чадвар</t>
        </is>
      </c>
      <c r="E5" s="6" t="inlineStr">
        <is>
          <t>Төлөвшил</t>
        </is>
      </c>
      <c r="F5" s="4" t="n"/>
      <c r="G5" s="4" t="n"/>
      <c r="H5" s="4" t="n"/>
      <c r="J5" s="8" t="inlineStr">
        <is>
          <t>Ахиж байна ≥</t>
        </is>
      </c>
      <c r="K5" s="9" t="n">
        <v>50</v>
      </c>
    </row>
    <row r="6">
      <c r="A6" s="4" t="n"/>
      <c r="B6" s="4" t="n"/>
      <c r="C6" s="10" t="n">
        <v>9</v>
      </c>
      <c r="D6" s="10" t="n">
        <v>31</v>
      </c>
      <c r="E6" s="10" t="n">
        <v>6</v>
      </c>
      <c r="F6" s="4" t="n"/>
      <c r="G6" s="4" t="n"/>
      <c r="H6" s="4" t="n"/>
      <c r="J6" s="11" t="inlineStr">
        <is>
          <t>Бусад нь «Хөгжиж байна» (А/79, 2.10)</t>
        </is>
      </c>
    </row>
    <row r="7" ht="16" customHeight="1">
      <c r="A7" s="12" t="n">
        <v>1</v>
      </c>
      <c r="B7" s="13" t="inlineStr">
        <is>
          <t>Х-01</t>
        </is>
      </c>
      <c r="C7" s="12">
        <f>IF(COUNT('Мэдлэг'!D7:L7)=0,"",ROUND(COUNTIF('Мэдлэг'!D7:L7,1)/9*100,1))</f>
        <v/>
      </c>
      <c r="D7" s="12">
        <f>IF(COUNT('Чадвар'!D7:AH7)=0,"",ROUND(COUNTIF('Чадвар'!D7:AH7,1)/31*100,1))</f>
        <v/>
      </c>
      <c r="E7" s="12">
        <f>IF(COUNT('Төлөвшил'!D7:I7)=0,"",ROUND(COUNTIF('Төлөвшил'!D7:I7,1)/6*100,1))</f>
        <v/>
      </c>
      <c r="F7" s="12">
        <f>COUNTIF('Мэдлэг'!D7:L7,1)+COUNTIF('Чадвар'!D7:AH7,1)+COUNTIF('Төлөвшил'!D7:I7,1)</f>
        <v/>
      </c>
      <c r="G7" s="12">
        <f>IF((COUNT('Мэдлэг'!D7:L7)+COUNT('Чадвар'!D7:AH7)+COUNT('Төлөвшил'!D7:I7))=0,"",ROUND(F7/46*100,1))</f>
        <v/>
      </c>
      <c r="H7" s="14">
        <f>IF(G7="","",IF(G7&gt;=Нэгтгэл!$K$4,"Хангалттай эзэмшиж байна",IF(G7&gt;=Нэгтгэл!$K$5,"Ахиж байна","Хөгжиж байна")))</f>
        <v/>
      </c>
    </row>
    <row r="8" ht="16" customHeight="1">
      <c r="A8" s="12" t="n">
        <v>2</v>
      </c>
      <c r="B8" s="13" t="inlineStr">
        <is>
          <t>Х-02</t>
        </is>
      </c>
      <c r="C8" s="12">
        <f>IF(COUNT('Мэдлэг'!D8:L8)=0,"",ROUND(COUNTIF('Мэдлэг'!D8:L8,1)/9*100,1))</f>
        <v/>
      </c>
      <c r="D8" s="12">
        <f>IF(COUNT('Чадвар'!D8:AH8)=0,"",ROUND(COUNTIF('Чадвар'!D8:AH8,1)/31*100,1))</f>
        <v/>
      </c>
      <c r="E8" s="12">
        <f>IF(COUNT('Төлөвшил'!D8:I8)=0,"",ROUND(COUNTIF('Төлөвшил'!D8:I8,1)/6*100,1))</f>
        <v/>
      </c>
      <c r="F8" s="12">
        <f>COUNTIF('Мэдлэг'!D8:L8,1)+COUNTIF('Чадвар'!D8:AH8,1)+COUNTIF('Төлөвшил'!D8:I8,1)</f>
        <v/>
      </c>
      <c r="G8" s="12">
        <f>IF((COUNT('Мэдлэг'!D8:L8)+COUNT('Чадвар'!D8:AH8)+COUNT('Төлөвшил'!D8:I8))=0,"",ROUND(F8/46*100,1))</f>
        <v/>
      </c>
      <c r="H8" s="14">
        <f>IF(G8="","",IF(G8&gt;=Нэгтгэл!$K$4,"Хангалттай эзэмшиж байна",IF(G8&gt;=Нэгтгэл!$K$5,"Ахиж байна","Хөгжиж байна")))</f>
        <v/>
      </c>
    </row>
    <row r="9" ht="16" customHeight="1">
      <c r="A9" s="12" t="n">
        <v>3</v>
      </c>
      <c r="B9" s="13" t="inlineStr">
        <is>
          <t>Х-03</t>
        </is>
      </c>
      <c r="C9" s="12">
        <f>IF(COUNT('Мэдлэг'!D9:L9)=0,"",ROUND(COUNTIF('Мэдлэг'!D9:L9,1)/9*100,1))</f>
        <v/>
      </c>
      <c r="D9" s="12">
        <f>IF(COUNT('Чадвар'!D9:AH9)=0,"",ROUND(COUNTIF('Чадвар'!D9:AH9,1)/31*100,1))</f>
        <v/>
      </c>
      <c r="E9" s="12">
        <f>IF(COUNT('Төлөвшил'!D9:I9)=0,"",ROUND(COUNTIF('Төлөвшил'!D9:I9,1)/6*100,1))</f>
        <v/>
      </c>
      <c r="F9" s="12">
        <f>COUNTIF('Мэдлэг'!D9:L9,1)+COUNTIF('Чадвар'!D9:AH9,1)+COUNTIF('Төлөвшил'!D9:I9,1)</f>
        <v/>
      </c>
      <c r="G9" s="12">
        <f>IF((COUNT('Мэдлэг'!D9:L9)+COUNT('Чадвар'!D9:AH9)+COUNT('Төлөвшил'!D9:I9))=0,"",ROUND(F9/46*100,1))</f>
        <v/>
      </c>
      <c r="H9" s="14">
        <f>IF(G9="","",IF(G9&gt;=Нэгтгэл!$K$4,"Хангалттай эзэмшиж байна",IF(G9&gt;=Нэгтгэл!$K$5,"Ахиж байна","Хөгжиж байна")))</f>
        <v/>
      </c>
    </row>
    <row r="10" ht="16" customHeight="1">
      <c r="A10" s="12" t="n">
        <v>4</v>
      </c>
      <c r="B10" s="13" t="inlineStr">
        <is>
          <t>Х-04</t>
        </is>
      </c>
      <c r="C10" s="12">
        <f>IF(COUNT('Мэдлэг'!D10:L10)=0,"",ROUND(COUNTIF('Мэдлэг'!D10:L10,1)/9*100,1))</f>
        <v/>
      </c>
      <c r="D10" s="12">
        <f>IF(COUNT('Чадвар'!D10:AH10)=0,"",ROUND(COUNTIF('Чадвар'!D10:AH10,1)/31*100,1))</f>
        <v/>
      </c>
      <c r="E10" s="12">
        <f>IF(COUNT('Төлөвшил'!D10:I10)=0,"",ROUND(COUNTIF('Төлөвшил'!D10:I10,1)/6*100,1))</f>
        <v/>
      </c>
      <c r="F10" s="12">
        <f>COUNTIF('Мэдлэг'!D10:L10,1)+COUNTIF('Чадвар'!D10:AH10,1)+COUNTIF('Төлөвшил'!D10:I10,1)</f>
        <v/>
      </c>
      <c r="G10" s="12">
        <f>IF((COUNT('Мэдлэг'!D10:L10)+COUNT('Чадвар'!D10:AH10)+COUNT('Төлөвшил'!D10:I10))=0,"",ROUND(F10/46*100,1))</f>
        <v/>
      </c>
      <c r="H10" s="14">
        <f>IF(G10="","",IF(G10&gt;=Нэгтгэл!$K$4,"Хангалттай эзэмшиж байна",IF(G10&gt;=Нэгтгэл!$K$5,"Ахиж байна","Хөгжиж байна")))</f>
        <v/>
      </c>
    </row>
    <row r="11" ht="16" customHeight="1">
      <c r="A11" s="12" t="n">
        <v>5</v>
      </c>
      <c r="B11" s="13" t="inlineStr">
        <is>
          <t>Х-05</t>
        </is>
      </c>
      <c r="C11" s="12">
        <f>IF(COUNT('Мэдлэг'!D11:L11)=0,"",ROUND(COUNTIF('Мэдлэг'!D11:L11,1)/9*100,1))</f>
        <v/>
      </c>
      <c r="D11" s="12">
        <f>IF(COUNT('Чадвар'!D11:AH11)=0,"",ROUND(COUNTIF('Чадвар'!D11:AH11,1)/31*100,1))</f>
        <v/>
      </c>
      <c r="E11" s="12">
        <f>IF(COUNT('Төлөвшил'!D11:I11)=0,"",ROUND(COUNTIF('Төлөвшил'!D11:I11,1)/6*100,1))</f>
        <v/>
      </c>
      <c r="F11" s="12">
        <f>COUNTIF('Мэдлэг'!D11:L11,1)+COUNTIF('Чадвар'!D11:AH11,1)+COUNTIF('Төлөвшил'!D11:I11,1)</f>
        <v/>
      </c>
      <c r="G11" s="12">
        <f>IF((COUNT('Мэдлэг'!D11:L11)+COUNT('Чадвар'!D11:AH11)+COUNT('Төлөвшил'!D11:I11))=0,"",ROUND(F11/46*100,1))</f>
        <v/>
      </c>
      <c r="H11" s="14">
        <f>IF(G11="","",IF(G11&gt;=Нэгтгэл!$K$4,"Хангалттай эзэмшиж байна",IF(G11&gt;=Нэгтгэл!$K$5,"Ахиж байна","Хөгжиж байна")))</f>
        <v/>
      </c>
    </row>
    <row r="12" ht="16" customHeight="1">
      <c r="A12" s="12" t="n">
        <v>6</v>
      </c>
      <c r="B12" s="13" t="inlineStr">
        <is>
          <t>Х-06</t>
        </is>
      </c>
      <c r="C12" s="12">
        <f>IF(COUNT('Мэдлэг'!D12:L12)=0,"",ROUND(COUNTIF('Мэдлэг'!D12:L12,1)/9*100,1))</f>
        <v/>
      </c>
      <c r="D12" s="12">
        <f>IF(COUNT('Чадвар'!D12:AH12)=0,"",ROUND(COUNTIF('Чадвар'!D12:AH12,1)/31*100,1))</f>
        <v/>
      </c>
      <c r="E12" s="12">
        <f>IF(COUNT('Төлөвшил'!D12:I12)=0,"",ROUND(COUNTIF('Төлөвшил'!D12:I12,1)/6*100,1))</f>
        <v/>
      </c>
      <c r="F12" s="12">
        <f>COUNTIF('Мэдлэг'!D12:L12,1)+COUNTIF('Чадвар'!D12:AH12,1)+COUNTIF('Төлөвшил'!D12:I12,1)</f>
        <v/>
      </c>
      <c r="G12" s="12">
        <f>IF((COUNT('Мэдлэг'!D12:L12)+COUNT('Чадвар'!D12:AH12)+COUNT('Төлөвшил'!D12:I12))=0,"",ROUND(F12/46*100,1))</f>
        <v/>
      </c>
      <c r="H12" s="14">
        <f>IF(G12="","",IF(G12&gt;=Нэгтгэл!$K$4,"Хангалттай эзэмшиж байна",IF(G12&gt;=Нэгтгэл!$K$5,"Ахиж байна","Хөгжиж байна")))</f>
        <v/>
      </c>
    </row>
    <row r="13" ht="16" customHeight="1">
      <c r="A13" s="12" t="n">
        <v>7</v>
      </c>
      <c r="B13" s="13" t="inlineStr">
        <is>
          <t>Х-07</t>
        </is>
      </c>
      <c r="C13" s="12">
        <f>IF(COUNT('Мэдлэг'!D13:L13)=0,"",ROUND(COUNTIF('Мэдлэг'!D13:L13,1)/9*100,1))</f>
        <v/>
      </c>
      <c r="D13" s="12">
        <f>IF(COUNT('Чадвар'!D13:AH13)=0,"",ROUND(COUNTIF('Чадвар'!D13:AH13,1)/31*100,1))</f>
        <v/>
      </c>
      <c r="E13" s="12">
        <f>IF(COUNT('Төлөвшил'!D13:I13)=0,"",ROUND(COUNTIF('Төлөвшил'!D13:I13,1)/6*100,1))</f>
        <v/>
      </c>
      <c r="F13" s="12">
        <f>COUNTIF('Мэдлэг'!D13:L13,1)+COUNTIF('Чадвар'!D13:AH13,1)+COUNTIF('Төлөвшил'!D13:I13,1)</f>
        <v/>
      </c>
      <c r="G13" s="12">
        <f>IF((COUNT('Мэдлэг'!D13:L13)+COUNT('Чадвар'!D13:AH13)+COUNT('Төлөвшил'!D13:I13))=0,"",ROUND(F13/46*100,1))</f>
        <v/>
      </c>
      <c r="H13" s="14">
        <f>IF(G13="","",IF(G13&gt;=Нэгтгэл!$K$4,"Хангалттай эзэмшиж байна",IF(G13&gt;=Нэгтгэл!$K$5,"Ахиж байна","Хөгжиж байна")))</f>
        <v/>
      </c>
    </row>
    <row r="14" ht="16" customHeight="1">
      <c r="A14" s="12" t="n">
        <v>8</v>
      </c>
      <c r="B14" s="13" t="inlineStr">
        <is>
          <t>Х-08</t>
        </is>
      </c>
      <c r="C14" s="12">
        <f>IF(COUNT('Мэдлэг'!D14:L14)=0,"",ROUND(COUNTIF('Мэдлэг'!D14:L14,1)/9*100,1))</f>
        <v/>
      </c>
      <c r="D14" s="12">
        <f>IF(COUNT('Чадвар'!D14:AH14)=0,"",ROUND(COUNTIF('Чадвар'!D14:AH14,1)/31*100,1))</f>
        <v/>
      </c>
      <c r="E14" s="12">
        <f>IF(COUNT('Төлөвшил'!D14:I14)=0,"",ROUND(COUNTIF('Төлөвшил'!D14:I14,1)/6*100,1))</f>
        <v/>
      </c>
      <c r="F14" s="12">
        <f>COUNTIF('Мэдлэг'!D14:L14,1)+COUNTIF('Чадвар'!D14:AH14,1)+COUNTIF('Төлөвшил'!D14:I14,1)</f>
        <v/>
      </c>
      <c r="G14" s="12">
        <f>IF((COUNT('Мэдлэг'!D14:L14)+COUNT('Чадвар'!D14:AH14)+COUNT('Төлөвшил'!D14:I14))=0,"",ROUND(F14/46*100,1))</f>
        <v/>
      </c>
      <c r="H14" s="14">
        <f>IF(G14="","",IF(G14&gt;=Нэгтгэл!$K$4,"Хангалттай эзэмшиж байна",IF(G14&gt;=Нэгтгэл!$K$5,"Ахиж байна","Хөгжиж байна")))</f>
        <v/>
      </c>
    </row>
    <row r="15" ht="16" customHeight="1">
      <c r="A15" s="12" t="n">
        <v>9</v>
      </c>
      <c r="B15" s="13" t="inlineStr">
        <is>
          <t>Х-09</t>
        </is>
      </c>
      <c r="C15" s="12">
        <f>IF(COUNT('Мэдлэг'!D15:L15)=0,"",ROUND(COUNTIF('Мэдлэг'!D15:L15,1)/9*100,1))</f>
        <v/>
      </c>
      <c r="D15" s="12">
        <f>IF(COUNT('Чадвар'!D15:AH15)=0,"",ROUND(COUNTIF('Чадвар'!D15:AH15,1)/31*100,1))</f>
        <v/>
      </c>
      <c r="E15" s="12">
        <f>IF(COUNT('Төлөвшил'!D15:I15)=0,"",ROUND(COUNTIF('Төлөвшил'!D15:I15,1)/6*100,1))</f>
        <v/>
      </c>
      <c r="F15" s="12">
        <f>COUNTIF('Мэдлэг'!D15:L15,1)+COUNTIF('Чадвар'!D15:AH15,1)+COUNTIF('Төлөвшил'!D15:I15,1)</f>
        <v/>
      </c>
      <c r="G15" s="12">
        <f>IF((COUNT('Мэдлэг'!D15:L15)+COUNT('Чадвар'!D15:AH15)+COUNT('Төлөвшил'!D15:I15))=0,"",ROUND(F15/46*100,1))</f>
        <v/>
      </c>
      <c r="H15" s="14">
        <f>IF(G15="","",IF(G15&gt;=Нэгтгэл!$K$4,"Хангалттай эзэмшиж байна",IF(G15&gt;=Нэгтгэл!$K$5,"Ахиж байна","Хөгжиж байна")))</f>
        <v/>
      </c>
    </row>
    <row r="16" ht="16" customHeight="1">
      <c r="A16" s="12" t="n">
        <v>10</v>
      </c>
      <c r="B16" s="13" t="inlineStr">
        <is>
          <t>Х-10</t>
        </is>
      </c>
      <c r="C16" s="12">
        <f>IF(COUNT('Мэдлэг'!D16:L16)=0,"",ROUND(COUNTIF('Мэдлэг'!D16:L16,1)/9*100,1))</f>
        <v/>
      </c>
      <c r="D16" s="12">
        <f>IF(COUNT('Чадвар'!D16:AH16)=0,"",ROUND(COUNTIF('Чадвар'!D16:AH16,1)/31*100,1))</f>
        <v/>
      </c>
      <c r="E16" s="12">
        <f>IF(COUNT('Төлөвшил'!D16:I16)=0,"",ROUND(COUNTIF('Төлөвшил'!D16:I16,1)/6*100,1))</f>
        <v/>
      </c>
      <c r="F16" s="12">
        <f>COUNTIF('Мэдлэг'!D16:L16,1)+COUNTIF('Чадвар'!D16:AH16,1)+COUNTIF('Төлөвшил'!D16:I16,1)</f>
        <v/>
      </c>
      <c r="G16" s="12">
        <f>IF((COUNT('Мэдлэг'!D16:L16)+COUNT('Чадвар'!D16:AH16)+COUNT('Төлөвшил'!D16:I16))=0,"",ROUND(F16/46*100,1))</f>
        <v/>
      </c>
      <c r="H16" s="14">
        <f>IF(G16="","",IF(G16&gt;=Нэгтгэл!$K$4,"Хангалттай эзэмшиж байна",IF(G16&gt;=Нэгтгэл!$K$5,"Ахиж байна","Хөгжиж байна")))</f>
        <v/>
      </c>
    </row>
    <row r="17" ht="16" customHeight="1">
      <c r="A17" s="12" t="n">
        <v>11</v>
      </c>
      <c r="B17" s="13" t="inlineStr">
        <is>
          <t>Х-11</t>
        </is>
      </c>
      <c r="C17" s="12">
        <f>IF(COUNT('Мэдлэг'!D17:L17)=0,"",ROUND(COUNTIF('Мэдлэг'!D17:L17,1)/9*100,1))</f>
        <v/>
      </c>
      <c r="D17" s="12">
        <f>IF(COUNT('Чадвар'!D17:AH17)=0,"",ROUND(COUNTIF('Чадвар'!D17:AH17,1)/31*100,1))</f>
        <v/>
      </c>
      <c r="E17" s="12">
        <f>IF(COUNT('Төлөвшил'!D17:I17)=0,"",ROUND(COUNTIF('Төлөвшил'!D17:I17,1)/6*100,1))</f>
        <v/>
      </c>
      <c r="F17" s="12">
        <f>COUNTIF('Мэдлэг'!D17:L17,1)+COUNTIF('Чадвар'!D17:AH17,1)+COUNTIF('Төлөвшил'!D17:I17,1)</f>
        <v/>
      </c>
      <c r="G17" s="12">
        <f>IF((COUNT('Мэдлэг'!D17:L17)+COUNT('Чадвар'!D17:AH17)+COUNT('Төлөвшил'!D17:I17))=0,"",ROUND(F17/46*100,1))</f>
        <v/>
      </c>
      <c r="H17" s="14">
        <f>IF(G17="","",IF(G17&gt;=Нэгтгэл!$K$4,"Хангалттай эзэмшиж байна",IF(G17&gt;=Нэгтгэл!$K$5,"Ахиж байна","Хөгжиж байна")))</f>
        <v/>
      </c>
    </row>
    <row r="18" ht="16" customHeight="1">
      <c r="A18" s="12" t="n">
        <v>12</v>
      </c>
      <c r="B18" s="13" t="inlineStr">
        <is>
          <t>Х-12</t>
        </is>
      </c>
      <c r="C18" s="12">
        <f>IF(COUNT('Мэдлэг'!D18:L18)=0,"",ROUND(COUNTIF('Мэдлэг'!D18:L18,1)/9*100,1))</f>
        <v/>
      </c>
      <c r="D18" s="12">
        <f>IF(COUNT('Чадвар'!D18:AH18)=0,"",ROUND(COUNTIF('Чадвар'!D18:AH18,1)/31*100,1))</f>
        <v/>
      </c>
      <c r="E18" s="12">
        <f>IF(COUNT('Төлөвшил'!D18:I18)=0,"",ROUND(COUNTIF('Төлөвшил'!D18:I18,1)/6*100,1))</f>
        <v/>
      </c>
      <c r="F18" s="12">
        <f>COUNTIF('Мэдлэг'!D18:L18,1)+COUNTIF('Чадвар'!D18:AH18,1)+COUNTIF('Төлөвшил'!D18:I18,1)</f>
        <v/>
      </c>
      <c r="G18" s="12">
        <f>IF((COUNT('Мэдлэг'!D18:L18)+COUNT('Чадвар'!D18:AH18)+COUNT('Төлөвшил'!D18:I18))=0,"",ROUND(F18/46*100,1))</f>
        <v/>
      </c>
      <c r="H18" s="14">
        <f>IF(G18="","",IF(G18&gt;=Нэгтгэл!$K$4,"Хангалттай эзэмшиж байна",IF(G18&gt;=Нэгтгэл!$K$5,"Ахиж байна","Хөгжиж байна")))</f>
        <v/>
      </c>
    </row>
    <row r="19" ht="16" customHeight="1">
      <c r="A19" s="12" t="n">
        <v>13</v>
      </c>
      <c r="B19" s="13" t="inlineStr">
        <is>
          <t>Х-13</t>
        </is>
      </c>
      <c r="C19" s="12">
        <f>IF(COUNT('Мэдлэг'!D19:L19)=0,"",ROUND(COUNTIF('Мэдлэг'!D19:L19,1)/9*100,1))</f>
        <v/>
      </c>
      <c r="D19" s="12">
        <f>IF(COUNT('Чадвар'!D19:AH19)=0,"",ROUND(COUNTIF('Чадвар'!D19:AH19,1)/31*100,1))</f>
        <v/>
      </c>
      <c r="E19" s="12">
        <f>IF(COUNT('Төлөвшил'!D19:I19)=0,"",ROUND(COUNTIF('Төлөвшил'!D19:I19,1)/6*100,1))</f>
        <v/>
      </c>
      <c r="F19" s="12">
        <f>COUNTIF('Мэдлэг'!D19:L19,1)+COUNTIF('Чадвар'!D19:AH19,1)+COUNTIF('Төлөвшил'!D19:I19,1)</f>
        <v/>
      </c>
      <c r="G19" s="12">
        <f>IF((COUNT('Мэдлэг'!D19:L19)+COUNT('Чадвар'!D19:AH19)+COUNT('Төлөвшил'!D19:I19))=0,"",ROUND(F19/46*100,1))</f>
        <v/>
      </c>
      <c r="H19" s="14">
        <f>IF(G19="","",IF(G19&gt;=Нэгтгэл!$K$4,"Хангалттай эзэмшиж байна",IF(G19&gt;=Нэгтгэл!$K$5,"Ахиж байна","Хөгжиж байна")))</f>
        <v/>
      </c>
    </row>
    <row r="20" ht="16" customHeight="1">
      <c r="A20" s="12" t="n">
        <v>14</v>
      </c>
      <c r="B20" s="13" t="inlineStr">
        <is>
          <t>Х-14</t>
        </is>
      </c>
      <c r="C20" s="12">
        <f>IF(COUNT('Мэдлэг'!D20:L20)=0,"",ROUND(COUNTIF('Мэдлэг'!D20:L20,1)/9*100,1))</f>
        <v/>
      </c>
      <c r="D20" s="12">
        <f>IF(COUNT('Чадвар'!D20:AH20)=0,"",ROUND(COUNTIF('Чадвар'!D20:AH20,1)/31*100,1))</f>
        <v/>
      </c>
      <c r="E20" s="12">
        <f>IF(COUNT('Төлөвшил'!D20:I20)=0,"",ROUND(COUNTIF('Төлөвшил'!D20:I20,1)/6*100,1))</f>
        <v/>
      </c>
      <c r="F20" s="12">
        <f>COUNTIF('Мэдлэг'!D20:L20,1)+COUNTIF('Чадвар'!D20:AH20,1)+COUNTIF('Төлөвшил'!D20:I20,1)</f>
        <v/>
      </c>
      <c r="G20" s="12">
        <f>IF((COUNT('Мэдлэг'!D20:L20)+COUNT('Чадвар'!D20:AH20)+COUNT('Төлөвшил'!D20:I20))=0,"",ROUND(F20/46*100,1))</f>
        <v/>
      </c>
      <c r="H20" s="14">
        <f>IF(G20="","",IF(G20&gt;=Нэгтгэл!$K$4,"Хангалттай эзэмшиж байна",IF(G20&gt;=Нэгтгэл!$K$5,"Ахиж байна","Хөгжиж байна")))</f>
        <v/>
      </c>
    </row>
    <row r="21" ht="16" customHeight="1">
      <c r="A21" s="12" t="n">
        <v>15</v>
      </c>
      <c r="B21" s="13" t="inlineStr">
        <is>
          <t>Х-15</t>
        </is>
      </c>
      <c r="C21" s="12">
        <f>IF(COUNT('Мэдлэг'!D21:L21)=0,"",ROUND(COUNTIF('Мэдлэг'!D21:L21,1)/9*100,1))</f>
        <v/>
      </c>
      <c r="D21" s="12">
        <f>IF(COUNT('Чадвар'!D21:AH21)=0,"",ROUND(COUNTIF('Чадвар'!D21:AH21,1)/31*100,1))</f>
        <v/>
      </c>
      <c r="E21" s="12">
        <f>IF(COUNT('Төлөвшил'!D21:I21)=0,"",ROUND(COUNTIF('Төлөвшил'!D21:I21,1)/6*100,1))</f>
        <v/>
      </c>
      <c r="F21" s="12">
        <f>COUNTIF('Мэдлэг'!D21:L21,1)+COUNTIF('Чадвар'!D21:AH21,1)+COUNTIF('Төлөвшил'!D21:I21,1)</f>
        <v/>
      </c>
      <c r="G21" s="12">
        <f>IF((COUNT('Мэдлэг'!D21:L21)+COUNT('Чадвар'!D21:AH21)+COUNT('Төлөвшил'!D21:I21))=0,"",ROUND(F21/46*100,1))</f>
        <v/>
      </c>
      <c r="H21" s="14">
        <f>IF(G21="","",IF(G21&gt;=Нэгтгэл!$K$4,"Хангалттай эзэмшиж байна",IF(G21&gt;=Нэгтгэл!$K$5,"Ахиж байна","Хөгжиж байна")))</f>
        <v/>
      </c>
    </row>
    <row r="22" ht="16" customHeight="1">
      <c r="A22" s="12" t="n">
        <v>16</v>
      </c>
      <c r="B22" s="13" t="inlineStr">
        <is>
          <t>Х-16</t>
        </is>
      </c>
      <c r="C22" s="12">
        <f>IF(COUNT('Мэдлэг'!D22:L22)=0,"",ROUND(COUNTIF('Мэдлэг'!D22:L22,1)/9*100,1))</f>
        <v/>
      </c>
      <c r="D22" s="12">
        <f>IF(COUNT('Чадвар'!D22:AH22)=0,"",ROUND(COUNTIF('Чадвар'!D22:AH22,1)/31*100,1))</f>
        <v/>
      </c>
      <c r="E22" s="12">
        <f>IF(COUNT('Төлөвшил'!D22:I22)=0,"",ROUND(COUNTIF('Төлөвшил'!D22:I22,1)/6*100,1))</f>
        <v/>
      </c>
      <c r="F22" s="12">
        <f>COUNTIF('Мэдлэг'!D22:L22,1)+COUNTIF('Чадвар'!D22:AH22,1)+COUNTIF('Төлөвшил'!D22:I22,1)</f>
        <v/>
      </c>
      <c r="G22" s="12">
        <f>IF((COUNT('Мэдлэг'!D22:L22)+COUNT('Чадвар'!D22:AH22)+COUNT('Төлөвшил'!D22:I22))=0,"",ROUND(F22/46*100,1))</f>
        <v/>
      </c>
      <c r="H22" s="14">
        <f>IF(G22="","",IF(G22&gt;=Нэгтгэл!$K$4,"Хангалттай эзэмшиж байна",IF(G22&gt;=Нэгтгэл!$K$5,"Ахиж байна","Хөгжиж байна")))</f>
        <v/>
      </c>
    </row>
    <row r="23" ht="16" customHeight="1">
      <c r="A23" s="12" t="n">
        <v>17</v>
      </c>
      <c r="B23" s="13" t="inlineStr">
        <is>
          <t>Х-17</t>
        </is>
      </c>
      <c r="C23" s="12">
        <f>IF(COUNT('Мэдлэг'!D23:L23)=0,"",ROUND(COUNTIF('Мэдлэг'!D23:L23,1)/9*100,1))</f>
        <v/>
      </c>
      <c r="D23" s="12">
        <f>IF(COUNT('Чадвар'!D23:AH23)=0,"",ROUND(COUNTIF('Чадвар'!D23:AH23,1)/31*100,1))</f>
        <v/>
      </c>
      <c r="E23" s="12">
        <f>IF(COUNT('Төлөвшил'!D23:I23)=0,"",ROUND(COUNTIF('Төлөвшил'!D23:I23,1)/6*100,1))</f>
        <v/>
      </c>
      <c r="F23" s="12">
        <f>COUNTIF('Мэдлэг'!D23:L23,1)+COUNTIF('Чадвар'!D23:AH23,1)+COUNTIF('Төлөвшил'!D23:I23,1)</f>
        <v/>
      </c>
      <c r="G23" s="12">
        <f>IF((COUNT('Мэдлэг'!D23:L23)+COUNT('Чадвар'!D23:AH23)+COUNT('Төлөвшил'!D23:I23))=0,"",ROUND(F23/46*100,1))</f>
        <v/>
      </c>
      <c r="H23" s="14">
        <f>IF(G23="","",IF(G23&gt;=Нэгтгэл!$K$4,"Хангалттай эзэмшиж байна",IF(G23&gt;=Нэгтгэл!$K$5,"Ахиж байна","Хөгжиж байна")))</f>
        <v/>
      </c>
    </row>
    <row r="24" ht="16" customHeight="1">
      <c r="A24" s="12" t="n">
        <v>18</v>
      </c>
      <c r="B24" s="13" t="inlineStr">
        <is>
          <t>Х-18</t>
        </is>
      </c>
      <c r="C24" s="12">
        <f>IF(COUNT('Мэдлэг'!D24:L24)=0,"",ROUND(COUNTIF('Мэдлэг'!D24:L24,1)/9*100,1))</f>
        <v/>
      </c>
      <c r="D24" s="12">
        <f>IF(COUNT('Чадвар'!D24:AH24)=0,"",ROUND(COUNTIF('Чадвар'!D24:AH24,1)/31*100,1))</f>
        <v/>
      </c>
      <c r="E24" s="12">
        <f>IF(COUNT('Төлөвшил'!D24:I24)=0,"",ROUND(COUNTIF('Төлөвшил'!D24:I24,1)/6*100,1))</f>
        <v/>
      </c>
      <c r="F24" s="12">
        <f>COUNTIF('Мэдлэг'!D24:L24,1)+COUNTIF('Чадвар'!D24:AH24,1)+COUNTIF('Төлөвшил'!D24:I24,1)</f>
        <v/>
      </c>
      <c r="G24" s="12">
        <f>IF((COUNT('Мэдлэг'!D24:L24)+COUNT('Чадвар'!D24:AH24)+COUNT('Төлөвшил'!D24:I24))=0,"",ROUND(F24/46*100,1))</f>
        <v/>
      </c>
      <c r="H24" s="14">
        <f>IF(G24="","",IF(G24&gt;=Нэгтгэл!$K$4,"Хангалттай эзэмшиж байна",IF(G24&gt;=Нэгтгэл!$K$5,"Ахиж байна","Хөгжиж байна")))</f>
        <v/>
      </c>
    </row>
    <row r="25" ht="16" customHeight="1">
      <c r="A25" s="12" t="n">
        <v>19</v>
      </c>
      <c r="B25" s="13" t="inlineStr">
        <is>
          <t>Х-19</t>
        </is>
      </c>
      <c r="C25" s="12">
        <f>IF(COUNT('Мэдлэг'!D25:L25)=0,"",ROUND(COUNTIF('Мэдлэг'!D25:L25,1)/9*100,1))</f>
        <v/>
      </c>
      <c r="D25" s="12">
        <f>IF(COUNT('Чадвар'!D25:AH25)=0,"",ROUND(COUNTIF('Чадвар'!D25:AH25,1)/31*100,1))</f>
        <v/>
      </c>
      <c r="E25" s="12">
        <f>IF(COUNT('Төлөвшил'!D25:I25)=0,"",ROUND(COUNTIF('Төлөвшил'!D25:I25,1)/6*100,1))</f>
        <v/>
      </c>
      <c r="F25" s="12">
        <f>COUNTIF('Мэдлэг'!D25:L25,1)+COUNTIF('Чадвар'!D25:AH25,1)+COUNTIF('Төлөвшил'!D25:I25,1)</f>
        <v/>
      </c>
      <c r="G25" s="12">
        <f>IF((COUNT('Мэдлэг'!D25:L25)+COUNT('Чадвар'!D25:AH25)+COUNT('Төлөвшил'!D25:I25))=0,"",ROUND(F25/46*100,1))</f>
        <v/>
      </c>
      <c r="H25" s="14">
        <f>IF(G25="","",IF(G25&gt;=Нэгтгэл!$K$4,"Хангалттай эзэмшиж байна",IF(G25&gt;=Нэгтгэл!$K$5,"Ахиж байна","Хөгжиж байна")))</f>
        <v/>
      </c>
    </row>
    <row r="26" ht="16" customHeight="1">
      <c r="A26" s="12" t="n">
        <v>20</v>
      </c>
      <c r="B26" s="13" t="inlineStr">
        <is>
          <t>Х-20</t>
        </is>
      </c>
      <c r="C26" s="12">
        <f>IF(COUNT('Мэдлэг'!D26:L26)=0,"",ROUND(COUNTIF('Мэдлэг'!D26:L26,1)/9*100,1))</f>
        <v/>
      </c>
      <c r="D26" s="12">
        <f>IF(COUNT('Чадвар'!D26:AH26)=0,"",ROUND(COUNTIF('Чадвар'!D26:AH26,1)/31*100,1))</f>
        <v/>
      </c>
      <c r="E26" s="12">
        <f>IF(COUNT('Төлөвшил'!D26:I26)=0,"",ROUND(COUNTIF('Төлөвшил'!D26:I26,1)/6*100,1))</f>
        <v/>
      </c>
      <c r="F26" s="12">
        <f>COUNTIF('Мэдлэг'!D26:L26,1)+COUNTIF('Чадвар'!D26:AH26,1)+COUNTIF('Төлөвшил'!D26:I26,1)</f>
        <v/>
      </c>
      <c r="G26" s="12">
        <f>IF((COUNT('Мэдлэг'!D26:L26)+COUNT('Чадвар'!D26:AH26)+COUNT('Төлөвшил'!D26:I26))=0,"",ROUND(F26/46*100,1))</f>
        <v/>
      </c>
      <c r="H26" s="14">
        <f>IF(G26="","",IF(G26&gt;=Нэгтгэл!$K$4,"Хангалттай эзэмшиж байна",IF(G26&gt;=Нэгтгэл!$K$5,"Ахиж байна","Хөгжиж байна")))</f>
        <v/>
      </c>
    </row>
    <row r="27" ht="16" customHeight="1">
      <c r="A27" s="12" t="n">
        <v>21</v>
      </c>
      <c r="B27" s="13" t="inlineStr">
        <is>
          <t>Х-21</t>
        </is>
      </c>
      <c r="C27" s="12">
        <f>IF(COUNT('Мэдлэг'!D27:L27)=0,"",ROUND(COUNTIF('Мэдлэг'!D27:L27,1)/9*100,1))</f>
        <v/>
      </c>
      <c r="D27" s="12">
        <f>IF(COUNT('Чадвар'!D27:AH27)=0,"",ROUND(COUNTIF('Чадвар'!D27:AH27,1)/31*100,1))</f>
        <v/>
      </c>
      <c r="E27" s="12">
        <f>IF(COUNT('Төлөвшил'!D27:I27)=0,"",ROUND(COUNTIF('Төлөвшил'!D27:I27,1)/6*100,1))</f>
        <v/>
      </c>
      <c r="F27" s="12">
        <f>COUNTIF('Мэдлэг'!D27:L27,1)+COUNTIF('Чадвар'!D27:AH27,1)+COUNTIF('Төлөвшил'!D27:I27,1)</f>
        <v/>
      </c>
      <c r="G27" s="12">
        <f>IF((COUNT('Мэдлэг'!D27:L27)+COUNT('Чадвар'!D27:AH27)+COUNT('Төлөвшил'!D27:I27))=0,"",ROUND(F27/46*100,1))</f>
        <v/>
      </c>
      <c r="H27" s="14">
        <f>IF(G27="","",IF(G27&gt;=Нэгтгэл!$K$4,"Хангалттай эзэмшиж байна",IF(G27&gt;=Нэгтгэл!$K$5,"Ахиж байна","Хөгжиж байна")))</f>
        <v/>
      </c>
    </row>
    <row r="28" ht="16" customHeight="1">
      <c r="A28" s="12" t="n">
        <v>22</v>
      </c>
      <c r="B28" s="13" t="inlineStr">
        <is>
          <t>Х-22</t>
        </is>
      </c>
      <c r="C28" s="12">
        <f>IF(COUNT('Мэдлэг'!D28:L28)=0,"",ROUND(COUNTIF('Мэдлэг'!D28:L28,1)/9*100,1))</f>
        <v/>
      </c>
      <c r="D28" s="12">
        <f>IF(COUNT('Чадвар'!D28:AH28)=0,"",ROUND(COUNTIF('Чадвар'!D28:AH28,1)/31*100,1))</f>
        <v/>
      </c>
      <c r="E28" s="12">
        <f>IF(COUNT('Төлөвшил'!D28:I28)=0,"",ROUND(COUNTIF('Төлөвшил'!D28:I28,1)/6*100,1))</f>
        <v/>
      </c>
      <c r="F28" s="12">
        <f>COUNTIF('Мэдлэг'!D28:L28,1)+COUNTIF('Чадвар'!D28:AH28,1)+COUNTIF('Төлөвшил'!D28:I28,1)</f>
        <v/>
      </c>
      <c r="G28" s="12">
        <f>IF((COUNT('Мэдлэг'!D28:L28)+COUNT('Чадвар'!D28:AH28)+COUNT('Төлөвшил'!D28:I28))=0,"",ROUND(F28/46*100,1))</f>
        <v/>
      </c>
      <c r="H28" s="14">
        <f>IF(G28="","",IF(G28&gt;=Нэгтгэл!$K$4,"Хангалттай эзэмшиж байна",IF(G28&gt;=Нэгтгэл!$K$5,"Ахиж байна","Хөгжиж байна")))</f>
        <v/>
      </c>
    </row>
    <row r="29" ht="16" customHeight="1">
      <c r="A29" s="12" t="n">
        <v>23</v>
      </c>
      <c r="B29" s="13" t="inlineStr">
        <is>
          <t>Х-23</t>
        </is>
      </c>
      <c r="C29" s="12">
        <f>IF(COUNT('Мэдлэг'!D29:L29)=0,"",ROUND(COUNTIF('Мэдлэг'!D29:L29,1)/9*100,1))</f>
        <v/>
      </c>
      <c r="D29" s="12">
        <f>IF(COUNT('Чадвар'!D29:AH29)=0,"",ROUND(COUNTIF('Чадвар'!D29:AH29,1)/31*100,1))</f>
        <v/>
      </c>
      <c r="E29" s="12">
        <f>IF(COUNT('Төлөвшил'!D29:I29)=0,"",ROUND(COUNTIF('Төлөвшил'!D29:I29,1)/6*100,1))</f>
        <v/>
      </c>
      <c r="F29" s="12">
        <f>COUNTIF('Мэдлэг'!D29:L29,1)+COUNTIF('Чадвар'!D29:AH29,1)+COUNTIF('Төлөвшил'!D29:I29,1)</f>
        <v/>
      </c>
      <c r="G29" s="12">
        <f>IF((COUNT('Мэдлэг'!D29:L29)+COUNT('Чадвар'!D29:AH29)+COUNT('Төлөвшил'!D29:I29))=0,"",ROUND(F29/46*100,1))</f>
        <v/>
      </c>
      <c r="H29" s="14">
        <f>IF(G29="","",IF(G29&gt;=Нэгтгэл!$K$4,"Хангалттай эзэмшиж байна",IF(G29&gt;=Нэгтгэл!$K$5,"Ахиж байна","Хөгжиж байна")))</f>
        <v/>
      </c>
    </row>
    <row r="30" ht="16" customHeight="1">
      <c r="A30" s="12" t="n">
        <v>24</v>
      </c>
      <c r="B30" s="13" t="inlineStr">
        <is>
          <t>Х-24</t>
        </is>
      </c>
      <c r="C30" s="12">
        <f>IF(COUNT('Мэдлэг'!D30:L30)=0,"",ROUND(COUNTIF('Мэдлэг'!D30:L30,1)/9*100,1))</f>
        <v/>
      </c>
      <c r="D30" s="12">
        <f>IF(COUNT('Чадвар'!D30:AH30)=0,"",ROUND(COUNTIF('Чадвар'!D30:AH30,1)/31*100,1))</f>
        <v/>
      </c>
      <c r="E30" s="12">
        <f>IF(COUNT('Төлөвшил'!D30:I30)=0,"",ROUND(COUNTIF('Төлөвшил'!D30:I30,1)/6*100,1))</f>
        <v/>
      </c>
      <c r="F30" s="12">
        <f>COUNTIF('Мэдлэг'!D30:L30,1)+COUNTIF('Чадвар'!D30:AH30,1)+COUNTIF('Төлөвшил'!D30:I30,1)</f>
        <v/>
      </c>
      <c r="G30" s="12">
        <f>IF((COUNT('Мэдлэг'!D30:L30)+COUNT('Чадвар'!D30:AH30)+COUNT('Төлөвшил'!D30:I30))=0,"",ROUND(F30/46*100,1))</f>
        <v/>
      </c>
      <c r="H30" s="14">
        <f>IF(G30="","",IF(G30&gt;=Нэгтгэл!$K$4,"Хангалттай эзэмшиж байна",IF(G30&gt;=Нэгтгэл!$K$5,"Ахиж байна","Хөгжиж байна")))</f>
        <v/>
      </c>
    </row>
    <row r="31" ht="16" customHeight="1">
      <c r="A31" s="12" t="n">
        <v>25</v>
      </c>
      <c r="B31" s="13" t="inlineStr">
        <is>
          <t>Х-25</t>
        </is>
      </c>
      <c r="C31" s="12">
        <f>IF(COUNT('Мэдлэг'!D31:L31)=0,"",ROUND(COUNTIF('Мэдлэг'!D31:L31,1)/9*100,1))</f>
        <v/>
      </c>
      <c r="D31" s="12">
        <f>IF(COUNT('Чадвар'!D31:AH31)=0,"",ROUND(COUNTIF('Чадвар'!D31:AH31,1)/31*100,1))</f>
        <v/>
      </c>
      <c r="E31" s="12">
        <f>IF(COUNT('Төлөвшил'!D31:I31)=0,"",ROUND(COUNTIF('Төлөвшил'!D31:I31,1)/6*100,1))</f>
        <v/>
      </c>
      <c r="F31" s="12">
        <f>COUNTIF('Мэдлэг'!D31:L31,1)+COUNTIF('Чадвар'!D31:AH31,1)+COUNTIF('Төлөвшил'!D31:I31,1)</f>
        <v/>
      </c>
      <c r="G31" s="12">
        <f>IF((COUNT('Мэдлэг'!D31:L31)+COUNT('Чадвар'!D31:AH31)+COUNT('Төлөвшил'!D31:I31))=0,"",ROUND(F31/46*100,1))</f>
        <v/>
      </c>
      <c r="H31" s="14">
        <f>IF(G31="","",IF(G31&gt;=Нэгтгэл!$K$4,"Хангалттай эзэмшиж байна",IF(G31&gt;=Нэгтгэл!$K$5,"Ахиж байна","Хөгжиж байна")))</f>
        <v/>
      </c>
    </row>
    <row r="32" ht="16" customHeight="1">
      <c r="A32" s="12" t="n">
        <v>26</v>
      </c>
      <c r="B32" s="13" t="inlineStr">
        <is>
          <t>Х-26</t>
        </is>
      </c>
      <c r="C32" s="12">
        <f>IF(COUNT('Мэдлэг'!D32:L32)=0,"",ROUND(COUNTIF('Мэдлэг'!D32:L32,1)/9*100,1))</f>
        <v/>
      </c>
      <c r="D32" s="12">
        <f>IF(COUNT('Чадвар'!D32:AH32)=0,"",ROUND(COUNTIF('Чадвар'!D32:AH32,1)/31*100,1))</f>
        <v/>
      </c>
      <c r="E32" s="12">
        <f>IF(COUNT('Төлөвшил'!D32:I32)=0,"",ROUND(COUNTIF('Төлөвшил'!D32:I32,1)/6*100,1))</f>
        <v/>
      </c>
      <c r="F32" s="12">
        <f>COUNTIF('Мэдлэг'!D32:L32,1)+COUNTIF('Чадвар'!D32:AH32,1)+COUNTIF('Төлөвшил'!D32:I32,1)</f>
        <v/>
      </c>
      <c r="G32" s="12">
        <f>IF((COUNT('Мэдлэг'!D32:L32)+COUNT('Чадвар'!D32:AH32)+COUNT('Төлөвшил'!D32:I32))=0,"",ROUND(F32/46*100,1))</f>
        <v/>
      </c>
      <c r="H32" s="14">
        <f>IF(G32="","",IF(G32&gt;=Нэгтгэл!$K$4,"Хангалттай эзэмшиж байна",IF(G32&gt;=Нэгтгэл!$K$5,"Ахиж байна","Хөгжиж байна")))</f>
        <v/>
      </c>
    </row>
    <row r="33" ht="16" customHeight="1">
      <c r="A33" s="12" t="n">
        <v>27</v>
      </c>
      <c r="B33" s="13" t="inlineStr">
        <is>
          <t>Х-27</t>
        </is>
      </c>
      <c r="C33" s="12">
        <f>IF(COUNT('Мэдлэг'!D33:L33)=0,"",ROUND(COUNTIF('Мэдлэг'!D33:L33,1)/9*100,1))</f>
        <v/>
      </c>
      <c r="D33" s="12">
        <f>IF(COUNT('Чадвар'!D33:AH33)=0,"",ROUND(COUNTIF('Чадвар'!D33:AH33,1)/31*100,1))</f>
        <v/>
      </c>
      <c r="E33" s="12">
        <f>IF(COUNT('Төлөвшил'!D33:I33)=0,"",ROUND(COUNTIF('Төлөвшил'!D33:I33,1)/6*100,1))</f>
        <v/>
      </c>
      <c r="F33" s="12">
        <f>COUNTIF('Мэдлэг'!D33:L33,1)+COUNTIF('Чадвар'!D33:AH33,1)+COUNTIF('Төлөвшил'!D33:I33,1)</f>
        <v/>
      </c>
      <c r="G33" s="12">
        <f>IF((COUNT('Мэдлэг'!D33:L33)+COUNT('Чадвар'!D33:AH33)+COUNT('Төлөвшил'!D33:I33))=0,"",ROUND(F33/46*100,1))</f>
        <v/>
      </c>
      <c r="H33" s="14">
        <f>IF(G33="","",IF(G33&gt;=Нэгтгэл!$K$4,"Хангалттай эзэмшиж байна",IF(G33&gt;=Нэгтгэл!$K$5,"Ахиж байна","Хөгжиж байна")))</f>
        <v/>
      </c>
    </row>
    <row r="34" ht="16" customHeight="1">
      <c r="A34" s="12" t="n">
        <v>28</v>
      </c>
      <c r="B34" s="13" t="inlineStr">
        <is>
          <t>Х-28</t>
        </is>
      </c>
      <c r="C34" s="12">
        <f>IF(COUNT('Мэдлэг'!D34:L34)=0,"",ROUND(COUNTIF('Мэдлэг'!D34:L34,1)/9*100,1))</f>
        <v/>
      </c>
      <c r="D34" s="12">
        <f>IF(COUNT('Чадвар'!D34:AH34)=0,"",ROUND(COUNTIF('Чадвар'!D34:AH34,1)/31*100,1))</f>
        <v/>
      </c>
      <c r="E34" s="12">
        <f>IF(COUNT('Төлөвшил'!D34:I34)=0,"",ROUND(COUNTIF('Төлөвшил'!D34:I34,1)/6*100,1))</f>
        <v/>
      </c>
      <c r="F34" s="12">
        <f>COUNTIF('Мэдлэг'!D34:L34,1)+COUNTIF('Чадвар'!D34:AH34,1)+COUNTIF('Төлөвшил'!D34:I34,1)</f>
        <v/>
      </c>
      <c r="G34" s="12">
        <f>IF((COUNT('Мэдлэг'!D34:L34)+COUNT('Чадвар'!D34:AH34)+COUNT('Төлөвшил'!D34:I34))=0,"",ROUND(F34/46*100,1))</f>
        <v/>
      </c>
      <c r="H34" s="14">
        <f>IF(G34="","",IF(G34&gt;=Нэгтгэл!$K$4,"Хангалттай эзэмшиж байна",IF(G34&gt;=Нэгтгэл!$K$5,"Ахиж байна","Хөгжиж байна")))</f>
        <v/>
      </c>
    </row>
    <row r="35" ht="16" customHeight="1">
      <c r="A35" s="12" t="n">
        <v>29</v>
      </c>
      <c r="B35" s="13" t="inlineStr">
        <is>
          <t>Х-29</t>
        </is>
      </c>
      <c r="C35" s="12">
        <f>IF(COUNT('Мэдлэг'!D35:L35)=0,"",ROUND(COUNTIF('Мэдлэг'!D35:L35,1)/9*100,1))</f>
        <v/>
      </c>
      <c r="D35" s="12">
        <f>IF(COUNT('Чадвар'!D35:AH35)=0,"",ROUND(COUNTIF('Чадвар'!D35:AH35,1)/31*100,1))</f>
        <v/>
      </c>
      <c r="E35" s="12">
        <f>IF(COUNT('Төлөвшил'!D35:I35)=0,"",ROUND(COUNTIF('Төлөвшил'!D35:I35,1)/6*100,1))</f>
        <v/>
      </c>
      <c r="F35" s="12">
        <f>COUNTIF('Мэдлэг'!D35:L35,1)+COUNTIF('Чадвар'!D35:AH35,1)+COUNTIF('Төлөвшил'!D35:I35,1)</f>
        <v/>
      </c>
      <c r="G35" s="12">
        <f>IF((COUNT('Мэдлэг'!D35:L35)+COUNT('Чадвар'!D35:AH35)+COUNT('Төлөвшил'!D35:I35))=0,"",ROUND(F35/46*100,1))</f>
        <v/>
      </c>
      <c r="H35" s="14">
        <f>IF(G35="","",IF(G35&gt;=Нэгтгэл!$K$4,"Хангалттай эзэмшиж байна",IF(G35&gt;=Нэгтгэл!$K$5,"Ахиж байна","Хөгжиж байна")))</f>
        <v/>
      </c>
    </row>
    <row r="36" ht="16" customHeight="1">
      <c r="A36" s="12" t="n">
        <v>30</v>
      </c>
      <c r="B36" s="13" t="inlineStr">
        <is>
          <t>Х-30</t>
        </is>
      </c>
      <c r="C36" s="12">
        <f>IF(COUNT('Мэдлэг'!D36:L36)=0,"",ROUND(COUNTIF('Мэдлэг'!D36:L36,1)/9*100,1))</f>
        <v/>
      </c>
      <c r="D36" s="12">
        <f>IF(COUNT('Чадвар'!D36:AH36)=0,"",ROUND(COUNTIF('Чадвар'!D36:AH36,1)/31*100,1))</f>
        <v/>
      </c>
      <c r="E36" s="12">
        <f>IF(COUNT('Төлөвшил'!D36:I36)=0,"",ROUND(COUNTIF('Төлөвшил'!D36:I36,1)/6*100,1))</f>
        <v/>
      </c>
      <c r="F36" s="12">
        <f>COUNTIF('Мэдлэг'!D36:L36,1)+COUNTIF('Чадвар'!D36:AH36,1)+COUNTIF('Төлөвшил'!D36:I36,1)</f>
        <v/>
      </c>
      <c r="G36" s="12">
        <f>IF((COUNT('Мэдлэг'!D36:L36)+COUNT('Чадвар'!D36:AH36)+COUNT('Төлөвшил'!D36:I36))=0,"",ROUND(F36/46*100,1))</f>
        <v/>
      </c>
      <c r="H36" s="14">
        <f>IF(G36="","",IF(G36&gt;=Нэгтгэл!$K$4,"Хангалттай эзэмшиж байна",IF(G36&gt;=Нэгтгэл!$K$5,"Ахиж байна","Хөгжиж байна")))</f>
        <v/>
      </c>
    </row>
    <row r="37" ht="16" customHeight="1">
      <c r="A37" s="12" t="n">
        <v>31</v>
      </c>
      <c r="B37" s="13" t="inlineStr">
        <is>
          <t>Х-31</t>
        </is>
      </c>
      <c r="C37" s="12">
        <f>IF(COUNT('Мэдлэг'!D37:L37)=0,"",ROUND(COUNTIF('Мэдлэг'!D37:L37,1)/9*100,1))</f>
        <v/>
      </c>
      <c r="D37" s="12">
        <f>IF(COUNT('Чадвар'!D37:AH37)=0,"",ROUND(COUNTIF('Чадвар'!D37:AH37,1)/31*100,1))</f>
        <v/>
      </c>
      <c r="E37" s="12">
        <f>IF(COUNT('Төлөвшил'!D37:I37)=0,"",ROUND(COUNTIF('Төлөвшил'!D37:I37,1)/6*100,1))</f>
        <v/>
      </c>
      <c r="F37" s="12">
        <f>COUNTIF('Мэдлэг'!D37:L37,1)+COUNTIF('Чадвар'!D37:AH37,1)+COUNTIF('Төлөвшил'!D37:I37,1)</f>
        <v/>
      </c>
      <c r="G37" s="12">
        <f>IF((COUNT('Мэдлэг'!D37:L37)+COUNT('Чадвар'!D37:AH37)+COUNT('Төлөвшил'!D37:I37))=0,"",ROUND(F37/46*100,1))</f>
        <v/>
      </c>
      <c r="H37" s="14">
        <f>IF(G37="","",IF(G37&gt;=Нэгтгэл!$K$4,"Хангалттай эзэмшиж байна",IF(G37&gt;=Нэгтгэл!$K$5,"Ахиж байна","Хөгжиж байна")))</f>
        <v/>
      </c>
    </row>
    <row r="38" ht="16" customHeight="1">
      <c r="A38" s="12" t="n">
        <v>32</v>
      </c>
      <c r="B38" s="13" t="inlineStr">
        <is>
          <t>Х-32</t>
        </is>
      </c>
      <c r="C38" s="12">
        <f>IF(COUNT('Мэдлэг'!D38:L38)=0,"",ROUND(COUNTIF('Мэдлэг'!D38:L38,1)/9*100,1))</f>
        <v/>
      </c>
      <c r="D38" s="12">
        <f>IF(COUNT('Чадвар'!D38:AH38)=0,"",ROUND(COUNTIF('Чадвар'!D38:AH38,1)/31*100,1))</f>
        <v/>
      </c>
      <c r="E38" s="12">
        <f>IF(COUNT('Төлөвшил'!D38:I38)=0,"",ROUND(COUNTIF('Төлөвшил'!D38:I38,1)/6*100,1))</f>
        <v/>
      </c>
      <c r="F38" s="12">
        <f>COUNTIF('Мэдлэг'!D38:L38,1)+COUNTIF('Чадвар'!D38:AH38,1)+COUNTIF('Төлөвшил'!D38:I38,1)</f>
        <v/>
      </c>
      <c r="G38" s="12">
        <f>IF((COUNT('Мэдлэг'!D38:L38)+COUNT('Чадвар'!D38:AH38)+COUNT('Төлөвшил'!D38:I38))=0,"",ROUND(F38/46*100,1))</f>
        <v/>
      </c>
      <c r="H38" s="14">
        <f>IF(G38="","",IF(G38&gt;=Нэгтгэл!$K$4,"Хангалттай эзэмшиж байна",IF(G38&gt;=Нэгтгэл!$K$5,"Ахиж байна","Хөгжиж байна")))</f>
        <v/>
      </c>
    </row>
    <row r="39" ht="16" customHeight="1">
      <c r="A39" s="12" t="n">
        <v>33</v>
      </c>
      <c r="B39" s="13" t="inlineStr">
        <is>
          <t>Х-33</t>
        </is>
      </c>
      <c r="C39" s="12">
        <f>IF(COUNT('Мэдлэг'!D39:L39)=0,"",ROUND(COUNTIF('Мэдлэг'!D39:L39,1)/9*100,1))</f>
        <v/>
      </c>
      <c r="D39" s="12">
        <f>IF(COUNT('Чадвар'!D39:AH39)=0,"",ROUND(COUNTIF('Чадвар'!D39:AH39,1)/31*100,1))</f>
        <v/>
      </c>
      <c r="E39" s="12">
        <f>IF(COUNT('Төлөвшил'!D39:I39)=0,"",ROUND(COUNTIF('Төлөвшил'!D39:I39,1)/6*100,1))</f>
        <v/>
      </c>
      <c r="F39" s="12">
        <f>COUNTIF('Мэдлэг'!D39:L39,1)+COUNTIF('Чадвар'!D39:AH39,1)+COUNTIF('Төлөвшил'!D39:I39,1)</f>
        <v/>
      </c>
      <c r="G39" s="12">
        <f>IF((COUNT('Мэдлэг'!D39:L39)+COUNT('Чадвар'!D39:AH39)+COUNT('Төлөвшил'!D39:I39))=0,"",ROUND(F39/46*100,1))</f>
        <v/>
      </c>
      <c r="H39" s="14">
        <f>IF(G39="","",IF(G39&gt;=Нэгтгэл!$K$4,"Хангалттай эзэмшиж байна",IF(G39&gt;=Нэгтгэл!$K$5,"Ахиж байна","Хөгжиж байна")))</f>
        <v/>
      </c>
    </row>
    <row r="40" ht="16" customHeight="1">
      <c r="A40" s="12" t="n">
        <v>34</v>
      </c>
      <c r="B40" s="13" t="inlineStr">
        <is>
          <t>Х-34</t>
        </is>
      </c>
      <c r="C40" s="12">
        <f>IF(COUNT('Мэдлэг'!D40:L40)=0,"",ROUND(COUNTIF('Мэдлэг'!D40:L40,1)/9*100,1))</f>
        <v/>
      </c>
      <c r="D40" s="12">
        <f>IF(COUNT('Чадвар'!D40:AH40)=0,"",ROUND(COUNTIF('Чадвар'!D40:AH40,1)/31*100,1))</f>
        <v/>
      </c>
      <c r="E40" s="12">
        <f>IF(COUNT('Төлөвшил'!D40:I40)=0,"",ROUND(COUNTIF('Төлөвшил'!D40:I40,1)/6*100,1))</f>
        <v/>
      </c>
      <c r="F40" s="12">
        <f>COUNTIF('Мэдлэг'!D40:L40,1)+COUNTIF('Чадвар'!D40:AH40,1)+COUNTIF('Төлөвшил'!D40:I40,1)</f>
        <v/>
      </c>
      <c r="G40" s="12">
        <f>IF((COUNT('Мэдлэг'!D40:L40)+COUNT('Чадвар'!D40:AH40)+COUNT('Төлөвшил'!D40:I40))=0,"",ROUND(F40/46*100,1))</f>
        <v/>
      </c>
      <c r="H40" s="14">
        <f>IF(G40="","",IF(G40&gt;=Нэгтгэл!$K$4,"Хангалттай эзэмшиж байна",IF(G40&gt;=Нэгтгэл!$K$5,"Ахиж байна","Хөгжиж байна")))</f>
        <v/>
      </c>
    </row>
    <row r="41" ht="16" customHeight="1">
      <c r="A41" s="12" t="n">
        <v>35</v>
      </c>
      <c r="B41" s="13" t="inlineStr">
        <is>
          <t>Х-35</t>
        </is>
      </c>
      <c r="C41" s="12">
        <f>IF(COUNT('Мэдлэг'!D41:L41)=0,"",ROUND(COUNTIF('Мэдлэг'!D41:L41,1)/9*100,1))</f>
        <v/>
      </c>
      <c r="D41" s="12">
        <f>IF(COUNT('Чадвар'!D41:AH41)=0,"",ROUND(COUNTIF('Чадвар'!D41:AH41,1)/31*100,1))</f>
        <v/>
      </c>
      <c r="E41" s="12">
        <f>IF(COUNT('Төлөвшил'!D41:I41)=0,"",ROUND(COUNTIF('Төлөвшил'!D41:I41,1)/6*100,1))</f>
        <v/>
      </c>
      <c r="F41" s="12">
        <f>COUNTIF('Мэдлэг'!D41:L41,1)+COUNTIF('Чадвар'!D41:AH41,1)+COUNTIF('Төлөвшил'!D41:I41,1)</f>
        <v/>
      </c>
      <c r="G41" s="12">
        <f>IF((COUNT('Мэдлэг'!D41:L41)+COUNT('Чадвар'!D41:AH41)+COUNT('Төлөвшил'!D41:I41))=0,"",ROUND(F41/46*100,1))</f>
        <v/>
      </c>
      <c r="H41" s="14">
        <f>IF(G41="","",IF(G41&gt;=Нэгтгэл!$K$4,"Хангалттай эзэмшиж байна",IF(G41&gt;=Нэгтгэл!$K$5,"Ахиж байна","Хөгжиж байна")))</f>
        <v/>
      </c>
    </row>
    <row r="42" ht="16" customHeight="1">
      <c r="A42" s="12" t="n">
        <v>36</v>
      </c>
      <c r="B42" s="13" t="inlineStr">
        <is>
          <t>Х-36</t>
        </is>
      </c>
      <c r="C42" s="12">
        <f>IF(COUNT('Мэдлэг'!D42:L42)=0,"",ROUND(COUNTIF('Мэдлэг'!D42:L42,1)/9*100,1))</f>
        <v/>
      </c>
      <c r="D42" s="12">
        <f>IF(COUNT('Чадвар'!D42:AH42)=0,"",ROUND(COUNTIF('Чадвар'!D42:AH42,1)/31*100,1))</f>
        <v/>
      </c>
      <c r="E42" s="12">
        <f>IF(COUNT('Төлөвшил'!D42:I42)=0,"",ROUND(COUNTIF('Төлөвшил'!D42:I42,1)/6*100,1))</f>
        <v/>
      </c>
      <c r="F42" s="12">
        <f>COUNTIF('Мэдлэг'!D42:L42,1)+COUNTIF('Чадвар'!D42:AH42,1)+COUNTIF('Төлөвшил'!D42:I42,1)</f>
        <v/>
      </c>
      <c r="G42" s="12">
        <f>IF((COUNT('Мэдлэг'!D42:L42)+COUNT('Чадвар'!D42:AH42)+COUNT('Төлөвшил'!D42:I42))=0,"",ROUND(F42/46*100,1))</f>
        <v/>
      </c>
      <c r="H42" s="14">
        <f>IF(G42="","",IF(G42&gt;=Нэгтгэл!$K$4,"Хангалттай эзэмшиж байна",IF(G42&gt;=Нэгтгэл!$K$5,"Ахиж байна","Хөгжиж байна")))</f>
        <v/>
      </c>
    </row>
    <row r="43" ht="16" customHeight="1">
      <c r="A43" s="12" t="n">
        <v>37</v>
      </c>
      <c r="B43" s="13" t="inlineStr">
        <is>
          <t>Х-37</t>
        </is>
      </c>
      <c r="C43" s="12">
        <f>IF(COUNT('Мэдлэг'!D43:L43)=0,"",ROUND(COUNTIF('Мэдлэг'!D43:L43,1)/9*100,1))</f>
        <v/>
      </c>
      <c r="D43" s="12">
        <f>IF(COUNT('Чадвар'!D43:AH43)=0,"",ROUND(COUNTIF('Чадвар'!D43:AH43,1)/31*100,1))</f>
        <v/>
      </c>
      <c r="E43" s="12">
        <f>IF(COUNT('Төлөвшил'!D43:I43)=0,"",ROUND(COUNTIF('Төлөвшил'!D43:I43,1)/6*100,1))</f>
        <v/>
      </c>
      <c r="F43" s="12">
        <f>COUNTIF('Мэдлэг'!D43:L43,1)+COUNTIF('Чадвар'!D43:AH43,1)+COUNTIF('Төлөвшил'!D43:I43,1)</f>
        <v/>
      </c>
      <c r="G43" s="12">
        <f>IF((COUNT('Мэдлэг'!D43:L43)+COUNT('Чадвар'!D43:AH43)+COUNT('Төлөвшил'!D43:I43))=0,"",ROUND(F43/46*100,1))</f>
        <v/>
      </c>
      <c r="H43" s="14">
        <f>IF(G43="","",IF(G43&gt;=Нэгтгэл!$K$4,"Хангалттай эзэмшиж байна",IF(G43&gt;=Нэгтгэл!$K$5,"Ахиж байна","Хөгжиж байна")))</f>
        <v/>
      </c>
    </row>
    <row r="44" ht="16" customHeight="1">
      <c r="A44" s="12" t="n">
        <v>38</v>
      </c>
      <c r="B44" s="13" t="inlineStr">
        <is>
          <t>Х-38</t>
        </is>
      </c>
      <c r="C44" s="12">
        <f>IF(COUNT('Мэдлэг'!D44:L44)=0,"",ROUND(COUNTIF('Мэдлэг'!D44:L44,1)/9*100,1))</f>
        <v/>
      </c>
      <c r="D44" s="12">
        <f>IF(COUNT('Чадвар'!D44:AH44)=0,"",ROUND(COUNTIF('Чадвар'!D44:AH44,1)/31*100,1))</f>
        <v/>
      </c>
      <c r="E44" s="12">
        <f>IF(COUNT('Төлөвшил'!D44:I44)=0,"",ROUND(COUNTIF('Төлөвшил'!D44:I44,1)/6*100,1))</f>
        <v/>
      </c>
      <c r="F44" s="12">
        <f>COUNTIF('Мэдлэг'!D44:L44,1)+COUNTIF('Чадвар'!D44:AH44,1)+COUNTIF('Төлөвшил'!D44:I44,1)</f>
        <v/>
      </c>
      <c r="G44" s="12">
        <f>IF((COUNT('Мэдлэг'!D44:L44)+COUNT('Чадвар'!D44:AH44)+COUNT('Төлөвшил'!D44:I44))=0,"",ROUND(F44/46*100,1))</f>
        <v/>
      </c>
      <c r="H44" s="14">
        <f>IF(G44="","",IF(G44&gt;=Нэгтгэл!$K$4,"Хангалттай эзэмшиж байна",IF(G44&gt;=Нэгтгэл!$K$5,"Ахиж байна","Хөгжиж байна")))</f>
        <v/>
      </c>
    </row>
    <row r="45" ht="16" customHeight="1">
      <c r="A45" s="12" t="n">
        <v>39</v>
      </c>
      <c r="B45" s="13" t="inlineStr">
        <is>
          <t>Х-39</t>
        </is>
      </c>
      <c r="C45" s="12">
        <f>IF(COUNT('Мэдлэг'!D45:L45)=0,"",ROUND(COUNTIF('Мэдлэг'!D45:L45,1)/9*100,1))</f>
        <v/>
      </c>
      <c r="D45" s="12">
        <f>IF(COUNT('Чадвар'!D45:AH45)=0,"",ROUND(COUNTIF('Чадвар'!D45:AH45,1)/31*100,1))</f>
        <v/>
      </c>
      <c r="E45" s="12">
        <f>IF(COUNT('Төлөвшил'!D45:I45)=0,"",ROUND(COUNTIF('Төлөвшил'!D45:I45,1)/6*100,1))</f>
        <v/>
      </c>
      <c r="F45" s="12">
        <f>COUNTIF('Мэдлэг'!D45:L45,1)+COUNTIF('Чадвар'!D45:AH45,1)+COUNTIF('Төлөвшил'!D45:I45,1)</f>
        <v/>
      </c>
      <c r="G45" s="12">
        <f>IF((COUNT('Мэдлэг'!D45:L45)+COUNT('Чадвар'!D45:AH45)+COUNT('Төлөвшил'!D45:I45))=0,"",ROUND(F45/46*100,1))</f>
        <v/>
      </c>
      <c r="H45" s="14">
        <f>IF(G45="","",IF(G45&gt;=Нэгтгэл!$K$4,"Хангалттай эзэмшиж байна",IF(G45&gt;=Нэгтгэл!$K$5,"Ахиж байна","Хөгжиж байна")))</f>
        <v/>
      </c>
    </row>
    <row r="46" ht="16" customHeight="1">
      <c r="A46" s="12" t="n">
        <v>40</v>
      </c>
      <c r="B46" s="13" t="inlineStr">
        <is>
          <t>Х-40</t>
        </is>
      </c>
      <c r="C46" s="12">
        <f>IF(COUNT('Мэдлэг'!D46:L46)=0,"",ROUND(COUNTIF('Мэдлэг'!D46:L46,1)/9*100,1))</f>
        <v/>
      </c>
      <c r="D46" s="12">
        <f>IF(COUNT('Чадвар'!D46:AH46)=0,"",ROUND(COUNTIF('Чадвар'!D46:AH46,1)/31*100,1))</f>
        <v/>
      </c>
      <c r="E46" s="12">
        <f>IF(COUNT('Төлөвшил'!D46:I46)=0,"",ROUND(COUNTIF('Төлөвшил'!D46:I46,1)/6*100,1))</f>
        <v/>
      </c>
      <c r="F46" s="12">
        <f>COUNTIF('Мэдлэг'!D46:L46,1)+COUNTIF('Чадвар'!D46:AH46,1)+COUNTIF('Төлөвшил'!D46:I46,1)</f>
        <v/>
      </c>
      <c r="G46" s="12">
        <f>IF((COUNT('Мэдлэг'!D46:L46)+COUNT('Чадвар'!D46:AH46)+COUNT('Төлөвшил'!D46:I46))=0,"",ROUND(F46/46*100,1))</f>
        <v/>
      </c>
      <c r="H46" s="14">
        <f>IF(G46="","",IF(G46&gt;=Нэгтгэл!$K$4,"Хангалттай эзэмшиж байна",IF(G46&gt;=Нэгтгэл!$K$5,"Ахиж байна","Хөгжиж байна")))</f>
        <v/>
      </c>
    </row>
    <row r="47" ht="16" customHeight="1">
      <c r="A47" s="12" t="n">
        <v>41</v>
      </c>
      <c r="B47" s="13" t="inlineStr">
        <is>
          <t>Х-41</t>
        </is>
      </c>
      <c r="C47" s="12">
        <f>IF(COUNT('Мэдлэг'!D47:L47)=0,"",ROUND(COUNTIF('Мэдлэг'!D47:L47,1)/9*100,1))</f>
        <v/>
      </c>
      <c r="D47" s="12">
        <f>IF(COUNT('Чадвар'!D47:AH47)=0,"",ROUND(COUNTIF('Чадвар'!D47:AH47,1)/31*100,1))</f>
        <v/>
      </c>
      <c r="E47" s="12">
        <f>IF(COUNT('Төлөвшил'!D47:I47)=0,"",ROUND(COUNTIF('Төлөвшил'!D47:I47,1)/6*100,1))</f>
        <v/>
      </c>
      <c r="F47" s="12">
        <f>COUNTIF('Мэдлэг'!D47:L47,1)+COUNTIF('Чадвар'!D47:AH47,1)+COUNTIF('Төлөвшил'!D47:I47,1)</f>
        <v/>
      </c>
      <c r="G47" s="12">
        <f>IF((COUNT('Мэдлэг'!D47:L47)+COUNT('Чадвар'!D47:AH47)+COUNT('Төлөвшил'!D47:I47))=0,"",ROUND(F47/46*100,1))</f>
        <v/>
      </c>
      <c r="H47" s="14">
        <f>IF(G47="","",IF(G47&gt;=Нэгтгэл!$K$4,"Хангалттай эзэмшиж байна",IF(G47&gt;=Нэгтгэл!$K$5,"Ахиж байна","Хөгжиж байна")))</f>
        <v/>
      </c>
    </row>
    <row r="48" ht="16" customHeight="1">
      <c r="A48" s="12" t="n">
        <v>42</v>
      </c>
      <c r="B48" s="13" t="inlineStr">
        <is>
          <t>Х-42</t>
        </is>
      </c>
      <c r="C48" s="12">
        <f>IF(COUNT('Мэдлэг'!D48:L48)=0,"",ROUND(COUNTIF('Мэдлэг'!D48:L48,1)/9*100,1))</f>
        <v/>
      </c>
      <c r="D48" s="12">
        <f>IF(COUNT('Чадвар'!D48:AH48)=0,"",ROUND(COUNTIF('Чадвар'!D48:AH48,1)/31*100,1))</f>
        <v/>
      </c>
      <c r="E48" s="12">
        <f>IF(COUNT('Төлөвшил'!D48:I48)=0,"",ROUND(COUNTIF('Төлөвшил'!D48:I48,1)/6*100,1))</f>
        <v/>
      </c>
      <c r="F48" s="12">
        <f>COUNTIF('Мэдлэг'!D48:L48,1)+COUNTIF('Чадвар'!D48:AH48,1)+COUNTIF('Төлөвшил'!D48:I48,1)</f>
        <v/>
      </c>
      <c r="G48" s="12">
        <f>IF((COUNT('Мэдлэг'!D48:L48)+COUNT('Чадвар'!D48:AH48)+COUNT('Төлөвшил'!D48:I48))=0,"",ROUND(F48/46*100,1))</f>
        <v/>
      </c>
      <c r="H48" s="14">
        <f>IF(G48="","",IF(G48&gt;=Нэгтгэл!$K$4,"Хангалттай эзэмшиж байна",IF(G48&gt;=Нэгтгэл!$K$5,"Ахиж байна","Хөгжиж байна")))</f>
        <v/>
      </c>
    </row>
    <row r="49" ht="16" customHeight="1">
      <c r="A49" s="12" t="n">
        <v>43</v>
      </c>
      <c r="B49" s="13" t="inlineStr">
        <is>
          <t>Х-43</t>
        </is>
      </c>
      <c r="C49" s="12">
        <f>IF(COUNT('Мэдлэг'!D49:L49)=0,"",ROUND(COUNTIF('Мэдлэг'!D49:L49,1)/9*100,1))</f>
        <v/>
      </c>
      <c r="D49" s="12">
        <f>IF(COUNT('Чадвар'!D49:AH49)=0,"",ROUND(COUNTIF('Чадвар'!D49:AH49,1)/31*100,1))</f>
        <v/>
      </c>
      <c r="E49" s="12">
        <f>IF(COUNT('Төлөвшил'!D49:I49)=0,"",ROUND(COUNTIF('Төлөвшил'!D49:I49,1)/6*100,1))</f>
        <v/>
      </c>
      <c r="F49" s="12">
        <f>COUNTIF('Мэдлэг'!D49:L49,1)+COUNTIF('Чадвар'!D49:AH49,1)+COUNTIF('Төлөвшил'!D49:I49,1)</f>
        <v/>
      </c>
      <c r="G49" s="12">
        <f>IF((COUNT('Мэдлэг'!D49:L49)+COUNT('Чадвар'!D49:AH49)+COUNT('Төлөвшил'!D49:I49))=0,"",ROUND(F49/46*100,1))</f>
        <v/>
      </c>
      <c r="H49" s="14">
        <f>IF(G49="","",IF(G49&gt;=Нэгтгэл!$K$4,"Хангалттай эзэмшиж байна",IF(G49&gt;=Нэгтгэл!$K$5,"Ахиж байна","Хөгжиж байна")))</f>
        <v/>
      </c>
    </row>
    <row r="50" ht="16" customHeight="1">
      <c r="A50" s="12" t="n">
        <v>44</v>
      </c>
      <c r="B50" s="13" t="inlineStr">
        <is>
          <t>Х-44</t>
        </is>
      </c>
      <c r="C50" s="12">
        <f>IF(COUNT('Мэдлэг'!D50:L50)=0,"",ROUND(COUNTIF('Мэдлэг'!D50:L50,1)/9*100,1))</f>
        <v/>
      </c>
      <c r="D50" s="12">
        <f>IF(COUNT('Чадвар'!D50:AH50)=0,"",ROUND(COUNTIF('Чадвар'!D50:AH50,1)/31*100,1))</f>
        <v/>
      </c>
      <c r="E50" s="12">
        <f>IF(COUNT('Төлөвшил'!D50:I50)=0,"",ROUND(COUNTIF('Төлөвшил'!D50:I50,1)/6*100,1))</f>
        <v/>
      </c>
      <c r="F50" s="12">
        <f>COUNTIF('Мэдлэг'!D50:L50,1)+COUNTIF('Чадвар'!D50:AH50,1)+COUNTIF('Төлөвшил'!D50:I50,1)</f>
        <v/>
      </c>
      <c r="G50" s="12">
        <f>IF((COUNT('Мэдлэг'!D50:L50)+COUNT('Чадвар'!D50:AH50)+COUNT('Төлөвшил'!D50:I50))=0,"",ROUND(F50/46*100,1))</f>
        <v/>
      </c>
      <c r="H50" s="14">
        <f>IF(G50="","",IF(G50&gt;=Нэгтгэл!$K$4,"Хангалттай эзэмшиж байна",IF(G50&gt;=Нэгтгэл!$K$5,"Ахиж байна","Хөгжиж байна")))</f>
        <v/>
      </c>
    </row>
    <row r="51">
      <c r="A51" s="5" t="inlineStr">
        <is>
          <t>Бүлгийн дундаж хувь</t>
        </is>
      </c>
      <c r="B51" s="15" t="n"/>
      <c r="C51" s="5">
        <f>IFERROR(ROUND(AVERAGE(C7:C50),1),"")</f>
        <v/>
      </c>
      <c r="D51" s="5">
        <f>IFERROR(ROUND(AVERAGE(D7:D50),1),"")</f>
        <v/>
      </c>
      <c r="E51" s="5">
        <f>IFERROR(ROUND(AVERAGE(E7:E50),1),"")</f>
        <v/>
      </c>
      <c r="F51" s="16" t="inlineStr"/>
      <c r="G51" s="5">
        <f>IFERROR(ROUND(AVERAGE(G7:G50),1),"")</f>
        <v/>
      </c>
      <c r="H51" s="16" t="inlineStr"/>
    </row>
    <row r="52">
      <c r="A52" s="17" t="inlineStr">
        <is>
          <t>Хангалттай эзэмшиж байна (тоо)</t>
        </is>
      </c>
      <c r="B52" s="15" t="n"/>
      <c r="C52" s="5">
        <f>COUNTIFS(C7:C50,"&gt;="&amp;Нэгтгэл!$K$4)</f>
        <v/>
      </c>
      <c r="D52" s="5">
        <f>COUNTIFS(D7:D50,"&gt;="&amp;Нэгтгэл!$K$4)</f>
        <v/>
      </c>
      <c r="E52" s="5">
        <f>COUNTIFS(E7:E50,"&gt;="&amp;Нэгтгэл!$K$4)</f>
        <v/>
      </c>
      <c r="F52" s="16" t="inlineStr"/>
      <c r="G52" s="5">
        <f>COUNTIFS(G7:G50,"&gt;="&amp;Нэгтгэл!$K$4)</f>
        <v/>
      </c>
      <c r="H52" s="5">
        <f>COUNTIF(H7:H50,"Хангалттай эзэмшиж байна")</f>
        <v/>
      </c>
    </row>
    <row r="53">
      <c r="A53" s="17" t="inlineStr">
        <is>
          <t>Ахиж байна (тоо)</t>
        </is>
      </c>
      <c r="B53" s="15" t="n"/>
      <c r="C53" s="5">
        <f>COUNTIFS(C7:C50,"&gt;="&amp;Нэгтгэл!$K$5,C7:C50,"&lt;"&amp;Нэгтгэл!$K$4)</f>
        <v/>
      </c>
      <c r="D53" s="5">
        <f>COUNTIFS(D7:D50,"&gt;="&amp;Нэгтгэл!$K$5,D7:D50,"&lt;"&amp;Нэгтгэл!$K$4)</f>
        <v/>
      </c>
      <c r="E53" s="5">
        <f>COUNTIFS(E7:E50,"&gt;="&amp;Нэгтгэл!$K$5,E7:E50,"&lt;"&amp;Нэгтгэл!$K$4)</f>
        <v/>
      </c>
      <c r="F53" s="16" t="inlineStr"/>
      <c r="G53" s="5">
        <f>COUNTIFS(G7:G50,"&gt;="&amp;Нэгтгэл!$K$5,G7:G50,"&lt;"&amp;Нэгтгэл!$K$4)</f>
        <v/>
      </c>
      <c r="H53" s="5">
        <f>COUNTIF(H7:H50,"Ахиж байна")</f>
        <v/>
      </c>
    </row>
    <row r="54">
      <c r="A54" s="17" t="inlineStr">
        <is>
          <t>Хөгжиж байна (тоо)</t>
        </is>
      </c>
      <c r="B54" s="15" t="n"/>
      <c r="C54" s="5">
        <f>COUNTIFS(C7:C50,"&lt;"&amp;Нэгтгэл!$K$5)</f>
        <v/>
      </c>
      <c r="D54" s="5">
        <f>COUNTIFS(D7:D50,"&lt;"&amp;Нэгтгэл!$K$5)</f>
        <v/>
      </c>
      <c r="E54" s="5">
        <f>COUNTIFS(E7:E50,"&lt;"&amp;Нэгтгэл!$K$5)</f>
        <v/>
      </c>
      <c r="F54" s="16" t="inlineStr"/>
      <c r="G54" s="5">
        <f>COUNTIFS(G7:G50,"&lt;"&amp;Нэгтгэл!$K$5)</f>
        <v/>
      </c>
      <c r="H54" s="5">
        <f>COUNTIF(H7:H50,"Хөгжиж байна")</f>
        <v/>
      </c>
    </row>
  </sheetData>
  <mergeCells count="14">
    <mergeCell ref="J3:K3"/>
    <mergeCell ref="A54:B54"/>
    <mergeCell ref="A52:B52"/>
    <mergeCell ref="H3:H6"/>
    <mergeCell ref="F3:F6"/>
    <mergeCell ref="G3:G6"/>
    <mergeCell ref="A2:H2"/>
    <mergeCell ref="A51:B51"/>
    <mergeCell ref="A3:A6"/>
    <mergeCell ref="B3:B6"/>
    <mergeCell ref="C3:E3"/>
    <mergeCell ref="C4:E4"/>
    <mergeCell ref="A1:H1"/>
    <mergeCell ref="A53:B53"/>
  </mergeCell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2.xml><?xml version="1.0" encoding="utf-8"?>
<worksheet xmlns="http://schemas.openxmlformats.org/spreadsheetml/2006/main">
  <sheetPr>
    <outlinePr summaryBelow="1" summaryRight="1"/>
    <pageSetUpPr fitToPage="1"/>
  </sheetPr>
  <dimension ref="A1:Q54"/>
  <sheetViews>
    <sheetView workbookViewId="0">
      <selection activeCell="A1" sqref="A1"/>
    </sheetView>
  </sheetViews>
  <sheetFormatPr baseColWidth="8" defaultRowHeight="15"/>
  <cols>
    <col width="4.5" customWidth="1" min="1" max="1"/>
    <col width="8" customWidth="1" min="2" max="2"/>
    <col width="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7" customWidth="1" min="13" max="13"/>
    <col width="7" customWidth="1" min="14" max="14"/>
    <col width="8" customWidth="1" min="15" max="15"/>
    <col width="7" customWidth="1" min="16" max="16"/>
    <col width="14" customWidth="1" min="17" max="17"/>
  </cols>
  <sheetData>
    <row r="1">
      <c r="A1" s="1" t="inlineStr">
        <is>
          <t>................ ЦЭЦЭРЛЭГИЙН АХЛАХ БҮЛГИЙН (4 НАС) ГАРААНЫ (ОНОШЛОХ) ҮНЭЛГЭЭ</t>
        </is>
      </c>
    </row>
    <row r="2">
      <c r="A2" s="18" t="inlineStr">
        <is>
          <t>Үнэлгээний хүрээ: Мэдлэг          Огноо: 20.... оны .... сар          Багш: ................................          Чадна = 1, Чадахгүй = 0  (А/79 журам, III түвшний шалгуур)</t>
        </is>
      </c>
    </row>
    <row r="3">
      <c r="A3" s="3" t="inlineStr">
        <is>
          <t>№</t>
        </is>
      </c>
      <c r="B3" s="3" t="inlineStr">
        <is>
          <t>Хүүхдийн код</t>
        </is>
      </c>
      <c r="C3" s="4" t="n"/>
      <c r="D3" s="3" t="inlineStr">
        <is>
          <t>Үнэлгээний хүрээ: Мэдлэг</t>
        </is>
      </c>
      <c r="E3" s="4" t="n"/>
      <c r="F3" s="4" t="n"/>
      <c r="G3" s="4" t="n"/>
      <c r="H3" s="4" t="n"/>
      <c r="I3" s="4" t="n"/>
      <c r="J3" s="4" t="n"/>
      <c r="K3" s="4" t="n"/>
      <c r="L3" s="4" t="n"/>
      <c r="M3" s="5" t="inlineStr">
        <is>
          <t>Чадна (1)</t>
        </is>
      </c>
      <c r="N3" s="5" t="inlineStr">
        <is>
          <t>Хувь</t>
        </is>
      </c>
      <c r="O3" s="5" t="inlineStr">
        <is>
          <t>Чадахгүй (0)</t>
        </is>
      </c>
      <c r="P3" s="5" t="inlineStr">
        <is>
          <t>Хувь</t>
        </is>
      </c>
      <c r="Q3" s="5" t="inlineStr">
        <is>
          <t>Түвшин</t>
        </is>
      </c>
    </row>
    <row r="4" ht="80" customHeight="1">
      <c r="A4" s="4" t="n"/>
      <c r="B4" s="4" t="n"/>
      <c r="C4" s="4" t="n"/>
      <c r="D4" s="6" t="inlineStr">
        <is>
          <t>Эрүүл мэндэд тустай хоол, хүнсийг нэрлэдэг.</t>
        </is>
      </c>
      <c r="E4" s="6" t="inlineStr">
        <is>
          <t>Өөрийн болон бусдын биеийн хүрч болох, болохгүй хэсгийг мэддэг.</t>
        </is>
      </c>
      <c r="F4" s="6" t="inlineStr">
        <is>
          <t>Ухаалаг төхөөрөмжийг зохистой хэрэглэхийг мэддэг.</t>
        </is>
      </c>
      <c r="G4" s="6" t="inlineStr">
        <is>
          <t>Сэтгэл хөдлөл илэрхийлсэн 2-3 зургаас таатай, таагүй байгааг тайлбарладаг.</t>
        </is>
      </c>
      <c r="H4" s="6" t="inlineStr">
        <is>
          <t>Тайвшрахад туслах аргуудыг мэддэг.</t>
        </is>
      </c>
      <c r="I4" s="6" t="inlineStr">
        <is>
          <t>Хоёр зүйлийн хоорондын хамаарлыг тайлбарладаг.</t>
        </is>
      </c>
      <c r="J4" s="6" t="inlineStr">
        <is>
          <t>10 хүртэл цээжээр тоолдог.</t>
        </is>
      </c>
      <c r="K4" s="6" t="inlineStr">
        <is>
          <t>Чиглэл заасан үгсийн утгыг ойлгодог.</t>
        </is>
      </c>
      <c r="L4" s="6" t="inlineStr">
        <is>
          <t>Гэр бүлийн гишүүдийг нэрлэж, ажил мэргэжлийг нь хэлдэг.</t>
        </is>
      </c>
      <c r="M4" s="4" t="n"/>
      <c r="N4" s="4" t="n"/>
      <c r="O4" s="4" t="n"/>
      <c r="P4" s="4" t="n"/>
      <c r="Q4" s="4" t="n"/>
    </row>
    <row r="5" ht="140" customHeight="1">
      <c r="A5" s="4" t="n"/>
      <c r="B5" s="4" t="n"/>
      <c r="C5" s="4" t="n"/>
      <c r="D5" s="19" t="inlineStr">
        <is>
          <t>СҮД: ХЭМ3.2в. Хоол, хүнсний бүтээгдэхүүнээс эрүүл мэндэд тустай хүнсийг ялгаж, хэрэглэнэ.</t>
        </is>
      </c>
      <c r="E5" s="19" t="inlineStr">
        <is>
          <t>СҮД: ХЭМ3.2д. Өөрийн болон бусдын биеийн хүрч болохгүй хэсгийг ялгаж, шаардлагатай үед “Үгүй” гэж хэлж өөрийгөө хамгаална.</t>
        </is>
      </c>
      <c r="F5" s="19" t="inlineStr">
        <is>
          <t>СҮД: ХЭМ3.2з. Ухаалаг төхөөрөмжийн хэрэглээний эерэг, сөрөг нөлөөг мэдэж, өөрийгөө хамгаалах үйлдэл хийнэ.</t>
        </is>
      </c>
      <c r="G5" s="19" t="inlineStr">
        <is>
          <t>СҮД: НСХ3.1а. Сэтгэл хөдлөлөө таатай, таагүй байгааг илэрхийлдэг болно.</t>
        </is>
      </c>
      <c r="H5" s="19" t="inlineStr">
        <is>
          <t>СҮД: НСХ3.1в. Уурлаж тавгүйтсэн үедээ бусадтай ярилцах, "тайвшрах булан"-д очих зэргээр тайвширдаг болно.</t>
        </is>
      </c>
      <c r="I5" s="19" t="inlineStr">
        <is>
          <t>СҮД: НСХ3.3а. Өөрийнх нь үйлдэл бусдад хэрхэн нөлөөлдгийг ойлгож тайлбарладаг болно.</t>
        </is>
      </c>
      <c r="J5" s="19" t="inlineStr">
        <is>
          <t>СҮД: МАТ3.1а. 10 хүртэлх тоог цээжээр тоолох, 5 хүртэлх тооны юмсыг оноож тоолох, өгсөн тооноос эхэлж 1-ээр нэмэгдүүлэн тоолох, тоог жишнэ (бодит юмсын олон, цөөнийг ялгаж жиших).</t>
        </is>
      </c>
      <c r="K5" s="19" t="inlineStr">
        <is>
          <t>СҮД: МАТ3.3в. Чиглэл, байршлын дагуу үйлдэл хийнэ. (өмнө, хойно, дээшээ, доошоо)</t>
        </is>
      </c>
      <c r="L5" s="19" t="inlineStr">
        <is>
          <t>СҮД: БНО3.2б. Өөрийн гэр бүлийг танилцуулж, ойр орчны хүмүүсийн ажил мэргэжлийг ялган ойлгож, гэрийн ажилд оролцоно.</t>
        </is>
      </c>
      <c r="M5" s="4" t="n"/>
      <c r="N5" s="4" t="n"/>
      <c r="O5" s="4" t="n"/>
      <c r="P5" s="4" t="n"/>
      <c r="Q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10" t="inlineStr">
        <is>
          <t>1 / 0</t>
        </is>
      </c>
      <c r="M6" s="4" t="n"/>
      <c r="N6" s="4" t="n"/>
      <c r="O6" s="4" t="n"/>
      <c r="P6" s="4" t="n"/>
      <c r="Q6" s="4" t="n"/>
    </row>
    <row r="7" ht="16" customHeight="1">
      <c r="A7" s="12" t="n">
        <v>1</v>
      </c>
      <c r="B7" s="12">
        <f>IF(Нэгтгэл!B7="","",Нэгтгэл!B7)</f>
        <v/>
      </c>
      <c r="C7" s="4" t="n"/>
      <c r="D7" s="13" t="n">
        <v>0</v>
      </c>
      <c r="E7" s="13" t="n">
        <v>1</v>
      </c>
      <c r="F7" s="13" t="n">
        <v>0</v>
      </c>
      <c r="G7" s="13" t="n">
        <v>0</v>
      </c>
      <c r="H7" s="13" t="n">
        <v>0</v>
      </c>
      <c r="I7" s="13" t="n">
        <v>0</v>
      </c>
      <c r="J7" s="13" t="n">
        <v>1</v>
      </c>
      <c r="K7" s="13" t="n">
        <v>1</v>
      </c>
      <c r="L7" s="13" t="n">
        <v>1</v>
      </c>
      <c r="M7" s="12">
        <f>COUNTIF(D7:L7,1)</f>
        <v/>
      </c>
      <c r="N7" s="12">
        <f>IF(COUNT(D7:L7)=0,"",ROUND(M7/9*100,1))</f>
        <v/>
      </c>
      <c r="O7" s="12">
        <f>COUNTIF(D7:L7,0)</f>
        <v/>
      </c>
      <c r="P7" s="12">
        <f>IF(COUNT(D7:L7)=0,"",ROUND(O7/9*100,1))</f>
        <v/>
      </c>
      <c r="Q7" s="20">
        <f>IF(N7="","",IF(N7&gt;=Нэгтгэл!$K$4,"Хангалттай эзэмшиж байна",IF(N7&gt;=Нэгтгэл!$K$5,"Ахиж байна","Хөгжиж байна")))</f>
        <v/>
      </c>
    </row>
    <row r="8" ht="16" customHeight="1">
      <c r="A8" s="12" t="n">
        <v>2</v>
      </c>
      <c r="B8" s="12">
        <f>IF(Нэгтгэл!B8="","",Нэгтгэл!B8)</f>
        <v/>
      </c>
      <c r="C8" s="4" t="n"/>
      <c r="D8" s="13" t="n">
        <v>0</v>
      </c>
      <c r="E8" s="13" t="n">
        <v>1</v>
      </c>
      <c r="F8" s="13" t="n">
        <v>0</v>
      </c>
      <c r="G8" s="13" t="n">
        <v>0</v>
      </c>
      <c r="H8" s="13" t="n">
        <v>1</v>
      </c>
      <c r="I8" s="13" t="n">
        <v>1</v>
      </c>
      <c r="J8" s="13" t="n">
        <v>1</v>
      </c>
      <c r="K8" s="13" t="n">
        <v>1</v>
      </c>
      <c r="L8" s="13" t="n">
        <v>1</v>
      </c>
      <c r="M8" s="12">
        <f>COUNTIF(D8:L8,1)</f>
        <v/>
      </c>
      <c r="N8" s="12">
        <f>IF(COUNT(D8:L8)=0,"",ROUND(M8/9*100,1))</f>
        <v/>
      </c>
      <c r="O8" s="12">
        <f>COUNTIF(D8:L8,0)</f>
        <v/>
      </c>
      <c r="P8" s="12">
        <f>IF(COUNT(D8:L8)=0,"",ROUND(O8/9*100,1))</f>
        <v/>
      </c>
      <c r="Q8" s="20">
        <f>IF(N8="","",IF(N8&gt;=Нэгтгэл!$K$4,"Хангалттай эзэмшиж байна",IF(N8&gt;=Нэгтгэл!$K$5,"Ахиж байна","Хөгжиж байна")))</f>
        <v/>
      </c>
    </row>
    <row r="9" ht="16" customHeight="1">
      <c r="A9" s="12" t="n">
        <v>3</v>
      </c>
      <c r="B9" s="12">
        <f>IF(Нэгтгэл!B9="","",Нэгтгэл!B9)</f>
        <v/>
      </c>
      <c r="C9" s="4" t="n"/>
      <c r="D9" s="13" t="n">
        <v>1</v>
      </c>
      <c r="E9" s="13" t="n">
        <v>1</v>
      </c>
      <c r="F9" s="13" t="n">
        <v>1</v>
      </c>
      <c r="G9" s="13" t="n">
        <v>1</v>
      </c>
      <c r="H9" s="13" t="n">
        <v>0</v>
      </c>
      <c r="I9" s="13" t="n">
        <v>1</v>
      </c>
      <c r="J9" s="13" t="n">
        <v>1</v>
      </c>
      <c r="K9" s="13" t="n">
        <v>1</v>
      </c>
      <c r="L9" s="13" t="n">
        <v>1</v>
      </c>
      <c r="M9" s="12">
        <f>COUNTIF(D9:L9,1)</f>
        <v/>
      </c>
      <c r="N9" s="12">
        <f>IF(COUNT(D9:L9)=0,"",ROUND(M9/9*100,1))</f>
        <v/>
      </c>
      <c r="O9" s="12">
        <f>COUNTIF(D9:L9,0)</f>
        <v/>
      </c>
      <c r="P9" s="12">
        <f>IF(COUNT(D9:L9)=0,"",ROUND(O9/9*100,1))</f>
        <v/>
      </c>
      <c r="Q9" s="20">
        <f>IF(N9="","",IF(N9&gt;=Нэгтгэл!$K$4,"Хангалттай эзэмшиж байна",IF(N9&gt;=Нэгтгэл!$K$5,"Ахиж байна","Хөгжиж байна")))</f>
        <v/>
      </c>
    </row>
    <row r="10" ht="16" customHeight="1">
      <c r="A10" s="12" t="n">
        <v>4</v>
      </c>
      <c r="B10" s="12">
        <f>IF(Нэгтгэл!B10="","",Нэгтгэл!B10)</f>
        <v/>
      </c>
      <c r="C10" s="4" t="n"/>
      <c r="D10" s="13" t="n">
        <v>1</v>
      </c>
      <c r="E10" s="13" t="n">
        <v>0</v>
      </c>
      <c r="F10" s="13" t="n">
        <v>0</v>
      </c>
      <c r="G10" s="13" t="n">
        <v>1</v>
      </c>
      <c r="H10" s="13" t="n">
        <v>1</v>
      </c>
      <c r="I10" s="13" t="n">
        <v>0</v>
      </c>
      <c r="J10" s="13" t="n">
        <v>1</v>
      </c>
      <c r="K10" s="13" t="n">
        <v>1</v>
      </c>
      <c r="L10" s="13" t="n">
        <v>1</v>
      </c>
      <c r="M10" s="12">
        <f>COUNTIF(D10:L10,1)</f>
        <v/>
      </c>
      <c r="N10" s="12">
        <f>IF(COUNT(D10:L10)=0,"",ROUND(M10/9*100,1))</f>
        <v/>
      </c>
      <c r="O10" s="12">
        <f>COUNTIF(D10:L10,0)</f>
        <v/>
      </c>
      <c r="P10" s="12">
        <f>IF(COUNT(D10:L10)=0,"",ROUND(O10/9*100,1))</f>
        <v/>
      </c>
      <c r="Q10" s="20">
        <f>IF(N10="","",IF(N10&gt;=Нэгтгэл!$K$4,"Хангалттай эзэмшиж байна",IF(N10&gt;=Нэгтгэл!$K$5,"Ахиж байна","Хөгжиж байна")))</f>
        <v/>
      </c>
    </row>
    <row r="11" ht="16" customHeight="1">
      <c r="A11" s="12" t="n">
        <v>5</v>
      </c>
      <c r="B11" s="12">
        <f>IF(Нэгтгэл!B11="","",Нэгтгэл!B11)</f>
        <v/>
      </c>
      <c r="C11" s="4" t="n"/>
      <c r="D11" s="13" t="n">
        <v>0</v>
      </c>
      <c r="E11" s="13" t="n">
        <v>1</v>
      </c>
      <c r="F11" s="13" t="n">
        <v>1</v>
      </c>
      <c r="G11" s="13" t="n">
        <v>1</v>
      </c>
      <c r="H11" s="13" t="n">
        <v>1</v>
      </c>
      <c r="I11" s="13" t="n">
        <v>1</v>
      </c>
      <c r="J11" s="13" t="n">
        <v>0</v>
      </c>
      <c r="K11" s="13" t="n">
        <v>1</v>
      </c>
      <c r="L11" s="13" t="n">
        <v>1</v>
      </c>
      <c r="M11" s="12">
        <f>COUNTIF(D11:L11,1)</f>
        <v/>
      </c>
      <c r="N11" s="12">
        <f>IF(COUNT(D11:L11)=0,"",ROUND(M11/9*100,1))</f>
        <v/>
      </c>
      <c r="O11" s="12">
        <f>COUNTIF(D11:L11,0)</f>
        <v/>
      </c>
      <c r="P11" s="12">
        <f>IF(COUNT(D11:L11)=0,"",ROUND(O11/9*100,1))</f>
        <v/>
      </c>
      <c r="Q11" s="20">
        <f>IF(N11="","",IF(N11&gt;=Нэгтгэл!$K$4,"Хангалттай эзэмшиж байна",IF(N11&gt;=Нэгтгэл!$K$5,"Ахиж байна","Хөгжиж байна")))</f>
        <v/>
      </c>
    </row>
    <row r="12" ht="16" customHeight="1">
      <c r="A12" s="12" t="n">
        <v>6</v>
      </c>
      <c r="B12" s="12">
        <f>IF(Нэгтгэл!B12="","",Нэгтгэл!B12)</f>
        <v/>
      </c>
      <c r="C12" s="4" t="n"/>
      <c r="D12" s="13" t="n">
        <v>1</v>
      </c>
      <c r="E12" s="13" t="n">
        <v>1</v>
      </c>
      <c r="F12" s="13" t="n">
        <v>0</v>
      </c>
      <c r="G12" s="13" t="n">
        <v>1</v>
      </c>
      <c r="H12" s="13" t="n">
        <v>0</v>
      </c>
      <c r="I12" s="13" t="n">
        <v>1</v>
      </c>
      <c r="J12" s="13" t="n">
        <v>1</v>
      </c>
      <c r="K12" s="13" t="n">
        <v>1</v>
      </c>
      <c r="L12" s="13" t="n">
        <v>1</v>
      </c>
      <c r="M12" s="12">
        <f>COUNTIF(D12:L12,1)</f>
        <v/>
      </c>
      <c r="N12" s="12">
        <f>IF(COUNT(D12:L12)=0,"",ROUND(M12/9*100,1))</f>
        <v/>
      </c>
      <c r="O12" s="12">
        <f>COUNTIF(D12:L12,0)</f>
        <v/>
      </c>
      <c r="P12" s="12">
        <f>IF(COUNT(D12:L12)=0,"",ROUND(O12/9*100,1))</f>
        <v/>
      </c>
      <c r="Q12" s="20">
        <f>IF(N12="","",IF(N12&gt;=Нэгтгэл!$K$4,"Хангалттай эзэмшиж байна",IF(N12&gt;=Нэгтгэл!$K$5,"Ахиж байна","Хөгжиж байна")))</f>
        <v/>
      </c>
    </row>
    <row r="13" ht="16" customHeight="1">
      <c r="A13" s="12" t="n">
        <v>7</v>
      </c>
      <c r="B13" s="12">
        <f>IF(Нэгтгэл!B13="","",Нэгтгэл!B13)</f>
        <v/>
      </c>
      <c r="C13" s="4" t="n"/>
      <c r="D13" s="13" t="n">
        <v>1</v>
      </c>
      <c r="E13" s="13" t="n">
        <v>1</v>
      </c>
      <c r="F13" s="13" t="n">
        <v>0</v>
      </c>
      <c r="G13" s="13" t="n">
        <v>1</v>
      </c>
      <c r="H13" s="13" t="n">
        <v>0</v>
      </c>
      <c r="I13" s="13" t="n">
        <v>0</v>
      </c>
      <c r="J13" s="13" t="n">
        <v>0</v>
      </c>
      <c r="K13" s="13" t="n">
        <v>0</v>
      </c>
      <c r="L13" s="13" t="n">
        <v>0</v>
      </c>
      <c r="M13" s="12">
        <f>COUNTIF(D13:L13,1)</f>
        <v/>
      </c>
      <c r="N13" s="12">
        <f>IF(COUNT(D13:L13)=0,"",ROUND(M13/9*100,1))</f>
        <v/>
      </c>
      <c r="O13" s="12">
        <f>COUNTIF(D13:L13,0)</f>
        <v/>
      </c>
      <c r="P13" s="12">
        <f>IF(COUNT(D13:L13)=0,"",ROUND(O13/9*100,1))</f>
        <v/>
      </c>
      <c r="Q13" s="20">
        <f>IF(N13="","",IF(N13&gt;=Нэгтгэл!$K$4,"Хангалттай эзэмшиж байна",IF(N13&gt;=Нэгтгэл!$K$5,"Ахиж байна","Хөгжиж байна")))</f>
        <v/>
      </c>
    </row>
    <row r="14" ht="16" customHeight="1">
      <c r="A14" s="12" t="n">
        <v>8</v>
      </c>
      <c r="B14" s="12">
        <f>IF(Нэгтгэл!B14="","",Нэгтгэл!B14)</f>
        <v/>
      </c>
      <c r="C14" s="4" t="n"/>
      <c r="D14" s="13" t="n">
        <v>1</v>
      </c>
      <c r="E14" s="13" t="n">
        <v>1</v>
      </c>
      <c r="F14" s="13" t="n">
        <v>1</v>
      </c>
      <c r="G14" s="13" t="n">
        <v>1</v>
      </c>
      <c r="H14" s="13" t="n">
        <v>1</v>
      </c>
      <c r="I14" s="13" t="n">
        <v>0</v>
      </c>
      <c r="J14" s="13" t="n">
        <v>0</v>
      </c>
      <c r="K14" s="13" t="n">
        <v>1</v>
      </c>
      <c r="L14" s="13" t="n">
        <v>0</v>
      </c>
      <c r="M14" s="12">
        <f>COUNTIF(D14:L14,1)</f>
        <v/>
      </c>
      <c r="N14" s="12">
        <f>IF(COUNT(D14:L14)=0,"",ROUND(M14/9*100,1))</f>
        <v/>
      </c>
      <c r="O14" s="12">
        <f>COUNTIF(D14:L14,0)</f>
        <v/>
      </c>
      <c r="P14" s="12">
        <f>IF(COUNT(D14:L14)=0,"",ROUND(O14/9*100,1))</f>
        <v/>
      </c>
      <c r="Q14" s="20">
        <f>IF(N14="","",IF(N14&gt;=Нэгтгэл!$K$4,"Хангалттай эзэмшиж байна",IF(N14&gt;=Нэгтгэл!$K$5,"Ахиж байна","Хөгжиж байна")))</f>
        <v/>
      </c>
    </row>
    <row r="15" ht="16" customHeight="1">
      <c r="A15" s="12" t="n">
        <v>9</v>
      </c>
      <c r="B15" s="12">
        <f>IF(Нэгтгэл!B15="","",Нэгтгэл!B15)</f>
        <v/>
      </c>
      <c r="C15" s="4" t="n"/>
      <c r="D15" s="13" t="n">
        <v>1</v>
      </c>
      <c r="E15" s="13" t="n">
        <v>1</v>
      </c>
      <c r="F15" s="13" t="n">
        <v>0</v>
      </c>
      <c r="G15" s="13" t="n">
        <v>0</v>
      </c>
      <c r="H15" s="13" t="n">
        <v>1</v>
      </c>
      <c r="I15" s="13" t="n">
        <v>1</v>
      </c>
      <c r="J15" s="13" t="n">
        <v>0</v>
      </c>
      <c r="K15" s="13" t="n">
        <v>1</v>
      </c>
      <c r="L15" s="13" t="n">
        <v>0</v>
      </c>
      <c r="M15" s="12">
        <f>COUNTIF(D15:L15,1)</f>
        <v/>
      </c>
      <c r="N15" s="12">
        <f>IF(COUNT(D15:L15)=0,"",ROUND(M15/9*100,1))</f>
        <v/>
      </c>
      <c r="O15" s="12">
        <f>COUNTIF(D15:L15,0)</f>
        <v/>
      </c>
      <c r="P15" s="12">
        <f>IF(COUNT(D15:L15)=0,"",ROUND(O15/9*100,1))</f>
        <v/>
      </c>
      <c r="Q15" s="20">
        <f>IF(N15="","",IF(N15&gt;=Нэгтгэл!$K$4,"Хангалттай эзэмшиж байна",IF(N15&gt;=Нэгтгэл!$K$5,"Ахиж байна","Хөгжиж байна")))</f>
        <v/>
      </c>
    </row>
    <row r="16" ht="16" customHeight="1">
      <c r="A16" s="12" t="n">
        <v>10</v>
      </c>
      <c r="B16" s="12">
        <f>IF(Нэгтгэл!B16="","",Нэгтгэл!B16)</f>
        <v/>
      </c>
      <c r="C16" s="4" t="n"/>
      <c r="D16" s="13" t="n">
        <v>1</v>
      </c>
      <c r="E16" s="13" t="n">
        <v>1</v>
      </c>
      <c r="F16" s="13" t="n">
        <v>0</v>
      </c>
      <c r="G16" s="13" t="n">
        <v>0</v>
      </c>
      <c r="H16" s="13" t="n">
        <v>1</v>
      </c>
      <c r="I16" s="13" t="n">
        <v>0</v>
      </c>
      <c r="J16" s="13" t="n">
        <v>0</v>
      </c>
      <c r="K16" s="13" t="n">
        <v>0</v>
      </c>
      <c r="L16" s="13" t="n">
        <v>1</v>
      </c>
      <c r="M16" s="12">
        <f>COUNTIF(D16:L16,1)</f>
        <v/>
      </c>
      <c r="N16" s="12">
        <f>IF(COUNT(D16:L16)=0,"",ROUND(M16/9*100,1))</f>
        <v/>
      </c>
      <c r="O16" s="12">
        <f>COUNTIF(D16:L16,0)</f>
        <v/>
      </c>
      <c r="P16" s="12">
        <f>IF(COUNT(D16:L16)=0,"",ROUND(O16/9*100,1))</f>
        <v/>
      </c>
      <c r="Q16" s="20">
        <f>IF(N16="","",IF(N16&gt;=Нэгтгэл!$K$4,"Хангалттай эзэмшиж байна",IF(N16&gt;=Нэгтгэл!$K$5,"Ахиж байна","Хөгжиж байна")))</f>
        <v/>
      </c>
    </row>
    <row r="17" ht="16" customHeight="1">
      <c r="A17" s="12" t="n">
        <v>11</v>
      </c>
      <c r="B17" s="12">
        <f>IF(Нэгтгэл!B17="","",Нэгтгэл!B17)</f>
        <v/>
      </c>
      <c r="C17" s="4" t="n"/>
      <c r="D17" s="13" t="n">
        <v>0</v>
      </c>
      <c r="E17" s="13" t="n">
        <v>1</v>
      </c>
      <c r="F17" s="13" t="n">
        <v>1</v>
      </c>
      <c r="G17" s="13" t="n">
        <v>1</v>
      </c>
      <c r="H17" s="13" t="n">
        <v>1</v>
      </c>
      <c r="I17" s="13" t="n">
        <v>1</v>
      </c>
      <c r="J17" s="13" t="n">
        <v>0</v>
      </c>
      <c r="K17" s="13" t="n">
        <v>1</v>
      </c>
      <c r="L17" s="13" t="n">
        <v>1</v>
      </c>
      <c r="M17" s="12">
        <f>COUNTIF(D17:L17,1)</f>
        <v/>
      </c>
      <c r="N17" s="12">
        <f>IF(COUNT(D17:L17)=0,"",ROUND(M17/9*100,1))</f>
        <v/>
      </c>
      <c r="O17" s="12">
        <f>COUNTIF(D17:L17,0)</f>
        <v/>
      </c>
      <c r="P17" s="12">
        <f>IF(COUNT(D17:L17)=0,"",ROUND(O17/9*100,1))</f>
        <v/>
      </c>
      <c r="Q17" s="20">
        <f>IF(N17="","",IF(N17&gt;=Нэгтгэл!$K$4,"Хангалттай эзэмшиж байна",IF(N17&gt;=Нэгтгэл!$K$5,"Ахиж байна","Хөгжиж байна")))</f>
        <v/>
      </c>
    </row>
    <row r="18" ht="16" customHeight="1">
      <c r="A18" s="12" t="n">
        <v>12</v>
      </c>
      <c r="B18" s="12">
        <f>IF(Нэгтгэл!B18="","",Нэгтгэл!B18)</f>
        <v/>
      </c>
      <c r="C18" s="4" t="n"/>
      <c r="D18" s="13" t="n">
        <v>1</v>
      </c>
      <c r="E18" s="13" t="n">
        <v>0</v>
      </c>
      <c r="F18" s="13" t="n">
        <v>1</v>
      </c>
      <c r="G18" s="13" t="n">
        <v>0</v>
      </c>
      <c r="H18" s="13" t="n">
        <v>1</v>
      </c>
      <c r="I18" s="13" t="n">
        <v>1</v>
      </c>
      <c r="J18" s="13" t="n">
        <v>1</v>
      </c>
      <c r="K18" s="13" t="n">
        <v>0</v>
      </c>
      <c r="L18" s="13" t="n">
        <v>1</v>
      </c>
      <c r="M18" s="12">
        <f>COUNTIF(D18:L18,1)</f>
        <v/>
      </c>
      <c r="N18" s="12">
        <f>IF(COUNT(D18:L18)=0,"",ROUND(M18/9*100,1))</f>
        <v/>
      </c>
      <c r="O18" s="12">
        <f>COUNTIF(D18:L18,0)</f>
        <v/>
      </c>
      <c r="P18" s="12">
        <f>IF(COUNT(D18:L18)=0,"",ROUND(O18/9*100,1))</f>
        <v/>
      </c>
      <c r="Q18" s="20">
        <f>IF(N18="","",IF(N18&gt;=Нэгтгэл!$K$4,"Хангалттай эзэмшиж байна",IF(N18&gt;=Нэгтгэл!$K$5,"Ахиж байна","Хөгжиж байна")))</f>
        <v/>
      </c>
    </row>
    <row r="19" ht="16" customHeight="1">
      <c r="A19" s="12" t="n">
        <v>13</v>
      </c>
      <c r="B19" s="12">
        <f>IF(Нэгтгэл!B19="","",Нэгтгэл!B19)</f>
        <v/>
      </c>
      <c r="C19" s="4" t="n"/>
      <c r="D19" s="13" t="n">
        <v>1</v>
      </c>
      <c r="E19" s="13" t="n">
        <v>0</v>
      </c>
      <c r="F19" s="13" t="n">
        <v>0</v>
      </c>
      <c r="G19" s="13" t="n">
        <v>1</v>
      </c>
      <c r="H19" s="13" t="n">
        <v>1</v>
      </c>
      <c r="I19" s="13" t="n">
        <v>1</v>
      </c>
      <c r="J19" s="13" t="n">
        <v>1</v>
      </c>
      <c r="K19" s="13" t="n">
        <v>1</v>
      </c>
      <c r="L19" s="13" t="n">
        <v>0</v>
      </c>
      <c r="M19" s="12">
        <f>COUNTIF(D19:L19,1)</f>
        <v/>
      </c>
      <c r="N19" s="12">
        <f>IF(COUNT(D19:L19)=0,"",ROUND(M19/9*100,1))</f>
        <v/>
      </c>
      <c r="O19" s="12">
        <f>COUNTIF(D19:L19,0)</f>
        <v/>
      </c>
      <c r="P19" s="12">
        <f>IF(COUNT(D19:L19)=0,"",ROUND(O19/9*100,1))</f>
        <v/>
      </c>
      <c r="Q19" s="20">
        <f>IF(N19="","",IF(N19&gt;=Нэгтгэл!$K$4,"Хангалттай эзэмшиж байна",IF(N19&gt;=Нэгтгэл!$K$5,"Ахиж байна","Хөгжиж байна")))</f>
        <v/>
      </c>
    </row>
    <row r="20" ht="16" customHeight="1">
      <c r="A20" s="12" t="n">
        <v>14</v>
      </c>
      <c r="B20" s="12">
        <f>IF(Нэгтгэл!B20="","",Нэгтгэл!B20)</f>
        <v/>
      </c>
      <c r="C20" s="4" t="n"/>
      <c r="D20" s="13" t="n">
        <v>1</v>
      </c>
      <c r="E20" s="13" t="n">
        <v>0</v>
      </c>
      <c r="F20" s="13" t="n">
        <v>1</v>
      </c>
      <c r="G20" s="13" t="n">
        <v>1</v>
      </c>
      <c r="H20" s="13" t="n">
        <v>1</v>
      </c>
      <c r="I20" s="13" t="n">
        <v>1</v>
      </c>
      <c r="J20" s="13" t="n">
        <v>1</v>
      </c>
      <c r="K20" s="13" t="n">
        <v>1</v>
      </c>
      <c r="L20" s="13" t="n">
        <v>1</v>
      </c>
      <c r="M20" s="12">
        <f>COUNTIF(D20:L20,1)</f>
        <v/>
      </c>
      <c r="N20" s="12">
        <f>IF(COUNT(D20:L20)=0,"",ROUND(M20/9*100,1))</f>
        <v/>
      </c>
      <c r="O20" s="12">
        <f>COUNTIF(D20:L20,0)</f>
        <v/>
      </c>
      <c r="P20" s="12">
        <f>IF(COUNT(D20:L20)=0,"",ROUND(O20/9*100,1))</f>
        <v/>
      </c>
      <c r="Q20" s="20">
        <f>IF(N20="","",IF(N20&gt;=Нэгтгэл!$K$4,"Хангалттай эзэмшиж байна",IF(N20&gt;=Нэгтгэл!$K$5,"Ахиж байна","Хөгжиж байна")))</f>
        <v/>
      </c>
    </row>
    <row r="21" ht="16" customHeight="1">
      <c r="A21" s="12" t="n">
        <v>15</v>
      </c>
      <c r="B21" s="12">
        <f>IF(Нэгтгэл!B21="","",Нэгтгэл!B21)</f>
        <v/>
      </c>
      <c r="C21" s="4" t="n"/>
      <c r="D21" s="13" t="n">
        <v>1</v>
      </c>
      <c r="E21" s="13" t="n">
        <v>1</v>
      </c>
      <c r="F21" s="13" t="n">
        <v>1</v>
      </c>
      <c r="G21" s="13" t="n">
        <v>1</v>
      </c>
      <c r="H21" s="13" t="n">
        <v>1</v>
      </c>
      <c r="I21" s="13" t="n">
        <v>1</v>
      </c>
      <c r="J21" s="13" t="n">
        <v>1</v>
      </c>
      <c r="K21" s="13" t="n">
        <v>1</v>
      </c>
      <c r="L21" s="13" t="n">
        <v>1</v>
      </c>
      <c r="M21" s="12">
        <f>COUNTIF(D21:L21,1)</f>
        <v/>
      </c>
      <c r="N21" s="12">
        <f>IF(COUNT(D21:L21)=0,"",ROUND(M21/9*100,1))</f>
        <v/>
      </c>
      <c r="O21" s="12">
        <f>COUNTIF(D21:L21,0)</f>
        <v/>
      </c>
      <c r="P21" s="12">
        <f>IF(COUNT(D21:L21)=0,"",ROUND(O21/9*100,1))</f>
        <v/>
      </c>
      <c r="Q21" s="20">
        <f>IF(N21="","",IF(N21&gt;=Нэгтгэл!$K$4,"Хангалттай эзэмшиж байна",IF(N21&gt;=Нэгтгэл!$K$5,"Ахиж байна","Хөгжиж байна")))</f>
        <v/>
      </c>
    </row>
    <row r="22" ht="16" customHeight="1">
      <c r="A22" s="12" t="n">
        <v>16</v>
      </c>
      <c r="B22" s="12">
        <f>IF(Нэгтгэл!B22="","",Нэгтгэл!B22)</f>
        <v/>
      </c>
      <c r="C22" s="4" t="n"/>
      <c r="D22" s="13" t="n">
        <v>1</v>
      </c>
      <c r="E22" s="13" t="n">
        <v>1</v>
      </c>
      <c r="F22" s="13" t="n">
        <v>1</v>
      </c>
      <c r="G22" s="13" t="n">
        <v>0</v>
      </c>
      <c r="H22" s="13" t="n">
        <v>1</v>
      </c>
      <c r="I22" s="13" t="n">
        <v>1</v>
      </c>
      <c r="J22" s="13" t="n">
        <v>1</v>
      </c>
      <c r="K22" s="13" t="n">
        <v>1</v>
      </c>
      <c r="L22" s="13" t="n">
        <v>0</v>
      </c>
      <c r="M22" s="12">
        <f>COUNTIF(D22:L22,1)</f>
        <v/>
      </c>
      <c r="N22" s="12">
        <f>IF(COUNT(D22:L22)=0,"",ROUND(M22/9*100,1))</f>
        <v/>
      </c>
      <c r="O22" s="12">
        <f>COUNTIF(D22:L22,0)</f>
        <v/>
      </c>
      <c r="P22" s="12">
        <f>IF(COUNT(D22:L22)=0,"",ROUND(O22/9*100,1))</f>
        <v/>
      </c>
      <c r="Q22" s="20">
        <f>IF(N22="","",IF(N22&gt;=Нэгтгэл!$K$4,"Хангалттай эзэмшиж байна",IF(N22&gt;=Нэгтгэл!$K$5,"Ахиж байна","Хөгжиж байна")))</f>
        <v/>
      </c>
    </row>
    <row r="23" ht="16" customHeight="1">
      <c r="A23" s="12" t="n">
        <v>17</v>
      </c>
      <c r="B23" s="12">
        <f>IF(Нэгтгэл!B23="","",Нэгтгэл!B23)</f>
        <v/>
      </c>
      <c r="C23" s="4" t="n"/>
      <c r="D23" s="13" t="n">
        <v>1</v>
      </c>
      <c r="E23" s="13" t="n">
        <v>1</v>
      </c>
      <c r="F23" s="13" t="n">
        <v>1</v>
      </c>
      <c r="G23" s="13" t="n">
        <v>0</v>
      </c>
      <c r="H23" s="13" t="n">
        <v>1</v>
      </c>
      <c r="I23" s="13" t="n">
        <v>1</v>
      </c>
      <c r="J23" s="13" t="n">
        <v>1</v>
      </c>
      <c r="K23" s="13" t="n">
        <v>1</v>
      </c>
      <c r="L23" s="13" t="n">
        <v>1</v>
      </c>
      <c r="M23" s="12">
        <f>COUNTIF(D23:L23,1)</f>
        <v/>
      </c>
      <c r="N23" s="12">
        <f>IF(COUNT(D23:L23)=0,"",ROUND(M23/9*100,1))</f>
        <v/>
      </c>
      <c r="O23" s="12">
        <f>COUNTIF(D23:L23,0)</f>
        <v/>
      </c>
      <c r="P23" s="12">
        <f>IF(COUNT(D23:L23)=0,"",ROUND(O23/9*100,1))</f>
        <v/>
      </c>
      <c r="Q23" s="20">
        <f>IF(N23="","",IF(N23&gt;=Нэгтгэл!$K$4,"Хангалттай эзэмшиж байна",IF(N23&gt;=Нэгтгэл!$K$5,"Ахиж байна","Хөгжиж байна")))</f>
        <v/>
      </c>
    </row>
    <row r="24" ht="16" customHeight="1">
      <c r="A24" s="12" t="n">
        <v>18</v>
      </c>
      <c r="B24" s="12">
        <f>IF(Нэгтгэл!B24="","",Нэгтгэл!B24)</f>
        <v/>
      </c>
      <c r="C24" s="4" t="n"/>
      <c r="D24" s="13" t="n">
        <v>1</v>
      </c>
      <c r="E24" s="13" t="n">
        <v>1</v>
      </c>
      <c r="F24" s="13" t="n">
        <v>1</v>
      </c>
      <c r="G24" s="13" t="n">
        <v>1</v>
      </c>
      <c r="H24" s="13" t="n">
        <v>1</v>
      </c>
      <c r="I24" s="13" t="n">
        <v>1</v>
      </c>
      <c r="J24" s="13" t="n">
        <v>0</v>
      </c>
      <c r="K24" s="13" t="n">
        <v>0</v>
      </c>
      <c r="L24" s="13" t="n">
        <v>0</v>
      </c>
      <c r="M24" s="12">
        <f>COUNTIF(D24:L24,1)</f>
        <v/>
      </c>
      <c r="N24" s="12">
        <f>IF(COUNT(D24:L24)=0,"",ROUND(M24/9*100,1))</f>
        <v/>
      </c>
      <c r="O24" s="12">
        <f>COUNTIF(D24:L24,0)</f>
        <v/>
      </c>
      <c r="P24" s="12">
        <f>IF(COUNT(D24:L24)=0,"",ROUND(O24/9*100,1))</f>
        <v/>
      </c>
      <c r="Q24" s="20">
        <f>IF(N24="","",IF(N24&gt;=Нэгтгэл!$K$4,"Хангалттай эзэмшиж байна",IF(N24&gt;=Нэгтгэл!$K$5,"Ахиж байна","Хөгжиж байна")))</f>
        <v/>
      </c>
    </row>
    <row r="25" ht="16" customHeight="1">
      <c r="A25" s="12" t="n">
        <v>19</v>
      </c>
      <c r="B25" s="12">
        <f>IF(Нэгтгэл!B25="","",Нэгтгэл!B25)</f>
        <v/>
      </c>
      <c r="C25" s="4" t="n"/>
      <c r="D25" s="13" t="n">
        <v>1</v>
      </c>
      <c r="E25" s="13" t="n">
        <v>1</v>
      </c>
      <c r="F25" s="13" t="n">
        <v>1</v>
      </c>
      <c r="G25" s="13" t="n">
        <v>1</v>
      </c>
      <c r="H25" s="13" t="n">
        <v>1</v>
      </c>
      <c r="I25" s="13" t="n">
        <v>1</v>
      </c>
      <c r="J25" s="13" t="n">
        <v>1</v>
      </c>
      <c r="K25" s="13" t="n">
        <v>1</v>
      </c>
      <c r="L25" s="13" t="n">
        <v>1</v>
      </c>
      <c r="M25" s="12">
        <f>COUNTIF(D25:L25,1)</f>
        <v/>
      </c>
      <c r="N25" s="12">
        <f>IF(COUNT(D25:L25)=0,"",ROUND(M25/9*100,1))</f>
        <v/>
      </c>
      <c r="O25" s="12">
        <f>COUNTIF(D25:L25,0)</f>
        <v/>
      </c>
      <c r="P25" s="12">
        <f>IF(COUNT(D25:L25)=0,"",ROUND(O25/9*100,1))</f>
        <v/>
      </c>
      <c r="Q25" s="20">
        <f>IF(N25="","",IF(N25&gt;=Нэгтгэл!$K$4,"Хангалттай эзэмшиж байна",IF(N25&gt;=Нэгтгэл!$K$5,"Ахиж байна","Хөгжиж байна")))</f>
        <v/>
      </c>
    </row>
    <row r="26" ht="16" customHeight="1">
      <c r="A26" s="12" t="n">
        <v>20</v>
      </c>
      <c r="B26" s="12">
        <f>IF(Нэгтгэл!B26="","",Нэгтгэл!B26)</f>
        <v/>
      </c>
      <c r="C26" s="4" t="n"/>
      <c r="D26" s="13" t="n">
        <v>1</v>
      </c>
      <c r="E26" s="13" t="n">
        <v>0</v>
      </c>
      <c r="F26" s="13" t="n">
        <v>1</v>
      </c>
      <c r="G26" s="13" t="n">
        <v>1</v>
      </c>
      <c r="H26" s="13" t="n">
        <v>0</v>
      </c>
      <c r="I26" s="13" t="n">
        <v>1</v>
      </c>
      <c r="J26" s="13" t="n">
        <v>0</v>
      </c>
      <c r="K26" s="13" t="n">
        <v>1</v>
      </c>
      <c r="L26" s="13" t="n">
        <v>0</v>
      </c>
      <c r="M26" s="12">
        <f>COUNTIF(D26:L26,1)</f>
        <v/>
      </c>
      <c r="N26" s="12">
        <f>IF(COUNT(D26:L26)=0,"",ROUND(M26/9*100,1))</f>
        <v/>
      </c>
      <c r="O26" s="12">
        <f>COUNTIF(D26:L26,0)</f>
        <v/>
      </c>
      <c r="P26" s="12">
        <f>IF(COUNT(D26:L26)=0,"",ROUND(O26/9*100,1))</f>
        <v/>
      </c>
      <c r="Q26" s="20">
        <f>IF(N26="","",IF(N26&gt;=Нэгтгэл!$K$4,"Хангалттай эзэмшиж байна",IF(N26&gt;=Нэгтгэл!$K$5,"Ахиж байна","Хөгжиж байна")))</f>
        <v/>
      </c>
    </row>
    <row r="27" ht="16" customHeight="1">
      <c r="A27" s="12" t="n">
        <v>21</v>
      </c>
      <c r="B27" s="12">
        <f>IF(Нэгтгэл!B27="","",Нэгтгэл!B27)</f>
        <v/>
      </c>
      <c r="C27" s="4" t="n"/>
      <c r="D27" s="13" t="n">
        <v>1</v>
      </c>
      <c r="E27" s="13" t="n">
        <v>1</v>
      </c>
      <c r="F27" s="13" t="n">
        <v>1</v>
      </c>
      <c r="G27" s="13" t="n">
        <v>1</v>
      </c>
      <c r="H27" s="13" t="n">
        <v>1</v>
      </c>
      <c r="I27" s="13" t="n">
        <v>1</v>
      </c>
      <c r="J27" s="13" t="n">
        <v>1</v>
      </c>
      <c r="K27" s="13" t="n">
        <v>1</v>
      </c>
      <c r="L27" s="13" t="n">
        <v>1</v>
      </c>
      <c r="M27" s="12">
        <f>COUNTIF(D27:L27,1)</f>
        <v/>
      </c>
      <c r="N27" s="12">
        <f>IF(COUNT(D27:L27)=0,"",ROUND(M27/9*100,1))</f>
        <v/>
      </c>
      <c r="O27" s="12">
        <f>COUNTIF(D27:L27,0)</f>
        <v/>
      </c>
      <c r="P27" s="12">
        <f>IF(COUNT(D27:L27)=0,"",ROUND(O27/9*100,1))</f>
        <v/>
      </c>
      <c r="Q27" s="20">
        <f>IF(N27="","",IF(N27&gt;=Нэгтгэл!$K$4,"Хангалттай эзэмшиж байна",IF(N27&gt;=Нэгтгэл!$K$5,"Ахиж байна","Хөгжиж байна")))</f>
        <v/>
      </c>
    </row>
    <row r="28" ht="16" customHeight="1">
      <c r="A28" s="12" t="n">
        <v>22</v>
      </c>
      <c r="B28" s="12">
        <f>IF(Нэгтгэл!B28="","",Нэгтгэл!B28)</f>
        <v/>
      </c>
      <c r="C28" s="4" t="n"/>
      <c r="D28" s="13" t="n">
        <v>1</v>
      </c>
      <c r="E28" s="13" t="n">
        <v>0</v>
      </c>
      <c r="F28" s="13" t="n">
        <v>1</v>
      </c>
      <c r="G28" s="13" t="n">
        <v>1</v>
      </c>
      <c r="H28" s="13" t="n">
        <v>1</v>
      </c>
      <c r="I28" s="13" t="n">
        <v>1</v>
      </c>
      <c r="J28" s="13" t="n">
        <v>1</v>
      </c>
      <c r="K28" s="13" t="n">
        <v>1</v>
      </c>
      <c r="L28" s="13" t="n">
        <v>1</v>
      </c>
      <c r="M28" s="12">
        <f>COUNTIF(D28:L28,1)</f>
        <v/>
      </c>
      <c r="N28" s="12">
        <f>IF(COUNT(D28:L28)=0,"",ROUND(M28/9*100,1))</f>
        <v/>
      </c>
      <c r="O28" s="12">
        <f>COUNTIF(D28:L28,0)</f>
        <v/>
      </c>
      <c r="P28" s="12">
        <f>IF(COUNT(D28:L28)=0,"",ROUND(O28/9*100,1))</f>
        <v/>
      </c>
      <c r="Q28" s="20">
        <f>IF(N28="","",IF(N28&gt;=Нэгтгэл!$K$4,"Хангалттай эзэмшиж байна",IF(N28&gt;=Нэгтгэл!$K$5,"Ахиж байна","Хөгжиж байна")))</f>
        <v/>
      </c>
    </row>
    <row r="29" ht="16" customHeight="1">
      <c r="A29" s="12" t="n">
        <v>23</v>
      </c>
      <c r="B29" s="12">
        <f>IF(Нэгтгэл!B29="","",Нэгтгэл!B29)</f>
        <v/>
      </c>
      <c r="C29" s="4" t="n"/>
      <c r="D29" s="13" t="n">
        <v>0</v>
      </c>
      <c r="E29" s="13" t="n">
        <v>0</v>
      </c>
      <c r="F29" s="13" t="n">
        <v>0</v>
      </c>
      <c r="G29" s="13" t="n">
        <v>1</v>
      </c>
      <c r="H29" s="13" t="n">
        <v>0</v>
      </c>
      <c r="I29" s="13" t="n">
        <v>0</v>
      </c>
      <c r="J29" s="13" t="n">
        <v>1</v>
      </c>
      <c r="K29" s="13" t="n">
        <v>0</v>
      </c>
      <c r="L29" s="13" t="n">
        <v>1</v>
      </c>
      <c r="M29" s="12">
        <f>COUNTIF(D29:L29,1)</f>
        <v/>
      </c>
      <c r="N29" s="12">
        <f>IF(COUNT(D29:L29)=0,"",ROUND(M29/9*100,1))</f>
        <v/>
      </c>
      <c r="O29" s="12">
        <f>COUNTIF(D29:L29,0)</f>
        <v/>
      </c>
      <c r="P29" s="12">
        <f>IF(COUNT(D29:L29)=0,"",ROUND(O29/9*100,1))</f>
        <v/>
      </c>
      <c r="Q29" s="20">
        <f>IF(N29="","",IF(N29&gt;=Нэгтгэл!$K$4,"Хангалттай эзэмшиж байна",IF(N29&gt;=Нэгтгэл!$K$5,"Ахиж байна","Хөгжиж байна")))</f>
        <v/>
      </c>
    </row>
    <row r="30" ht="16" customHeight="1">
      <c r="A30" s="12" t="n">
        <v>24</v>
      </c>
      <c r="B30" s="12">
        <f>IF(Нэгтгэл!B30="","",Нэгтгэл!B30)</f>
        <v/>
      </c>
      <c r="C30" s="4" t="n"/>
      <c r="D30" s="13" t="n">
        <v>1</v>
      </c>
      <c r="E30" s="13" t="n">
        <v>0</v>
      </c>
      <c r="F30" s="13" t="n">
        <v>1</v>
      </c>
      <c r="G30" s="13" t="n">
        <v>1</v>
      </c>
      <c r="H30" s="13" t="n">
        <v>0</v>
      </c>
      <c r="I30" s="13" t="n">
        <v>1</v>
      </c>
      <c r="J30" s="13" t="n">
        <v>0</v>
      </c>
      <c r="K30" s="13" t="n">
        <v>0</v>
      </c>
      <c r="L30" s="13" t="n">
        <v>1</v>
      </c>
      <c r="M30" s="12">
        <f>COUNTIF(D30:L30,1)</f>
        <v/>
      </c>
      <c r="N30" s="12">
        <f>IF(COUNT(D30:L30)=0,"",ROUND(M30/9*100,1))</f>
        <v/>
      </c>
      <c r="O30" s="12">
        <f>COUNTIF(D30:L30,0)</f>
        <v/>
      </c>
      <c r="P30" s="12">
        <f>IF(COUNT(D30:L30)=0,"",ROUND(O30/9*100,1))</f>
        <v/>
      </c>
      <c r="Q30" s="20">
        <f>IF(N30="","",IF(N30&gt;=Нэгтгэл!$K$4,"Хангалттай эзэмшиж байна",IF(N30&gt;=Нэгтгэл!$K$5,"Ахиж байна","Хөгжиж байна")))</f>
        <v/>
      </c>
    </row>
    <row r="31" ht="16" customHeight="1">
      <c r="A31" s="12" t="n">
        <v>25</v>
      </c>
      <c r="B31" s="12">
        <f>IF(Нэгтгэл!B31="","",Нэгтгэл!B31)</f>
        <v/>
      </c>
      <c r="C31" s="4" t="n"/>
      <c r="D31" s="13" t="n">
        <v>0</v>
      </c>
      <c r="E31" s="13" t="n">
        <v>1</v>
      </c>
      <c r="F31" s="13" t="n">
        <v>1</v>
      </c>
      <c r="G31" s="13" t="n">
        <v>1</v>
      </c>
      <c r="H31" s="13" t="n">
        <v>0</v>
      </c>
      <c r="I31" s="13" t="n">
        <v>0</v>
      </c>
      <c r="J31" s="13" t="n">
        <v>1</v>
      </c>
      <c r="K31" s="13" t="n">
        <v>1</v>
      </c>
      <c r="L31" s="13" t="n">
        <v>1</v>
      </c>
      <c r="M31" s="12">
        <f>COUNTIF(D31:L31,1)</f>
        <v/>
      </c>
      <c r="N31" s="12">
        <f>IF(COUNT(D31:L31)=0,"",ROUND(M31/9*100,1))</f>
        <v/>
      </c>
      <c r="O31" s="12">
        <f>COUNTIF(D31:L31,0)</f>
        <v/>
      </c>
      <c r="P31" s="12">
        <f>IF(COUNT(D31:L31)=0,"",ROUND(O31/9*100,1))</f>
        <v/>
      </c>
      <c r="Q31" s="20">
        <f>IF(N31="","",IF(N31&gt;=Нэгтгэл!$K$4,"Хангалттай эзэмшиж байна",IF(N31&gt;=Нэгтгэл!$K$5,"Ахиж байна","Хөгжиж байна")))</f>
        <v/>
      </c>
    </row>
    <row r="32" ht="16" customHeight="1">
      <c r="A32" s="12" t="n">
        <v>26</v>
      </c>
      <c r="B32" s="12">
        <f>IF(Нэгтгэл!B32="","",Нэгтгэл!B32)</f>
        <v/>
      </c>
      <c r="C32" s="4" t="n"/>
      <c r="D32" s="13" t="n">
        <v>1</v>
      </c>
      <c r="E32" s="13" t="n">
        <v>0</v>
      </c>
      <c r="F32" s="13" t="n">
        <v>1</v>
      </c>
      <c r="G32" s="13" t="n">
        <v>1</v>
      </c>
      <c r="H32" s="13" t="n">
        <v>0</v>
      </c>
      <c r="I32" s="13" t="n">
        <v>1</v>
      </c>
      <c r="J32" s="13" t="n">
        <v>0</v>
      </c>
      <c r="K32" s="13" t="n">
        <v>1</v>
      </c>
      <c r="L32" s="13" t="n">
        <v>1</v>
      </c>
      <c r="M32" s="12">
        <f>COUNTIF(D32:L32,1)</f>
        <v/>
      </c>
      <c r="N32" s="12">
        <f>IF(COUNT(D32:L32)=0,"",ROUND(M32/9*100,1))</f>
        <v/>
      </c>
      <c r="O32" s="12">
        <f>COUNTIF(D32:L32,0)</f>
        <v/>
      </c>
      <c r="P32" s="12">
        <f>IF(COUNT(D32:L32)=0,"",ROUND(O32/9*100,1))</f>
        <v/>
      </c>
      <c r="Q32" s="20">
        <f>IF(N32="","",IF(N32&gt;=Нэгтгэл!$K$4,"Хангалттай эзэмшиж байна",IF(N32&gt;=Нэгтгэл!$K$5,"Ахиж байна","Хөгжиж байна")))</f>
        <v/>
      </c>
    </row>
    <row r="33" ht="16" customHeight="1">
      <c r="A33" s="12" t="n">
        <v>27</v>
      </c>
      <c r="B33" s="12">
        <f>IF(Нэгтгэл!B33="","",Нэгтгэл!B33)</f>
        <v/>
      </c>
      <c r="C33" s="4" t="n"/>
      <c r="D33" s="13" t="n">
        <v>1</v>
      </c>
      <c r="E33" s="13" t="n">
        <v>1</v>
      </c>
      <c r="F33" s="13" t="n">
        <v>1</v>
      </c>
      <c r="G33" s="13" t="n">
        <v>0</v>
      </c>
      <c r="H33" s="13" t="n">
        <v>0</v>
      </c>
      <c r="I33" s="13" t="n">
        <v>1</v>
      </c>
      <c r="J33" s="13" t="n">
        <v>1</v>
      </c>
      <c r="K33" s="13" t="n">
        <v>1</v>
      </c>
      <c r="L33" s="13" t="n">
        <v>1</v>
      </c>
      <c r="M33" s="12">
        <f>COUNTIF(D33:L33,1)</f>
        <v/>
      </c>
      <c r="N33" s="12">
        <f>IF(COUNT(D33:L33)=0,"",ROUND(M33/9*100,1))</f>
        <v/>
      </c>
      <c r="O33" s="12">
        <f>COUNTIF(D33:L33,0)</f>
        <v/>
      </c>
      <c r="P33" s="12">
        <f>IF(COUNT(D33:L33)=0,"",ROUND(O33/9*100,1))</f>
        <v/>
      </c>
      <c r="Q33" s="20">
        <f>IF(N33="","",IF(N33&gt;=Нэгтгэл!$K$4,"Хангалттай эзэмшиж байна",IF(N33&gt;=Нэгтгэл!$K$5,"Ахиж байна","Хөгжиж байна")))</f>
        <v/>
      </c>
    </row>
    <row r="34" ht="16" customHeight="1">
      <c r="A34" s="12" t="n">
        <v>28</v>
      </c>
      <c r="B34" s="12">
        <f>IF(Нэгтгэл!B34="","",Нэгтгэл!B34)</f>
        <v/>
      </c>
      <c r="C34" s="4" t="n"/>
      <c r="D34" s="13" t="n">
        <v>1</v>
      </c>
      <c r="E34" s="13" t="n">
        <v>0</v>
      </c>
      <c r="F34" s="13" t="n">
        <v>1</v>
      </c>
      <c r="G34" s="13" t="n">
        <v>1</v>
      </c>
      <c r="H34" s="13" t="n">
        <v>0</v>
      </c>
      <c r="I34" s="13" t="n">
        <v>0</v>
      </c>
      <c r="J34" s="13" t="n">
        <v>1</v>
      </c>
      <c r="K34" s="13" t="n">
        <v>0</v>
      </c>
      <c r="L34" s="13" t="n">
        <v>1</v>
      </c>
      <c r="M34" s="12">
        <f>COUNTIF(D34:L34,1)</f>
        <v/>
      </c>
      <c r="N34" s="12">
        <f>IF(COUNT(D34:L34)=0,"",ROUND(M34/9*100,1))</f>
        <v/>
      </c>
      <c r="O34" s="12">
        <f>COUNTIF(D34:L34,0)</f>
        <v/>
      </c>
      <c r="P34" s="12">
        <f>IF(COUNT(D34:L34)=0,"",ROUND(O34/9*100,1))</f>
        <v/>
      </c>
      <c r="Q34" s="20">
        <f>IF(N34="","",IF(N34&gt;=Нэгтгэл!$K$4,"Хангалттай эзэмшиж байна",IF(N34&gt;=Нэгтгэл!$K$5,"Ахиж байна","Хөгжиж байна")))</f>
        <v/>
      </c>
    </row>
    <row r="35" ht="16" customHeight="1">
      <c r="A35" s="12" t="n">
        <v>29</v>
      </c>
      <c r="B35" s="12">
        <f>IF(Нэгтгэл!B35="","",Нэгтгэл!B35)</f>
        <v/>
      </c>
      <c r="C35" s="4" t="n"/>
      <c r="D35" s="13" t="n">
        <v>1</v>
      </c>
      <c r="E35" s="13" t="n">
        <v>0</v>
      </c>
      <c r="F35" s="13" t="n">
        <v>1</v>
      </c>
      <c r="G35" s="13" t="n">
        <v>0</v>
      </c>
      <c r="H35" s="13" t="n">
        <v>1</v>
      </c>
      <c r="I35" s="13" t="n">
        <v>1</v>
      </c>
      <c r="J35" s="13" t="n">
        <v>0</v>
      </c>
      <c r="K35" s="13" t="n">
        <v>1</v>
      </c>
      <c r="L35" s="13" t="n">
        <v>0</v>
      </c>
      <c r="M35" s="12">
        <f>COUNTIF(D35:L35,1)</f>
        <v/>
      </c>
      <c r="N35" s="12">
        <f>IF(COUNT(D35:L35)=0,"",ROUND(M35/9*100,1))</f>
        <v/>
      </c>
      <c r="O35" s="12">
        <f>COUNTIF(D35:L35,0)</f>
        <v/>
      </c>
      <c r="P35" s="12">
        <f>IF(COUNT(D35:L35)=0,"",ROUND(O35/9*100,1))</f>
        <v/>
      </c>
      <c r="Q35" s="20">
        <f>IF(N35="","",IF(N35&gt;=Нэгтгэл!$K$4,"Хангалттай эзэмшиж байна",IF(N35&gt;=Нэгтгэл!$K$5,"Ахиж байна","Хөгжиж байна")))</f>
        <v/>
      </c>
    </row>
    <row r="36" ht="16" customHeight="1">
      <c r="A36" s="12" t="n">
        <v>30</v>
      </c>
      <c r="B36" s="12">
        <f>IF(Нэгтгэл!B36="","",Нэгтгэл!B36)</f>
        <v/>
      </c>
      <c r="C36" s="4" t="n"/>
      <c r="D36" s="13" t="n">
        <v>0</v>
      </c>
      <c r="E36" s="13" t="n">
        <v>0</v>
      </c>
      <c r="F36" s="13" t="n">
        <v>1</v>
      </c>
      <c r="G36" s="13" t="n">
        <v>0</v>
      </c>
      <c r="H36" s="13" t="n">
        <v>1</v>
      </c>
      <c r="I36" s="13" t="n">
        <v>0</v>
      </c>
      <c r="J36" s="13" t="n">
        <v>1</v>
      </c>
      <c r="K36" s="13" t="n">
        <v>1</v>
      </c>
      <c r="L36" s="13" t="n">
        <v>0</v>
      </c>
      <c r="M36" s="12">
        <f>COUNTIF(D36:L36,1)</f>
        <v/>
      </c>
      <c r="N36" s="12">
        <f>IF(COUNT(D36:L36)=0,"",ROUND(M36/9*100,1))</f>
        <v/>
      </c>
      <c r="O36" s="12">
        <f>COUNTIF(D36:L36,0)</f>
        <v/>
      </c>
      <c r="P36" s="12">
        <f>IF(COUNT(D36:L36)=0,"",ROUND(O36/9*100,1))</f>
        <v/>
      </c>
      <c r="Q36" s="20">
        <f>IF(N36="","",IF(N36&gt;=Нэгтгэл!$K$4,"Хангалттай эзэмшиж байна",IF(N36&gt;=Нэгтгэл!$K$5,"Ахиж байна","Хөгжиж байна")))</f>
        <v/>
      </c>
    </row>
    <row r="37" ht="16" customHeight="1">
      <c r="A37" s="12" t="n">
        <v>31</v>
      </c>
      <c r="B37" s="12">
        <f>IF(Нэгтгэл!B37="","",Нэгтгэл!B37)</f>
        <v/>
      </c>
      <c r="C37" s="4" t="n"/>
      <c r="D37" s="13" t="n">
        <v>0</v>
      </c>
      <c r="E37" s="13" t="n">
        <v>1</v>
      </c>
      <c r="F37" s="13" t="n">
        <v>0</v>
      </c>
      <c r="G37" s="13" t="n">
        <v>1</v>
      </c>
      <c r="H37" s="13" t="n">
        <v>0</v>
      </c>
      <c r="I37" s="13" t="n">
        <v>0</v>
      </c>
      <c r="J37" s="13" t="n">
        <v>1</v>
      </c>
      <c r="K37" s="13" t="n">
        <v>1</v>
      </c>
      <c r="L37" s="13" t="n">
        <v>1</v>
      </c>
      <c r="M37" s="12">
        <f>COUNTIF(D37:L37,1)</f>
        <v/>
      </c>
      <c r="N37" s="12">
        <f>IF(COUNT(D37:L37)=0,"",ROUND(M37/9*100,1))</f>
        <v/>
      </c>
      <c r="O37" s="12">
        <f>COUNTIF(D37:L37,0)</f>
        <v/>
      </c>
      <c r="P37" s="12">
        <f>IF(COUNT(D37:L37)=0,"",ROUND(O37/9*100,1))</f>
        <v/>
      </c>
      <c r="Q37" s="20">
        <f>IF(N37="","",IF(N37&gt;=Нэгтгэл!$K$4,"Хангалттай эзэмшиж байна",IF(N37&gt;=Нэгтгэл!$K$5,"Ахиж байна","Хөгжиж байна")))</f>
        <v/>
      </c>
    </row>
    <row r="38" ht="16" customHeight="1">
      <c r="A38" s="12" t="n">
        <v>32</v>
      </c>
      <c r="B38" s="12">
        <f>IF(Нэгтгэл!B38="","",Нэгтгэл!B38)</f>
        <v/>
      </c>
      <c r="C38" s="4" t="n"/>
      <c r="D38" s="13" t="n">
        <v>1</v>
      </c>
      <c r="E38" s="13" t="n">
        <v>1</v>
      </c>
      <c r="F38" s="13" t="n">
        <v>1</v>
      </c>
      <c r="G38" s="13" t="n">
        <v>1</v>
      </c>
      <c r="H38" s="13" t="n">
        <v>0</v>
      </c>
      <c r="I38" s="13" t="n">
        <v>1</v>
      </c>
      <c r="J38" s="13" t="n">
        <v>1</v>
      </c>
      <c r="K38" s="13" t="n">
        <v>1</v>
      </c>
      <c r="L38" s="13" t="n">
        <v>0</v>
      </c>
      <c r="M38" s="12">
        <f>COUNTIF(D38:L38,1)</f>
        <v/>
      </c>
      <c r="N38" s="12">
        <f>IF(COUNT(D38:L38)=0,"",ROUND(M38/9*100,1))</f>
        <v/>
      </c>
      <c r="O38" s="12">
        <f>COUNTIF(D38:L38,0)</f>
        <v/>
      </c>
      <c r="P38" s="12">
        <f>IF(COUNT(D38:L38)=0,"",ROUND(O38/9*100,1))</f>
        <v/>
      </c>
      <c r="Q38" s="20">
        <f>IF(N38="","",IF(N38&gt;=Нэгтгэл!$K$4,"Хангалттай эзэмшиж байна",IF(N38&gt;=Нэгтгэл!$K$5,"Ахиж байна","Хөгжиж байна")))</f>
        <v/>
      </c>
    </row>
    <row r="39" ht="16" customHeight="1">
      <c r="A39" s="12" t="n">
        <v>33</v>
      </c>
      <c r="B39" s="12">
        <f>IF(Нэгтгэл!B39="","",Нэгтгэл!B39)</f>
        <v/>
      </c>
      <c r="C39" s="4" t="n"/>
      <c r="D39" s="13" t="n">
        <v>1</v>
      </c>
      <c r="E39" s="13" t="n">
        <v>1</v>
      </c>
      <c r="F39" s="13" t="n">
        <v>1</v>
      </c>
      <c r="G39" s="13" t="n">
        <v>0</v>
      </c>
      <c r="H39" s="13" t="n">
        <v>1</v>
      </c>
      <c r="I39" s="13" t="n">
        <v>1</v>
      </c>
      <c r="J39" s="13" t="n">
        <v>1</v>
      </c>
      <c r="K39" s="13" t="n">
        <v>1</v>
      </c>
      <c r="L39" s="13" t="n">
        <v>1</v>
      </c>
      <c r="M39" s="12">
        <f>COUNTIF(D39:L39,1)</f>
        <v/>
      </c>
      <c r="N39" s="12">
        <f>IF(COUNT(D39:L39)=0,"",ROUND(M39/9*100,1))</f>
        <v/>
      </c>
      <c r="O39" s="12">
        <f>COUNTIF(D39:L39,0)</f>
        <v/>
      </c>
      <c r="P39" s="12">
        <f>IF(COUNT(D39:L39)=0,"",ROUND(O39/9*100,1))</f>
        <v/>
      </c>
      <c r="Q39" s="20">
        <f>IF(N39="","",IF(N39&gt;=Нэгтгэл!$K$4,"Хангалттай эзэмшиж байна",IF(N39&gt;=Нэгтгэл!$K$5,"Ахиж байна","Хөгжиж байна")))</f>
        <v/>
      </c>
    </row>
    <row r="40" ht="16" customHeight="1">
      <c r="A40" s="12" t="n">
        <v>34</v>
      </c>
      <c r="B40" s="12">
        <f>IF(Нэгтгэл!B40="","",Нэгтгэл!B40)</f>
        <v/>
      </c>
      <c r="C40" s="4" t="n"/>
      <c r="D40" s="13" t="n">
        <v>1</v>
      </c>
      <c r="E40" s="13" t="n">
        <v>0</v>
      </c>
      <c r="F40" s="13" t="n">
        <v>1</v>
      </c>
      <c r="G40" s="13" t="n">
        <v>1</v>
      </c>
      <c r="H40" s="13" t="n">
        <v>1</v>
      </c>
      <c r="I40" s="13" t="n">
        <v>1</v>
      </c>
      <c r="J40" s="13" t="n">
        <v>0</v>
      </c>
      <c r="K40" s="13" t="n">
        <v>1</v>
      </c>
      <c r="L40" s="13" t="n">
        <v>1</v>
      </c>
      <c r="M40" s="12">
        <f>COUNTIF(D40:L40,1)</f>
        <v/>
      </c>
      <c r="N40" s="12">
        <f>IF(COUNT(D40:L40)=0,"",ROUND(M40/9*100,1))</f>
        <v/>
      </c>
      <c r="O40" s="12">
        <f>COUNTIF(D40:L40,0)</f>
        <v/>
      </c>
      <c r="P40" s="12">
        <f>IF(COUNT(D40:L40)=0,"",ROUND(O40/9*100,1))</f>
        <v/>
      </c>
      <c r="Q40" s="20">
        <f>IF(N40="","",IF(N40&gt;=Нэгтгэл!$K$4,"Хангалттай эзэмшиж байна",IF(N40&gt;=Нэгтгэл!$K$5,"Ахиж байна","Хөгжиж байна")))</f>
        <v/>
      </c>
    </row>
    <row r="41" ht="16" customHeight="1">
      <c r="A41" s="12" t="n">
        <v>35</v>
      </c>
      <c r="B41" s="12">
        <f>IF(Нэгтгэл!B41="","",Нэгтгэл!B41)</f>
        <v/>
      </c>
      <c r="C41" s="4" t="n"/>
      <c r="D41" s="13" t="n">
        <v>1</v>
      </c>
      <c r="E41" s="13" t="n">
        <v>1</v>
      </c>
      <c r="F41" s="13" t="n">
        <v>1</v>
      </c>
      <c r="G41" s="13" t="n">
        <v>1</v>
      </c>
      <c r="H41" s="13" t="n">
        <v>1</v>
      </c>
      <c r="I41" s="13" t="n">
        <v>0</v>
      </c>
      <c r="J41" s="13" t="n">
        <v>1</v>
      </c>
      <c r="K41" s="13" t="n">
        <v>1</v>
      </c>
      <c r="L41" s="13" t="n">
        <v>1</v>
      </c>
      <c r="M41" s="12">
        <f>COUNTIF(D41:L41,1)</f>
        <v/>
      </c>
      <c r="N41" s="12">
        <f>IF(COUNT(D41:L41)=0,"",ROUND(M41/9*100,1))</f>
        <v/>
      </c>
      <c r="O41" s="12">
        <f>COUNTIF(D41:L41,0)</f>
        <v/>
      </c>
      <c r="P41" s="12">
        <f>IF(COUNT(D41:L41)=0,"",ROUND(O41/9*100,1))</f>
        <v/>
      </c>
      <c r="Q41" s="20">
        <f>IF(N41="","",IF(N41&gt;=Нэгтгэл!$K$4,"Хангалттай эзэмшиж байна",IF(N41&gt;=Нэгтгэл!$K$5,"Ахиж байна","Хөгжиж байна")))</f>
        <v/>
      </c>
    </row>
    <row r="42" ht="16" customHeight="1">
      <c r="A42" s="12" t="n">
        <v>36</v>
      </c>
      <c r="B42" s="12">
        <f>IF(Нэгтгэл!B42="","",Нэгтгэл!B42)</f>
        <v/>
      </c>
      <c r="C42" s="4" t="n"/>
      <c r="D42" s="13" t="n">
        <v>0</v>
      </c>
      <c r="E42" s="13" t="n">
        <v>1</v>
      </c>
      <c r="F42" s="13" t="n">
        <v>1</v>
      </c>
      <c r="G42" s="13" t="n">
        <v>1</v>
      </c>
      <c r="H42" s="13" t="n">
        <v>1</v>
      </c>
      <c r="I42" s="13" t="n">
        <v>1</v>
      </c>
      <c r="J42" s="13" t="n">
        <v>1</v>
      </c>
      <c r="K42" s="13" t="n">
        <v>0</v>
      </c>
      <c r="L42" s="13" t="n">
        <v>1</v>
      </c>
      <c r="M42" s="12">
        <f>COUNTIF(D42:L42,1)</f>
        <v/>
      </c>
      <c r="N42" s="12">
        <f>IF(COUNT(D42:L42)=0,"",ROUND(M42/9*100,1))</f>
        <v/>
      </c>
      <c r="O42" s="12">
        <f>COUNTIF(D42:L42,0)</f>
        <v/>
      </c>
      <c r="P42" s="12">
        <f>IF(COUNT(D42:L42)=0,"",ROUND(O42/9*100,1))</f>
        <v/>
      </c>
      <c r="Q42" s="20">
        <f>IF(N42="","",IF(N42&gt;=Нэгтгэл!$K$4,"Хангалттай эзэмшиж байна",IF(N42&gt;=Нэгтгэл!$K$5,"Ахиж байна","Хөгжиж байна")))</f>
        <v/>
      </c>
    </row>
    <row r="43" ht="16" customHeight="1">
      <c r="A43" s="12" t="n">
        <v>37</v>
      </c>
      <c r="B43" s="12">
        <f>IF(Нэгтгэл!B43="","",Нэгтгэл!B43)</f>
        <v/>
      </c>
      <c r="C43" s="4" t="n"/>
      <c r="D43" s="13" t="n">
        <v>0</v>
      </c>
      <c r="E43" s="13" t="n">
        <v>1</v>
      </c>
      <c r="F43" s="13" t="n">
        <v>1</v>
      </c>
      <c r="G43" s="13" t="n">
        <v>1</v>
      </c>
      <c r="H43" s="13" t="n">
        <v>1</v>
      </c>
      <c r="I43" s="13" t="n">
        <v>1</v>
      </c>
      <c r="J43" s="13" t="n">
        <v>1</v>
      </c>
      <c r="K43" s="13" t="n">
        <v>1</v>
      </c>
      <c r="L43" s="13" t="n">
        <v>1</v>
      </c>
      <c r="M43" s="12">
        <f>COUNTIF(D43:L43,1)</f>
        <v/>
      </c>
      <c r="N43" s="12">
        <f>IF(COUNT(D43:L43)=0,"",ROUND(M43/9*100,1))</f>
        <v/>
      </c>
      <c r="O43" s="12">
        <f>COUNTIF(D43:L43,0)</f>
        <v/>
      </c>
      <c r="P43" s="12">
        <f>IF(COUNT(D43:L43)=0,"",ROUND(O43/9*100,1))</f>
        <v/>
      </c>
      <c r="Q43" s="20">
        <f>IF(N43="","",IF(N43&gt;=Нэгтгэл!$K$4,"Хангалттай эзэмшиж байна",IF(N43&gt;=Нэгтгэл!$K$5,"Ахиж байна","Хөгжиж байна")))</f>
        <v/>
      </c>
    </row>
    <row r="44" ht="16" customHeight="1">
      <c r="A44" s="12" t="n">
        <v>38</v>
      </c>
      <c r="B44" s="12">
        <f>IF(Нэгтгэл!B44="","",Нэгтгэл!B44)</f>
        <v/>
      </c>
      <c r="C44" s="4" t="n"/>
      <c r="D44" s="13" t="n">
        <v>1</v>
      </c>
      <c r="E44" s="13" t="n">
        <v>1</v>
      </c>
      <c r="F44" s="13" t="n">
        <v>1</v>
      </c>
      <c r="G44" s="13" t="n">
        <v>1</v>
      </c>
      <c r="H44" s="13" t="n">
        <v>1</v>
      </c>
      <c r="I44" s="13" t="n">
        <v>1</v>
      </c>
      <c r="J44" s="13" t="n">
        <v>1</v>
      </c>
      <c r="K44" s="13" t="n">
        <v>1</v>
      </c>
      <c r="L44" s="13" t="n">
        <v>0</v>
      </c>
      <c r="M44" s="12">
        <f>COUNTIF(D44:L44,1)</f>
        <v/>
      </c>
      <c r="N44" s="12">
        <f>IF(COUNT(D44:L44)=0,"",ROUND(M44/9*100,1))</f>
        <v/>
      </c>
      <c r="O44" s="12">
        <f>COUNTIF(D44:L44,0)</f>
        <v/>
      </c>
      <c r="P44" s="12">
        <f>IF(COUNT(D44:L44)=0,"",ROUND(O44/9*100,1))</f>
        <v/>
      </c>
      <c r="Q44" s="20">
        <f>IF(N44="","",IF(N44&gt;=Нэгтгэл!$K$4,"Хангалттай эзэмшиж байна",IF(N44&gt;=Нэгтгэл!$K$5,"Ахиж байна","Хөгжиж байна")))</f>
        <v/>
      </c>
    </row>
    <row r="45" ht="16" customHeight="1">
      <c r="A45" s="12" t="n">
        <v>39</v>
      </c>
      <c r="B45" s="12">
        <f>IF(Нэгтгэл!B45="","",Нэгтгэл!B45)</f>
        <v/>
      </c>
      <c r="C45" s="4" t="n"/>
      <c r="D45" s="13" t="n">
        <v>1</v>
      </c>
      <c r="E45" s="13" t="n">
        <v>0</v>
      </c>
      <c r="F45" s="13" t="n">
        <v>1</v>
      </c>
      <c r="G45" s="13" t="n">
        <v>1</v>
      </c>
      <c r="H45" s="13" t="n">
        <v>1</v>
      </c>
      <c r="I45" s="13" t="n">
        <v>1</v>
      </c>
      <c r="J45" s="13" t="n">
        <v>1</v>
      </c>
      <c r="K45" s="13" t="n">
        <v>1</v>
      </c>
      <c r="L45" s="13" t="n">
        <v>1</v>
      </c>
      <c r="M45" s="12">
        <f>COUNTIF(D45:L45,1)</f>
        <v/>
      </c>
      <c r="N45" s="12">
        <f>IF(COUNT(D45:L45)=0,"",ROUND(M45/9*100,1))</f>
        <v/>
      </c>
      <c r="O45" s="12">
        <f>COUNTIF(D45:L45,0)</f>
        <v/>
      </c>
      <c r="P45" s="12">
        <f>IF(COUNT(D45:L45)=0,"",ROUND(O45/9*100,1))</f>
        <v/>
      </c>
      <c r="Q45" s="20">
        <f>IF(N45="","",IF(N45&gt;=Нэгтгэл!$K$4,"Хангалттай эзэмшиж байна",IF(N45&gt;=Нэгтгэл!$K$5,"Ахиж байна","Хөгжиж байна")))</f>
        <v/>
      </c>
    </row>
    <row r="46" ht="16" customHeight="1">
      <c r="A46" s="12" t="n">
        <v>40</v>
      </c>
      <c r="B46" s="12">
        <f>IF(Нэгтгэл!B46="","",Нэгтгэл!B46)</f>
        <v/>
      </c>
      <c r="C46" s="4" t="n"/>
      <c r="D46" s="13" t="n">
        <v>1</v>
      </c>
      <c r="E46" s="13" t="n">
        <v>1</v>
      </c>
      <c r="F46" s="13" t="n">
        <v>0</v>
      </c>
      <c r="G46" s="13" t="n">
        <v>1</v>
      </c>
      <c r="H46" s="13" t="n">
        <v>1</v>
      </c>
      <c r="I46" s="13" t="n">
        <v>1</v>
      </c>
      <c r="J46" s="13" t="n">
        <v>1</v>
      </c>
      <c r="K46" s="13" t="n">
        <v>1</v>
      </c>
      <c r="L46" s="13" t="n">
        <v>0</v>
      </c>
      <c r="M46" s="12">
        <f>COUNTIF(D46:L46,1)</f>
        <v/>
      </c>
      <c r="N46" s="12">
        <f>IF(COUNT(D46:L46)=0,"",ROUND(M46/9*100,1))</f>
        <v/>
      </c>
      <c r="O46" s="12">
        <f>COUNTIF(D46:L46,0)</f>
        <v/>
      </c>
      <c r="P46" s="12">
        <f>IF(COUNT(D46:L46)=0,"",ROUND(O46/9*100,1))</f>
        <v/>
      </c>
      <c r="Q46" s="20">
        <f>IF(N46="","",IF(N46&gt;=Нэгтгэл!$K$4,"Хангалттай эзэмшиж байна",IF(N46&gt;=Нэгтгэл!$K$5,"Ахиж байна","Хөгжиж байна")))</f>
        <v/>
      </c>
    </row>
    <row r="47" ht="16" customHeight="1">
      <c r="A47" s="12" t="n">
        <v>41</v>
      </c>
      <c r="B47" s="12">
        <f>IF(Нэгтгэл!B47="","",Нэгтгэл!B47)</f>
        <v/>
      </c>
      <c r="C47" s="4" t="n"/>
      <c r="D47" s="13" t="n">
        <v>1</v>
      </c>
      <c r="E47" s="13" t="n">
        <v>0</v>
      </c>
      <c r="F47" s="13" t="n">
        <v>0</v>
      </c>
      <c r="G47" s="13" t="n">
        <v>1</v>
      </c>
      <c r="H47" s="13" t="n">
        <v>0</v>
      </c>
      <c r="I47" s="13" t="n">
        <v>1</v>
      </c>
      <c r="J47" s="13" t="n">
        <v>0</v>
      </c>
      <c r="K47" s="13" t="n">
        <v>0</v>
      </c>
      <c r="L47" s="13" t="n">
        <v>1</v>
      </c>
      <c r="M47" s="12">
        <f>COUNTIF(D47:L47,1)</f>
        <v/>
      </c>
      <c r="N47" s="12">
        <f>IF(COUNT(D47:L47)=0,"",ROUND(M47/9*100,1))</f>
        <v/>
      </c>
      <c r="O47" s="12">
        <f>COUNTIF(D47:L47,0)</f>
        <v/>
      </c>
      <c r="P47" s="12">
        <f>IF(COUNT(D47:L47)=0,"",ROUND(O47/9*100,1))</f>
        <v/>
      </c>
      <c r="Q47" s="20">
        <f>IF(N47="","",IF(N47&gt;=Нэгтгэл!$K$4,"Хангалттай эзэмшиж байна",IF(N47&gt;=Нэгтгэл!$K$5,"Ахиж байна","Хөгжиж байна")))</f>
        <v/>
      </c>
    </row>
    <row r="48" ht="16" customHeight="1">
      <c r="A48" s="12" t="n">
        <v>42</v>
      </c>
      <c r="B48" s="12">
        <f>IF(Нэгтгэл!B48="","",Нэгтгэл!B48)</f>
        <v/>
      </c>
      <c r="C48" s="4" t="n"/>
      <c r="D48" s="13" t="n">
        <v>1</v>
      </c>
      <c r="E48" s="13" t="n">
        <v>1</v>
      </c>
      <c r="F48" s="13" t="n">
        <v>1</v>
      </c>
      <c r="G48" s="13" t="n">
        <v>0</v>
      </c>
      <c r="H48" s="13" t="n">
        <v>1</v>
      </c>
      <c r="I48" s="13" t="n">
        <v>0</v>
      </c>
      <c r="J48" s="13" t="n">
        <v>1</v>
      </c>
      <c r="K48" s="13" t="n">
        <v>1</v>
      </c>
      <c r="L48" s="13" t="n">
        <v>1</v>
      </c>
      <c r="M48" s="12">
        <f>COUNTIF(D48:L48,1)</f>
        <v/>
      </c>
      <c r="N48" s="12">
        <f>IF(COUNT(D48:L48)=0,"",ROUND(M48/9*100,1))</f>
        <v/>
      </c>
      <c r="O48" s="12">
        <f>COUNTIF(D48:L48,0)</f>
        <v/>
      </c>
      <c r="P48" s="12">
        <f>IF(COUNT(D48:L48)=0,"",ROUND(O48/9*100,1))</f>
        <v/>
      </c>
      <c r="Q48" s="20">
        <f>IF(N48="","",IF(N48&gt;=Нэгтгэл!$K$4,"Хангалттай эзэмшиж байна",IF(N48&gt;=Нэгтгэл!$K$5,"Ахиж байна","Хөгжиж байна")))</f>
        <v/>
      </c>
    </row>
    <row r="49" ht="16" customHeight="1">
      <c r="A49" s="12" t="n">
        <v>43</v>
      </c>
      <c r="B49" s="12">
        <f>IF(Нэгтгэл!B49="","",Нэгтгэл!B49)</f>
        <v/>
      </c>
      <c r="C49" s="4" t="n"/>
      <c r="D49" s="13" t="n">
        <v>1</v>
      </c>
      <c r="E49" s="13" t="n">
        <v>1</v>
      </c>
      <c r="F49" s="13" t="n">
        <v>1</v>
      </c>
      <c r="G49" s="13" t="n">
        <v>0</v>
      </c>
      <c r="H49" s="13" t="n">
        <v>1</v>
      </c>
      <c r="I49" s="13" t="n">
        <v>1</v>
      </c>
      <c r="J49" s="13" t="n">
        <v>1</v>
      </c>
      <c r="K49" s="13" t="n">
        <v>1</v>
      </c>
      <c r="L49" s="13" t="n">
        <v>1</v>
      </c>
      <c r="M49" s="12">
        <f>COUNTIF(D49:L49,1)</f>
        <v/>
      </c>
      <c r="N49" s="12">
        <f>IF(COUNT(D49:L49)=0,"",ROUND(M49/9*100,1))</f>
        <v/>
      </c>
      <c r="O49" s="12">
        <f>COUNTIF(D49:L49,0)</f>
        <v/>
      </c>
      <c r="P49" s="12">
        <f>IF(COUNT(D49:L49)=0,"",ROUND(O49/9*100,1))</f>
        <v/>
      </c>
      <c r="Q49" s="20">
        <f>IF(N49="","",IF(N49&gt;=Нэгтгэл!$K$4,"Хангалттай эзэмшиж байна",IF(N49&gt;=Нэгтгэл!$K$5,"Ахиж байна","Хөгжиж байна")))</f>
        <v/>
      </c>
    </row>
    <row r="50" ht="16" customHeight="1">
      <c r="A50" s="12" t="n">
        <v>44</v>
      </c>
      <c r="B50" s="12">
        <f>IF(Нэгтгэл!B50="","",Нэгтгэл!B50)</f>
        <v/>
      </c>
      <c r="C50" s="4" t="n"/>
      <c r="D50" s="13" t="n">
        <v>0</v>
      </c>
      <c r="E50" s="13" t="n">
        <v>0</v>
      </c>
      <c r="F50" s="13" t="n">
        <v>1</v>
      </c>
      <c r="G50" s="13" t="n">
        <v>0</v>
      </c>
      <c r="H50" s="13" t="n">
        <v>0</v>
      </c>
      <c r="I50" s="13" t="n">
        <v>1</v>
      </c>
      <c r="J50" s="13" t="n">
        <v>1</v>
      </c>
      <c r="K50" s="13" t="n">
        <v>0</v>
      </c>
      <c r="L50" s="13" t="n">
        <v>1</v>
      </c>
      <c r="M50" s="12">
        <f>COUNTIF(D50:L50,1)</f>
        <v/>
      </c>
      <c r="N50" s="12">
        <f>IF(COUNT(D50:L50)=0,"",ROUND(M50/9*100,1))</f>
        <v/>
      </c>
      <c r="O50" s="12">
        <f>COUNTIF(D50:L50,0)</f>
        <v/>
      </c>
      <c r="P50" s="12">
        <f>IF(COUNT(D50:L50)=0,"",ROUND(O50/9*100,1))</f>
        <v/>
      </c>
      <c r="Q50" s="20">
        <f>IF(N50="","",IF(N50&gt;=Нэгтгэл!$K$4,"Хангалттай эзэмшиж байна",IF(N50&gt;=Нэгтгэл!$K$5,"Ахиж байна","Хөгжиж байна")))</f>
        <v/>
      </c>
    </row>
    <row r="51" ht="17" customHeight="1">
      <c r="A51" s="5" t="inlineStr">
        <is>
          <t>Чадна (1)</t>
        </is>
      </c>
      <c r="B51" s="15" t="n"/>
      <c r="C51" s="15" t="n"/>
      <c r="D51" s="5">
        <f>COUNTIF(D7:D50,1)</f>
        <v/>
      </c>
      <c r="E51" s="5">
        <f>COUNTIF(E7:E50,1)</f>
        <v/>
      </c>
      <c r="F51" s="5">
        <f>COUNTIF(F7:F50,1)</f>
        <v/>
      </c>
      <c r="G51" s="5">
        <f>COUNTIF(G7:G50,1)</f>
        <v/>
      </c>
      <c r="H51" s="5">
        <f>COUNTIF(H7:H50,1)</f>
        <v/>
      </c>
      <c r="I51" s="5">
        <f>COUNTIF(I7:I50,1)</f>
        <v/>
      </c>
      <c r="J51" s="5">
        <f>COUNTIF(J7:J50,1)</f>
        <v/>
      </c>
      <c r="K51" s="5">
        <f>COUNTIF(K7:K50,1)</f>
        <v/>
      </c>
      <c r="L51" s="5">
        <f>COUNTIF(L7:L50,1)</f>
        <v/>
      </c>
      <c r="M51" s="21" t="inlineStr">
        <is>
          <t>Хангалттай эзэмшиж байна</t>
        </is>
      </c>
      <c r="N51" s="22" t="n"/>
      <c r="O51" s="22" t="n"/>
      <c r="P51" s="23" t="n"/>
      <c r="Q51" s="5">
        <f>COUNTIF(Q7:Q50,"Хангалттай эзэмшиж байна")</f>
        <v/>
      </c>
    </row>
    <row r="52" ht="17" customHeight="1">
      <c r="A52" s="5" t="inlineStr">
        <is>
          <t>Хувь</t>
        </is>
      </c>
      <c r="B52" s="15" t="n"/>
      <c r="C52" s="15" t="n"/>
      <c r="D52" s="5">
        <f>IF(COUNT(D7:D50)=0,"",ROUND(COUNTIF(D7:D50,1)/COUNT(D7:D50)*100,1))</f>
        <v/>
      </c>
      <c r="E52" s="5">
        <f>IF(COUNT(E7:E50)=0,"",ROUND(COUNTIF(E7:E50,1)/COUNT(E7:E50)*100,1))</f>
        <v/>
      </c>
      <c r="F52" s="5">
        <f>IF(COUNT(F7:F50)=0,"",ROUND(COUNTIF(F7:F50,1)/COUNT(F7:F50)*100,1))</f>
        <v/>
      </c>
      <c r="G52" s="5">
        <f>IF(COUNT(G7:G50)=0,"",ROUND(COUNTIF(G7:G50,1)/COUNT(G7:G50)*100,1))</f>
        <v/>
      </c>
      <c r="H52" s="5">
        <f>IF(COUNT(H7:H50)=0,"",ROUND(COUNTIF(H7:H50,1)/COUNT(H7:H50)*100,1))</f>
        <v/>
      </c>
      <c r="I52" s="5">
        <f>IF(COUNT(I7:I50)=0,"",ROUND(COUNTIF(I7:I50,1)/COUNT(I7:I50)*100,1))</f>
        <v/>
      </c>
      <c r="J52" s="5">
        <f>IF(COUNT(J7:J50)=0,"",ROUND(COUNTIF(J7:J50,1)/COUNT(J7:J50)*100,1))</f>
        <v/>
      </c>
      <c r="K52" s="5">
        <f>IF(COUNT(K7:K50)=0,"",ROUND(COUNTIF(K7:K50,1)/COUNT(K7:K50)*100,1))</f>
        <v/>
      </c>
      <c r="L52" s="5">
        <f>IF(COUNT(L7:L50)=0,"",ROUND(COUNTIF(L7:L50,1)/COUNT(L7:L50)*100,1))</f>
        <v/>
      </c>
      <c r="M52" s="21" t="inlineStr">
        <is>
          <t>Ахиж байна</t>
        </is>
      </c>
      <c r="N52" s="22" t="n"/>
      <c r="O52" s="22" t="n"/>
      <c r="P52" s="23" t="n"/>
      <c r="Q52" s="5">
        <f>COUNTIF(Q7:Q50,"Ахиж байна")</f>
        <v/>
      </c>
    </row>
    <row r="53" ht="17" customHeight="1">
      <c r="A53" s="5" t="inlineStr">
        <is>
          <t>Чадахгүй (0)</t>
        </is>
      </c>
      <c r="B53" s="15" t="n"/>
      <c r="C53" s="15" t="n"/>
      <c r="D53" s="5">
        <f>COUNTIF(D7:D50,0)</f>
        <v/>
      </c>
      <c r="E53" s="5">
        <f>COUNTIF(E7:E50,0)</f>
        <v/>
      </c>
      <c r="F53" s="5">
        <f>COUNTIF(F7:F50,0)</f>
        <v/>
      </c>
      <c r="G53" s="5">
        <f>COUNTIF(G7:G50,0)</f>
        <v/>
      </c>
      <c r="H53" s="5">
        <f>COUNTIF(H7:H50,0)</f>
        <v/>
      </c>
      <c r="I53" s="5">
        <f>COUNTIF(I7:I50,0)</f>
        <v/>
      </c>
      <c r="J53" s="5">
        <f>COUNTIF(J7:J50,0)</f>
        <v/>
      </c>
      <c r="K53" s="5">
        <f>COUNTIF(K7:K50,0)</f>
        <v/>
      </c>
      <c r="L53" s="5">
        <f>COUNTIF(L7:L50,0)</f>
        <v/>
      </c>
      <c r="M53" s="21" t="inlineStr">
        <is>
          <t>Хөгжиж байна</t>
        </is>
      </c>
      <c r="N53" s="22" t="n"/>
      <c r="O53" s="22" t="n"/>
      <c r="P53" s="23" t="n"/>
      <c r="Q53" s="5">
        <f>COUNTIF(Q7:Q50,"Хөгжиж байна")</f>
        <v/>
      </c>
    </row>
    <row r="54" ht="17" customHeight="1">
      <c r="A54" s="5" t="inlineStr">
        <is>
          <t>Хувь</t>
        </is>
      </c>
      <c r="B54" s="15" t="n"/>
      <c r="C54" s="15" t="n"/>
      <c r="D54" s="5">
        <f>IF(COUNT(D7:D50)=0,"",ROUND(COUNTIF(D7:D50,0)/COUNT(D7:D50)*100,1))</f>
        <v/>
      </c>
      <c r="E54" s="5">
        <f>IF(COUNT(E7:E50)=0,"",ROUND(COUNTIF(E7:E50,0)/COUNT(E7:E50)*100,1))</f>
        <v/>
      </c>
      <c r="F54" s="5">
        <f>IF(COUNT(F7:F50)=0,"",ROUND(COUNTIF(F7:F50,0)/COUNT(F7:F50)*100,1))</f>
        <v/>
      </c>
      <c r="G54" s="5">
        <f>IF(COUNT(G7:G50)=0,"",ROUND(COUNTIF(G7:G50,0)/COUNT(G7:G50)*100,1))</f>
        <v/>
      </c>
      <c r="H54" s="5">
        <f>IF(COUNT(H7:H50)=0,"",ROUND(COUNTIF(H7:H50,0)/COUNT(H7:H50)*100,1))</f>
        <v/>
      </c>
      <c r="I54" s="5">
        <f>IF(COUNT(I7:I50)=0,"",ROUND(COUNTIF(I7:I50,0)/COUNT(I7:I50)*100,1))</f>
        <v/>
      </c>
      <c r="J54" s="5">
        <f>IF(COUNT(J7:J50)=0,"",ROUND(COUNTIF(J7:J50,0)/COUNT(J7:J50)*100,1))</f>
        <v/>
      </c>
      <c r="K54" s="5">
        <f>IF(COUNT(K7:K50)=0,"",ROUND(COUNTIF(K7:K50,0)/COUNT(K7:K50)*100,1))</f>
        <v/>
      </c>
      <c r="L54" s="5">
        <f>IF(COUNT(L7:L50)=0,"",ROUND(COUNTIF(L7:L50,0)/COUNT(L7:L50)*100,1))</f>
        <v/>
      </c>
      <c r="M54" s="15" t="n"/>
      <c r="N54" s="15" t="n"/>
      <c r="O54" s="15" t="n"/>
      <c r="P54" s="15" t="n"/>
      <c r="Q54" s="15" t="n"/>
    </row>
  </sheetData>
  <mergeCells count="61">
    <mergeCell ref="B47:C47"/>
    <mergeCell ref="B16:C16"/>
    <mergeCell ref="B7:C7"/>
    <mergeCell ref="B25:C25"/>
    <mergeCell ref="O3:O6"/>
    <mergeCell ref="Q3:Q6"/>
    <mergeCell ref="B46:C46"/>
    <mergeCell ref="B22:C22"/>
    <mergeCell ref="B31:C31"/>
    <mergeCell ref="B18:C18"/>
    <mergeCell ref="B27:C27"/>
    <mergeCell ref="A1:Q1"/>
    <mergeCell ref="B43:C43"/>
    <mergeCell ref="B12:C12"/>
    <mergeCell ref="B39:C39"/>
    <mergeCell ref="B21:C21"/>
    <mergeCell ref="B48:C48"/>
    <mergeCell ref="M53:P53"/>
    <mergeCell ref="B11:C11"/>
    <mergeCell ref="N3:N6"/>
    <mergeCell ref="B42:C42"/>
    <mergeCell ref="B23:C23"/>
    <mergeCell ref="A3:A6"/>
    <mergeCell ref="B14:C14"/>
    <mergeCell ref="D3:L3"/>
    <mergeCell ref="A53:C53"/>
    <mergeCell ref="B17:C17"/>
    <mergeCell ref="B8:C8"/>
    <mergeCell ref="A52:C52"/>
    <mergeCell ref="B13:C13"/>
    <mergeCell ref="B38:C38"/>
    <mergeCell ref="B44:C44"/>
    <mergeCell ref="M52:P52"/>
    <mergeCell ref="B29:C29"/>
    <mergeCell ref="B19:C19"/>
    <mergeCell ref="M3:M6"/>
    <mergeCell ref="B34:C34"/>
    <mergeCell ref="B10:C10"/>
    <mergeCell ref="B28:C28"/>
    <mergeCell ref="B37:C37"/>
    <mergeCell ref="A2:Q2"/>
    <mergeCell ref="P3:P6"/>
    <mergeCell ref="M51:P51"/>
    <mergeCell ref="B40:C40"/>
    <mergeCell ref="B9:C9"/>
    <mergeCell ref="B49:C49"/>
    <mergeCell ref="A51:C51"/>
    <mergeCell ref="B3:C6"/>
    <mergeCell ref="B24:C24"/>
    <mergeCell ref="B30:C30"/>
    <mergeCell ref="B15:C15"/>
    <mergeCell ref="B33:C33"/>
    <mergeCell ref="B20:C20"/>
    <mergeCell ref="B45:C45"/>
    <mergeCell ref="B36:C36"/>
    <mergeCell ref="B32:C32"/>
    <mergeCell ref="B50:C50"/>
    <mergeCell ref="B26:C26"/>
    <mergeCell ref="B41:C41"/>
    <mergeCell ref="B35:C35"/>
    <mergeCell ref="A54:C54"/>
  </mergeCells>
  <conditionalFormatting sqref="D7:L50">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E7 E8 E9 E10 E11 E12 E13 E14 E15 E16 E17 E18 E19 E20 E21 E22 E23 E24 E25 E26 E27 E28 E29 E30 E31 E32 E33 E34 E35 E36 E37 E38 E39 E40 E41 E42 E43 E44 E45 E46 E47 E48 E49 E50 F7 F8 F9 F10 F11 F12 F13 F14 F15 F16 F17 F18 F19 F20 F21 F22 F23 F24 F25 F26 F27 F28 F29 F30 F31 F32 F33 F34 F35 F36 F37 F38 F39 F40 F41 F42 F43 F44 F45 F46 F47 F48 F49 F50 G7 G8 G9 G10 G11 G12 G13 G14 G15 G16 G17 G18 G19 G20 G21 G22 G23 G24 G25 G26 G27 G28 G29 G30 G31 G32 G33 G34 G35 G36 G37 G38 G39 G40 G41 G42 G43 G44 G45 G46 G47 G48 G49 G50 H7 H8 H9 H10 H11 H12 H13 H14 H15 H16 H17 H18 H19 H20 H21 H22 H23 H24 H25 H26 H27 H28 H29 H30 H31 H32 H33 H34 H35 H36 H37 H38 H39 H40 H41 H42 H43 H44 H45 H46 H47 H48 H49 H50 I7 I8 I9 I10 I11 I12 I13 I14 I15 I16 I17 I18 I19 I20 I21 I22 I23 I24 I25 I26 I27 I28 I29 I30 I31 I32 I33 I34 I35 I36 I37 I38 I39 I40 I41 I42 I43 I44 I45 I46 I47 I48 I49 I50 J7 J8 J9 J10 J11 J12 J13 J14 J15 J16 J17 J18 J19 J20 J21 J22 J23 J24 J25 J26 J27 J28 J29 J30 J31 J32 J33 J34 J35 J36 J37 J38 J39 J40 J41 J42 J43 J44 J45 J46 J47 J48 J49 J50 K7 K8 K9 K10 K11 K12 K13 K14 K15 K16 K17 K18 K19 K20 K21 K22 K23 K24 K25 K26 K27 K28 K29 K30 K31 K32 K33 K34 K35 K36 K37 K38 K39 K40 K41 K42 K43 K44 K45 K46 K47 K48 K49 K50 L7 L8 L9 L10 L11 L12 L13 L14 L15 L16 L17 L18 L19 L20 L21 L22 L23 L24 L25 L26 L27 L28 L29 L30 L31 L32 L33 L34 L35 L36 L37 L38 L39 L40 L41 L42 L43 L44 L45 L46 L47 L48 L49 L50"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3.xml><?xml version="1.0" encoding="utf-8"?>
<worksheet xmlns="http://schemas.openxmlformats.org/spreadsheetml/2006/main">
  <sheetPr>
    <outlinePr summaryBelow="1" summaryRight="1"/>
    <pageSetUpPr fitToPage="1"/>
  </sheetPr>
  <dimension ref="A1:AM54"/>
  <sheetViews>
    <sheetView workbookViewId="0">
      <selection activeCell="A1" sqref="A1"/>
    </sheetView>
  </sheetViews>
  <sheetFormatPr baseColWidth="8" defaultRowHeight="15"/>
  <cols>
    <col width="4.5" customWidth="1" min="1" max="1"/>
    <col width="8" customWidth="1" min="2" max="2"/>
    <col width="4"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7" customWidth="1" min="35" max="35"/>
    <col width="7" customWidth="1" min="36" max="36"/>
    <col width="8" customWidth="1" min="37" max="37"/>
    <col width="7" customWidth="1" min="38" max="38"/>
    <col width="14" customWidth="1" min="39" max="39"/>
  </cols>
  <sheetData>
    <row r="1">
      <c r="A1" s="1" t="inlineStr">
        <is>
          <t>................ ЦЭЦЭРЛЭГИЙН АХЛАХ БҮЛГИЙН (4 НАС) ГАРААНЫ (ОНОШЛОХ) ҮНЭЛГЭЭ</t>
        </is>
      </c>
    </row>
    <row r="2">
      <c r="A2" s="18" t="inlineStr">
        <is>
          <t>Үнэлгээний хүрээ: Чадвар          Огноо: 20.... оны .... сар          Багш: ................................          Чадна = 1, Чадахгүй = 0  (А/79 журам, III түвшний шалгуур)</t>
        </is>
      </c>
    </row>
    <row r="3">
      <c r="A3" s="3" t="inlineStr">
        <is>
          <t>№</t>
        </is>
      </c>
      <c r="B3" s="3" t="inlineStr">
        <is>
          <t>Хүүхдийн код</t>
        </is>
      </c>
      <c r="C3" s="4" t="n"/>
      <c r="D3" s="3" t="inlineStr">
        <is>
          <t>Үнэлгээний хүрээ: Чадвар</t>
        </is>
      </c>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5" t="inlineStr">
        <is>
          <t>Чадна (1)</t>
        </is>
      </c>
      <c r="AJ3" s="5" t="inlineStr">
        <is>
          <t>Хувь</t>
        </is>
      </c>
      <c r="AK3" s="5" t="inlineStr">
        <is>
          <t>Чадахгүй (0)</t>
        </is>
      </c>
      <c r="AL3" s="5" t="inlineStr">
        <is>
          <t>Хувь</t>
        </is>
      </c>
      <c r="AM3" s="5" t="inlineStr">
        <is>
          <t>Түвшин</t>
        </is>
      </c>
    </row>
    <row r="4" ht="212" customHeight="1">
      <c r="A4" s="4" t="n"/>
      <c r="B4" s="4" t="n"/>
      <c r="C4" s="4" t="n"/>
      <c r="D4" s="6" t="inlineStr">
        <is>
          <t>Вандан сандал дээр тэнцвэрээ хадгалан алхдаг (Вандан сандлын өндөр нь 25 см, өргөн нь 20 см байна).</t>
        </is>
      </c>
      <c r="E4" s="6" t="inlineStr">
        <is>
          <t>5-6 саадыг сүлжиж гүйдэг (10 метр зайд).</t>
        </is>
      </c>
      <c r="F4" s="6" t="inlineStr">
        <is>
          <t>Өвдөг, тохойгоор 3-4 нуман доогуур мөлхдөг.</t>
        </is>
      </c>
      <c r="G4" s="6" t="inlineStr">
        <is>
          <t>10-15 см өндөрт байрлуулсан зүйлд үсэрч хүрдэг.</t>
        </is>
      </c>
      <c r="H4" s="6" t="inlineStr">
        <is>
          <t>Бөмбөгийг 1-1.5 метр зайд бие бие рүүгээ газарт ойлгон дамжуулдаг.</t>
        </is>
      </c>
      <c r="I4" s="6" t="inlineStr">
        <is>
          <t>Бусдын сануулгаар ариун цэврийг сахих үйлүүдийг бие даан гүйцэтгэдэг.</t>
        </is>
      </c>
      <c r="J4" s="6" t="inlineStr">
        <is>
          <t>Анхааруулах тэмдэг, тэмдэглэгээ нь ямар аюул, эрсдэл байгааг анхааруулсныг тайлбарладаг.</t>
        </is>
      </c>
      <c r="K4" s="6" t="inlineStr">
        <is>
          <t>Өөрийн хэрэгцээ, чадах, чадахгүй, дуртай, дургүй зүйлсээ ярьдаг.</t>
        </is>
      </c>
      <c r="L4" s="6" t="inlineStr">
        <is>
          <t>Хийж болох, болохгүй үйлдлийн учир шалтгааныг тайлбарладаг.</t>
        </is>
      </c>
      <c r="M4" s="6" t="inlineStr">
        <is>
          <t>Үгийг сонсоод, урт ба богино авианы дуудлагыг ялган дуурайдаг.</t>
        </is>
      </c>
      <c r="N4" s="6" t="inlineStr">
        <is>
          <t>Тоглоом, юмсын 2-3 онцлог шинжийг тоочиж ярьдаг.</t>
        </is>
      </c>
      <c r="O4" s="6" t="inlineStr">
        <is>
          <t>Юмсын учир шалтгааныг өөрийн ойлгосноор тайлбарладаг.</t>
        </is>
      </c>
      <c r="P4" s="6" t="inlineStr">
        <is>
          <t>Ном, үлгэр, зохиолын гол санааг ойлгож, үйл явдлыг тайлбарладаг.</t>
        </is>
      </c>
      <c r="Q4" s="6" t="inlineStr">
        <is>
          <t>5 хүртэлх тооны юмсыг оноож тоолдог.</t>
        </is>
      </c>
      <c r="R4" s="6" t="inlineStr">
        <is>
          <t>Дараалан байрлуулсан тоглоом, дүрс, юмсыг ажиглаж, зүй тогтлыг үргэлжлүүлдэг.</t>
        </is>
      </c>
      <c r="S4" s="6" t="inlineStr">
        <is>
          <t>Юмсыг хэмжээ (урт, хүнд)-гээр нь харьцуулдаг.</t>
        </is>
      </c>
      <c r="T4" s="6" t="inlineStr">
        <is>
          <t>Өглөө, өдөр, орой хийдэг үйл явдлыг харуулсан 4 зургийг зөв дараалалд оруулдаг.</t>
        </is>
      </c>
      <c r="U4" s="6" t="inlineStr">
        <is>
          <t>Тоглоом, эд юмсыг нэг шинжээр нь 4 хүртэлх хэсэгт ангилдаг.</t>
        </is>
      </c>
      <c r="V4" s="6" t="inlineStr">
        <is>
          <t>Дугуй, дөрвөлжин, гурвалжин дүрсийг ялган нэрлэдэг.</t>
        </is>
      </c>
      <c r="W4" s="6" t="inlineStr">
        <is>
          <t>Дүрс ба биетийг ялгадаг.</t>
        </is>
      </c>
      <c r="X4" s="6" t="inlineStr">
        <is>
          <t>Зурган зааварчилгааг ойлгож тайлбарладаг.</t>
        </is>
      </c>
      <c r="Y4" s="6" t="inlineStr">
        <is>
          <t>Амьтдын амьдрах орчныг ялгадаг.</t>
        </is>
      </c>
      <c r="Z4" s="6" t="inlineStr">
        <is>
          <t>Цаг агаарын байдалд тохируулан хувцаслаж, үйл ажиллагаанд оролцдог.</t>
        </is>
      </c>
      <c r="AA4" s="6" t="inlineStr">
        <is>
          <t>Зураг бүтээлээ толбо, дардсаар чимэглэдэг.</t>
        </is>
      </c>
      <c r="AB4" s="6" t="inlineStr">
        <is>
          <t>Хүн, амьтан, эд юмсыг өөрийн төсөөллөөр зохиомжлон барьдаг (баримлын шавар, элс, гурилан зуурмаг гэх мэт).</t>
        </is>
      </c>
      <c r="AC4" s="6" t="inlineStr">
        <is>
          <t>Биет наамал урладаг.</t>
        </is>
      </c>
      <c r="AD4" s="6" t="inlineStr">
        <is>
          <t>Өрж байгуулдаг, эвлүүлж, угсардаг тоглоом, савх, харандаа (байшин, барилга, гудамж талбай, тээврийн хэрэгсэл гэх мэт)-гаар зохион бүтээдэг.</t>
        </is>
      </c>
      <c r="AE4" s="6" t="inlineStr">
        <is>
          <t>Дууг ая хэмнэлийн дагуу дуулдаг.</t>
        </is>
      </c>
      <c r="AF4" s="6" t="inlineStr">
        <is>
          <t>Хэмнэлийн өөрчлөлтийг мэдэрч, хөгжмийн энгийн зэмсгээр тоглодог.</t>
        </is>
      </c>
      <c r="AG4" s="6" t="inlineStr">
        <is>
          <t>Ая, хэмнэл солигдоход хөдөлгөөнөө тохируулдаг.</t>
        </is>
      </c>
      <c r="AH4" s="6" t="inlineStr">
        <is>
          <t>Үлгэр зохиолын дүрээс сонгон онцлог шинжийг илэрхийлдэг.</t>
        </is>
      </c>
      <c r="AI4" s="4" t="n"/>
      <c r="AJ4" s="4" t="n"/>
      <c r="AK4" s="4" t="n"/>
      <c r="AL4" s="4" t="n"/>
      <c r="AM4" s="4" t="n"/>
    </row>
    <row r="5" ht="261" customHeight="1">
      <c r="A5" s="4" t="n"/>
      <c r="B5" s="4" t="n"/>
      <c r="C5" s="4" t="n"/>
      <c r="D5" s="19" t="inlineStr">
        <is>
          <t>СҮД: ХЭМ3.1в. Гарыг дээш өргөн алгаа хавсарч баруун эсвэл зүүн хөлийг тулалтын хөлийн өвдгөнд нааж тэнцвэр хадгалан (дэглий) зогсоно.</t>
        </is>
      </c>
      <c r="E5" s="19" t="inlineStr">
        <is>
          <t>СҮД: ХЭМ3.1г. Алхалт гүйлтийг чиглэл, хурдаа өөрчлөн гүйцэтгэнэ.</t>
        </is>
      </c>
      <c r="F5" s="19" t="inlineStr">
        <is>
          <t>СҮД: ХЭМ3.1е. Мөлхөлтийн төрлүүдийг (бөгсөөрөө гулсах, өвдөг тохойны тусламжтай мөлхөх) хэрэглэл ашиглан гүйцэтгэнэ.</t>
        </is>
      </c>
      <c r="G5" s="19" t="inlineStr">
        <is>
          <t>СҮД: ХЭМ3.1к. Өргөсөн гараас дээш 10-15 см өндөр зүйлд үсэрч хүрнэ.</t>
        </is>
      </c>
      <c r="H5" s="19" t="inlineStr">
        <is>
          <t>СҮД: ХЭМ3.1м. Бөмбөгийг дээш шидээд газарт ойлгон барьж авна.</t>
        </is>
      </c>
      <c r="I5" s="19" t="inlineStr">
        <is>
          <t>СҮД: ХЭМ3.2а. Хувийн ариун цэвэр сахих үйлийг насанд хүрэгчийн сануулгатайгаар бие даан хийнэ.</t>
        </is>
      </c>
      <c r="J5" s="19" t="inlineStr">
        <is>
          <t>СҮД: ХЭМ3.2е. Хүрээлэн байгаа орчин дахь анхааруулах, болгоомжлох тэмдэг, тэмдэглэгээг таньж, дагаж мөрдөнө.</t>
        </is>
      </c>
      <c r="K5" s="19" t="inlineStr">
        <is>
          <t>СҮД: НСХ3.1б. Өөрийн дуртай дургүй, чадах чадахгүй зүйлсээ илэрхийлж хэрэгцээгээ тайлбарладаг болно.</t>
        </is>
      </c>
      <c r="L5" s="19" t="inlineStr">
        <is>
          <t>СҮД: НСХ3.2в. Зан үйлүүдийг яагаад тустай, тусгүй болохыг тайлбарладаг болно.</t>
        </is>
      </c>
      <c r="M5" s="19" t="inlineStr">
        <is>
          <t>СҮД: ХЯ3.1б. Урт, богино авиа орсон үгийг сонсоод ялгаж хэлнэ.</t>
        </is>
      </c>
      <c r="N5" s="19" t="inlineStr">
        <is>
          <t>СҮД: ХЯ3.2в. Юмсын шинж чанар, онцлог илэрхийлсэн үгийг яриандаа ашиглана.</t>
        </is>
      </c>
      <c r="O5" s="19" t="inlineStr">
        <is>
          <t>СҮД: ХЯ3.2г. Үгийг оновчтой сонгож, дэлгэрэнгүй өгүүлбэрээр ярина.</t>
        </is>
      </c>
      <c r="P5" s="19" t="inlineStr">
        <is>
          <t>СҮД: ХЯ3.3а. Номын зургаас үйл явдлыг ойлгож ярина.</t>
        </is>
      </c>
      <c r="Q5" s="19" t="inlineStr">
        <is>
          <t>СҮД: МАТ3.1а. 10 хүртэлх тоог цээжээр тоолох, 5 хүртэлх тооны юмсыг оноож тоолох, өгсөн тооноос эхэлж 1-ээр нэмэгдүүлэн тоолох, тоог жишнэ (бодит юмсын олон, цөөнийг ялгаж жиших).</t>
        </is>
      </c>
      <c r="R5" s="19" t="inlineStr">
        <is>
          <t>СҮД: МАТ3.1б. Дараалан байрлуулсан тоглоом, дүрсүүдийн зүй тогтлыг ажиглаж үргэлжлүүлнэ.</t>
        </is>
      </c>
      <c r="S5" s="19" t="inlineStr">
        <is>
          <t>СҮД: МАТ3.2а. Тоглоом юмсын урт, хүндийг харьцуулж, тайлбарлана.</t>
        </is>
      </c>
      <c r="T5" s="19" t="inlineStr">
        <is>
          <t>СҮД: МАТ3.2б. Өдөр тутмын хийдэг үйлийг дараалуулна.</t>
        </is>
      </c>
      <c r="U5" s="19" t="inlineStr">
        <is>
          <t>СҮД: МАТ3.3а. Тоглоом юмсаас нэг шинжээр 4 хүртэлх хэсэгт ангилж, байрлуулна.</t>
        </is>
      </c>
      <c r="V5" s="19" t="inlineStr">
        <is>
          <t>СҮД: МАТ3.3б. Дугуй, гурвалжин, дөрвөлжин дүрсүүдийг нэрлэж, дүрс, биетийг ялгана.</t>
        </is>
      </c>
      <c r="W5" s="19" t="inlineStr">
        <is>
          <t>СҮД: МАТ3.3б. Дугуй, гурвалжин, дөрвөлжин дүрсүүдийг нэрлэж, дүрс, биетийг ялгана.</t>
        </is>
      </c>
      <c r="X5" s="19" t="inlineStr">
        <is>
          <t>СҮД: МАТ3.4б. Зурган зааварчилгааг ажиглан, дарааллын дагуу дуурайж хийнэ.</t>
        </is>
      </c>
      <c r="Y5" s="19" t="inlineStr">
        <is>
          <t>СҮД: БНО3.1а. Амьтдын амьдрах орчныг ялган таньж, тэднийг хамгаалах аргыг нэрлэнэ.</t>
        </is>
      </c>
      <c r="Z5" s="19" t="inlineStr">
        <is>
          <t>СҮД: БНО3.1г. Цаг агаарын байдлыг зураг, тэмдэг ашиглан илэрхийлж, тохирсон хувцас болон хийх үйл ажиллагаагаа сонгож тайлбарлана.</t>
        </is>
      </c>
      <c r="AA5" s="19" t="inlineStr">
        <is>
          <t>СҮД: ЗУ3.2в. Бүтээлээ толбо, дардсаар чимэглэнэ.</t>
        </is>
      </c>
      <c r="AB5" s="19" t="inlineStr">
        <is>
          <t>СҮД: ЗУ3.2г. Баримлын шавар, элс, гурилан зуурмагаар хүн, амьтан, эд юмсыг зохиомжлон барина. (гурав ба түүнээс дээш хэсгээс бүтсэн)</t>
        </is>
      </c>
      <c r="AC5" s="19" t="inlineStr">
        <is>
          <t>СҮД: ЗУ3.2д. Нугалах, эвхэх, хайчлах аргаар хавтгай болон биет наамлын бүтээл урлана.</t>
        </is>
      </c>
      <c r="AD5" s="19" t="inlineStr">
        <is>
          <t>СҮД: ЗУ3.2е. Тоглоом болон байгалийн материал, дахин ашиглах материалаас сонгож хүрээлэн буй орчноо бүтээнэ.</t>
        </is>
      </c>
      <c r="AE5" s="19" t="inlineStr">
        <is>
          <t>СҮД: ХӨГ3.1б. Богино үгтэй дууг бусадтай хамтран дуулна.</t>
        </is>
      </c>
      <c r="AF5" s="19" t="inlineStr">
        <is>
          <t>СҮД: ХӨГ3.1в. Дуу, аялгууны хэмнэлийг ялгаж, дагаж тоглоно.</t>
        </is>
      </c>
      <c r="AG5" s="19" t="inlineStr">
        <is>
          <t>СҮД: ХӨГ3.1г. Аялгууны өөрчлөлтийг мэдэрч хөдөлгөөнөөр илэрхийлнэ.</t>
        </is>
      </c>
      <c r="AH5" s="19" t="inlineStr">
        <is>
          <t>СҮД: ХӨГ3.1д. Үлгэр зохиол, дуу, аялгууны дүрийн онцлогийг илэрхийлж тоглоно.</t>
        </is>
      </c>
      <c r="AI5" s="4" t="n"/>
      <c r="AJ5" s="4" t="n"/>
      <c r="AK5" s="4" t="n"/>
      <c r="AL5" s="4" t="n"/>
      <c r="AM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10" t="inlineStr">
        <is>
          <t>1 / 0</t>
        </is>
      </c>
      <c r="M6" s="10" t="inlineStr">
        <is>
          <t>1 / 0</t>
        </is>
      </c>
      <c r="N6" s="10" t="inlineStr">
        <is>
          <t>1 / 0</t>
        </is>
      </c>
      <c r="O6" s="10" t="inlineStr">
        <is>
          <t>1 / 0</t>
        </is>
      </c>
      <c r="P6" s="10" t="inlineStr">
        <is>
          <t>1 / 0</t>
        </is>
      </c>
      <c r="Q6" s="10" t="inlineStr">
        <is>
          <t>1 / 0</t>
        </is>
      </c>
      <c r="R6" s="10" t="inlineStr">
        <is>
          <t>1 / 0</t>
        </is>
      </c>
      <c r="S6" s="10" t="inlineStr">
        <is>
          <t>1 / 0</t>
        </is>
      </c>
      <c r="T6" s="10" t="inlineStr">
        <is>
          <t>1 / 0</t>
        </is>
      </c>
      <c r="U6" s="10" t="inlineStr">
        <is>
          <t>1 / 0</t>
        </is>
      </c>
      <c r="V6" s="10" t="inlineStr">
        <is>
          <t>1 / 0</t>
        </is>
      </c>
      <c r="W6" s="10" t="inlineStr">
        <is>
          <t>1 / 0</t>
        </is>
      </c>
      <c r="X6" s="10" t="inlineStr">
        <is>
          <t>1 / 0</t>
        </is>
      </c>
      <c r="Y6" s="10" t="inlineStr">
        <is>
          <t>1 / 0</t>
        </is>
      </c>
      <c r="Z6" s="10" t="inlineStr">
        <is>
          <t>1 / 0</t>
        </is>
      </c>
      <c r="AA6" s="10" t="inlineStr">
        <is>
          <t>1 / 0</t>
        </is>
      </c>
      <c r="AB6" s="10" t="inlineStr">
        <is>
          <t>1 / 0</t>
        </is>
      </c>
      <c r="AC6" s="10" t="inlineStr">
        <is>
          <t>1 / 0</t>
        </is>
      </c>
      <c r="AD6" s="10" t="inlineStr">
        <is>
          <t>1 / 0</t>
        </is>
      </c>
      <c r="AE6" s="10" t="inlineStr">
        <is>
          <t>1 / 0</t>
        </is>
      </c>
      <c r="AF6" s="10" t="inlineStr">
        <is>
          <t>1 / 0</t>
        </is>
      </c>
      <c r="AG6" s="10" t="inlineStr">
        <is>
          <t>1 / 0</t>
        </is>
      </c>
      <c r="AH6" s="10" t="inlineStr">
        <is>
          <t>1 / 0</t>
        </is>
      </c>
      <c r="AI6" s="4" t="n"/>
      <c r="AJ6" s="4" t="n"/>
      <c r="AK6" s="4" t="n"/>
      <c r="AL6" s="4" t="n"/>
      <c r="AM6" s="4" t="n"/>
    </row>
    <row r="7" ht="16" customHeight="1">
      <c r="A7" s="12" t="n">
        <v>1</v>
      </c>
      <c r="B7" s="12">
        <f>IF(Нэгтгэл!B7="","",Нэгтгэл!B7)</f>
        <v/>
      </c>
      <c r="C7" s="4" t="n"/>
      <c r="D7" s="13" t="n">
        <v>0</v>
      </c>
      <c r="E7" s="13" t="n">
        <v>0</v>
      </c>
      <c r="F7" s="13" t="n">
        <v>1</v>
      </c>
      <c r="G7" s="13" t="n">
        <v>1</v>
      </c>
      <c r="H7" s="13" t="n">
        <v>1</v>
      </c>
      <c r="I7" s="13" t="n">
        <v>1</v>
      </c>
      <c r="J7" s="13" t="n">
        <v>1</v>
      </c>
      <c r="K7" s="13" t="n">
        <v>1</v>
      </c>
      <c r="L7" s="13" t="n">
        <v>1</v>
      </c>
      <c r="M7" s="13" t="n">
        <v>1</v>
      </c>
      <c r="N7" s="13" t="n">
        <v>1</v>
      </c>
      <c r="O7" s="13" t="n">
        <v>1</v>
      </c>
      <c r="P7" s="13" t="n">
        <v>1</v>
      </c>
      <c r="Q7" s="13" t="n">
        <v>0</v>
      </c>
      <c r="R7" s="13" t="n">
        <v>1</v>
      </c>
      <c r="S7" s="13" t="n">
        <v>1</v>
      </c>
      <c r="T7" s="13" t="n">
        <v>1</v>
      </c>
      <c r="U7" s="13" t="n">
        <v>1</v>
      </c>
      <c r="V7" s="13" t="n">
        <v>1</v>
      </c>
      <c r="W7" s="13" t="n">
        <v>1</v>
      </c>
      <c r="X7" s="13" t="n">
        <v>1</v>
      </c>
      <c r="Y7" s="13" t="n">
        <v>0</v>
      </c>
      <c r="Z7" s="13" t="n">
        <v>1</v>
      </c>
      <c r="AA7" s="13" t="n">
        <v>1</v>
      </c>
      <c r="AB7" s="13" t="n">
        <v>1</v>
      </c>
      <c r="AC7" s="13" t="n">
        <v>0</v>
      </c>
      <c r="AD7" s="13" t="n">
        <v>1</v>
      </c>
      <c r="AE7" s="13" t="n">
        <v>1</v>
      </c>
      <c r="AF7" s="13" t="n">
        <v>1</v>
      </c>
      <c r="AG7" s="13" t="n">
        <v>1</v>
      </c>
      <c r="AH7" s="13" t="n">
        <v>0</v>
      </c>
      <c r="AI7" s="12">
        <f>COUNTIF(D7:AH7,1)</f>
        <v/>
      </c>
      <c r="AJ7" s="12">
        <f>IF(COUNT(D7:AH7)=0,"",ROUND(AI7/31*100,1))</f>
        <v/>
      </c>
      <c r="AK7" s="12">
        <f>COUNTIF(D7:AH7,0)</f>
        <v/>
      </c>
      <c r="AL7" s="12">
        <f>IF(COUNT(D7:AH7)=0,"",ROUND(AK7/31*100,1))</f>
        <v/>
      </c>
      <c r="AM7" s="20">
        <f>IF(AJ7="","",IF(AJ7&gt;=Нэгтгэл!$K$4,"Хангалттай эзэмшиж байна",IF(AJ7&gt;=Нэгтгэл!$K$5,"Ахиж байна","Хөгжиж байна")))</f>
        <v/>
      </c>
    </row>
    <row r="8" ht="16" customHeight="1">
      <c r="A8" s="12" t="n">
        <v>2</v>
      </c>
      <c r="B8" s="12">
        <f>IF(Нэгтгэл!B8="","",Нэгтгэл!B8)</f>
        <v/>
      </c>
      <c r="C8" s="4" t="n"/>
      <c r="D8" s="13" t="n">
        <v>1</v>
      </c>
      <c r="E8" s="13" t="n">
        <v>1</v>
      </c>
      <c r="F8" s="13" t="n">
        <v>1</v>
      </c>
      <c r="G8" s="13" t="n">
        <v>1</v>
      </c>
      <c r="H8" s="13" t="n">
        <v>0</v>
      </c>
      <c r="I8" s="13" t="n">
        <v>0</v>
      </c>
      <c r="J8" s="13" t="n">
        <v>1</v>
      </c>
      <c r="K8" s="13" t="n">
        <v>1</v>
      </c>
      <c r="L8" s="13" t="n">
        <v>0</v>
      </c>
      <c r="M8" s="13" t="n">
        <v>0</v>
      </c>
      <c r="N8" s="13" t="n">
        <v>1</v>
      </c>
      <c r="O8" s="13" t="n">
        <v>1</v>
      </c>
      <c r="P8" s="13" t="n">
        <v>1</v>
      </c>
      <c r="Q8" s="13" t="n">
        <v>1</v>
      </c>
      <c r="R8" s="13" t="n">
        <v>1</v>
      </c>
      <c r="S8" s="13" t="n">
        <v>1</v>
      </c>
      <c r="T8" s="13" t="n">
        <v>1</v>
      </c>
      <c r="U8" s="13" t="n">
        <v>0</v>
      </c>
      <c r="V8" s="13" t="n">
        <v>1</v>
      </c>
      <c r="W8" s="13" t="n">
        <v>1</v>
      </c>
      <c r="X8" s="13" t="n">
        <v>1</v>
      </c>
      <c r="Y8" s="13" t="n">
        <v>1</v>
      </c>
      <c r="Z8" s="13" t="n">
        <v>1</v>
      </c>
      <c r="AA8" s="13" t="n">
        <v>1</v>
      </c>
      <c r="AB8" s="13" t="n">
        <v>1</v>
      </c>
      <c r="AC8" s="13" t="n">
        <v>0</v>
      </c>
      <c r="AD8" s="13" t="n">
        <v>0</v>
      </c>
      <c r="AE8" s="13" t="n">
        <v>1</v>
      </c>
      <c r="AF8" s="13" t="n">
        <v>0</v>
      </c>
      <c r="AG8" s="13" t="n">
        <v>0</v>
      </c>
      <c r="AH8" s="13" t="n">
        <v>1</v>
      </c>
      <c r="AI8" s="12">
        <f>COUNTIF(D8:AH8,1)</f>
        <v/>
      </c>
      <c r="AJ8" s="12">
        <f>IF(COUNT(D8:AH8)=0,"",ROUND(AI8/31*100,1))</f>
        <v/>
      </c>
      <c r="AK8" s="12">
        <f>COUNTIF(D8:AH8,0)</f>
        <v/>
      </c>
      <c r="AL8" s="12">
        <f>IF(COUNT(D8:AH8)=0,"",ROUND(AK8/31*100,1))</f>
        <v/>
      </c>
      <c r="AM8" s="20">
        <f>IF(AJ8="","",IF(AJ8&gt;=Нэгтгэл!$K$4,"Хангалттай эзэмшиж байна",IF(AJ8&gt;=Нэгтгэл!$K$5,"Ахиж байна","Хөгжиж байна")))</f>
        <v/>
      </c>
    </row>
    <row r="9" ht="16" customHeight="1">
      <c r="A9" s="12" t="n">
        <v>3</v>
      </c>
      <c r="B9" s="12">
        <f>IF(Нэгтгэл!B9="","",Нэгтгэл!B9)</f>
        <v/>
      </c>
      <c r="C9" s="4" t="n"/>
      <c r="D9" s="13" t="n">
        <v>0</v>
      </c>
      <c r="E9" s="13" t="n">
        <v>1</v>
      </c>
      <c r="F9" s="13" t="n">
        <v>0</v>
      </c>
      <c r="G9" s="13" t="n">
        <v>1</v>
      </c>
      <c r="H9" s="13" t="n">
        <v>1</v>
      </c>
      <c r="I9" s="13" t="n">
        <v>1</v>
      </c>
      <c r="J9" s="13" t="n">
        <v>1</v>
      </c>
      <c r="K9" s="13" t="n">
        <v>1</v>
      </c>
      <c r="L9" s="13" t="n">
        <v>1</v>
      </c>
      <c r="M9" s="13" t="n">
        <v>0</v>
      </c>
      <c r="N9" s="13" t="n">
        <v>1</v>
      </c>
      <c r="O9" s="13" t="n">
        <v>0</v>
      </c>
      <c r="P9" s="13" t="n">
        <v>1</v>
      </c>
      <c r="Q9" s="13" t="n">
        <v>1</v>
      </c>
      <c r="R9" s="13" t="n">
        <v>1</v>
      </c>
      <c r="S9" s="13" t="n">
        <v>0</v>
      </c>
      <c r="T9" s="13" t="n">
        <v>0</v>
      </c>
      <c r="U9" s="13" t="n">
        <v>1</v>
      </c>
      <c r="V9" s="13" t="n">
        <v>1</v>
      </c>
      <c r="W9" s="13" t="n">
        <v>1</v>
      </c>
      <c r="X9" s="13" t="n">
        <v>1</v>
      </c>
      <c r="Y9" s="13" t="n">
        <v>1</v>
      </c>
      <c r="Z9" s="13" t="n">
        <v>1</v>
      </c>
      <c r="AA9" s="13" t="n">
        <v>1</v>
      </c>
      <c r="AB9" s="13" t="n">
        <v>0</v>
      </c>
      <c r="AC9" s="13" t="n">
        <v>1</v>
      </c>
      <c r="AD9" s="13" t="n">
        <v>1</v>
      </c>
      <c r="AE9" s="13" t="n">
        <v>1</v>
      </c>
      <c r="AF9" s="13" t="n">
        <v>1</v>
      </c>
      <c r="AG9" s="13" t="n">
        <v>1</v>
      </c>
      <c r="AH9" s="13" t="n">
        <v>0</v>
      </c>
      <c r="AI9" s="12">
        <f>COUNTIF(D9:AH9,1)</f>
        <v/>
      </c>
      <c r="AJ9" s="12">
        <f>IF(COUNT(D9:AH9)=0,"",ROUND(AI9/31*100,1))</f>
        <v/>
      </c>
      <c r="AK9" s="12">
        <f>COUNTIF(D9:AH9,0)</f>
        <v/>
      </c>
      <c r="AL9" s="12">
        <f>IF(COUNT(D9:AH9)=0,"",ROUND(AK9/31*100,1))</f>
        <v/>
      </c>
      <c r="AM9" s="20">
        <f>IF(AJ9="","",IF(AJ9&gt;=Нэгтгэл!$K$4,"Хангалттай эзэмшиж байна",IF(AJ9&gt;=Нэгтгэл!$K$5,"Ахиж байна","Хөгжиж байна")))</f>
        <v/>
      </c>
    </row>
    <row r="10" ht="16" customHeight="1">
      <c r="A10" s="12" t="n">
        <v>4</v>
      </c>
      <c r="B10" s="12">
        <f>IF(Нэгтгэл!B10="","",Нэгтгэл!B10)</f>
        <v/>
      </c>
      <c r="C10" s="4" t="n"/>
      <c r="D10" s="13" t="n">
        <v>1</v>
      </c>
      <c r="E10" s="13" t="n">
        <v>0</v>
      </c>
      <c r="F10" s="13" t="n">
        <v>0</v>
      </c>
      <c r="G10" s="13" t="n">
        <v>0</v>
      </c>
      <c r="H10" s="13" t="n">
        <v>1</v>
      </c>
      <c r="I10" s="13" t="n">
        <v>0</v>
      </c>
      <c r="J10" s="13" t="n">
        <v>1</v>
      </c>
      <c r="K10" s="13" t="n">
        <v>1</v>
      </c>
      <c r="L10" s="13" t="n">
        <v>1</v>
      </c>
      <c r="M10" s="13" t="n">
        <v>1</v>
      </c>
      <c r="N10" s="13" t="n">
        <v>1</v>
      </c>
      <c r="O10" s="13" t="n">
        <v>0</v>
      </c>
      <c r="P10" s="13" t="n">
        <v>0</v>
      </c>
      <c r="Q10" s="13" t="n">
        <v>1</v>
      </c>
      <c r="R10" s="13" t="n">
        <v>1</v>
      </c>
      <c r="S10" s="13" t="n">
        <v>0</v>
      </c>
      <c r="T10" s="13" t="n">
        <v>1</v>
      </c>
      <c r="U10" s="13" t="n">
        <v>0</v>
      </c>
      <c r="V10" s="13" t="n">
        <v>0</v>
      </c>
      <c r="W10" s="13" t="n">
        <v>1</v>
      </c>
      <c r="X10" s="13" t="n">
        <v>1</v>
      </c>
      <c r="Y10" s="13" t="n">
        <v>0</v>
      </c>
      <c r="Z10" s="13" t="n">
        <v>1</v>
      </c>
      <c r="AA10" s="13" t="n">
        <v>1</v>
      </c>
      <c r="AB10" s="13" t="n">
        <v>0</v>
      </c>
      <c r="AC10" s="13" t="n">
        <v>1</v>
      </c>
      <c r="AD10" s="13" t="n">
        <v>1</v>
      </c>
      <c r="AE10" s="13" t="n">
        <v>0</v>
      </c>
      <c r="AF10" s="13" t="n">
        <v>1</v>
      </c>
      <c r="AG10" s="13" t="n">
        <v>0</v>
      </c>
      <c r="AH10" s="13" t="n">
        <v>0</v>
      </c>
      <c r="AI10" s="12">
        <f>COUNTIF(D10:AH10,1)</f>
        <v/>
      </c>
      <c r="AJ10" s="12">
        <f>IF(COUNT(D10:AH10)=0,"",ROUND(AI10/31*100,1))</f>
        <v/>
      </c>
      <c r="AK10" s="12">
        <f>COUNTIF(D10:AH10,0)</f>
        <v/>
      </c>
      <c r="AL10" s="12">
        <f>IF(COUNT(D10:AH10)=0,"",ROUND(AK10/31*100,1))</f>
        <v/>
      </c>
      <c r="AM10" s="20">
        <f>IF(AJ10="","",IF(AJ10&gt;=Нэгтгэл!$K$4,"Хангалттай эзэмшиж байна",IF(AJ10&gt;=Нэгтгэл!$K$5,"Ахиж байна","Хөгжиж байна")))</f>
        <v/>
      </c>
    </row>
    <row r="11" ht="16" customHeight="1">
      <c r="A11" s="12" t="n">
        <v>5</v>
      </c>
      <c r="B11" s="12">
        <f>IF(Нэгтгэл!B11="","",Нэгтгэл!B11)</f>
        <v/>
      </c>
      <c r="C11" s="4" t="n"/>
      <c r="D11" s="13" t="n">
        <v>0</v>
      </c>
      <c r="E11" s="13" t="n">
        <v>0</v>
      </c>
      <c r="F11" s="13" t="n">
        <v>0</v>
      </c>
      <c r="G11" s="13" t="n">
        <v>1</v>
      </c>
      <c r="H11" s="13" t="n">
        <v>0</v>
      </c>
      <c r="I11" s="13" t="n">
        <v>1</v>
      </c>
      <c r="J11" s="13" t="n">
        <v>1</v>
      </c>
      <c r="K11" s="13" t="n">
        <v>1</v>
      </c>
      <c r="L11" s="13" t="n">
        <v>0</v>
      </c>
      <c r="M11" s="13" t="n">
        <v>0</v>
      </c>
      <c r="N11" s="13" t="n">
        <v>0</v>
      </c>
      <c r="O11" s="13" t="n">
        <v>1</v>
      </c>
      <c r="P11" s="13" t="n">
        <v>1</v>
      </c>
      <c r="Q11" s="13" t="n">
        <v>1</v>
      </c>
      <c r="R11" s="13" t="n">
        <v>0</v>
      </c>
      <c r="S11" s="13" t="n">
        <v>0</v>
      </c>
      <c r="T11" s="13" t="n">
        <v>0</v>
      </c>
      <c r="U11" s="13" t="n">
        <v>1</v>
      </c>
      <c r="V11" s="13" t="n">
        <v>0</v>
      </c>
      <c r="W11" s="13" t="n">
        <v>1</v>
      </c>
      <c r="X11" s="13" t="n">
        <v>1</v>
      </c>
      <c r="Y11" s="13" t="n">
        <v>0</v>
      </c>
      <c r="Z11" s="13" t="n">
        <v>0</v>
      </c>
      <c r="AA11" s="13" t="n">
        <v>1</v>
      </c>
      <c r="AB11" s="13" t="n">
        <v>0</v>
      </c>
      <c r="AC11" s="13" t="n">
        <v>0</v>
      </c>
      <c r="AD11" s="13" t="n">
        <v>1</v>
      </c>
      <c r="AE11" s="13" t="n">
        <v>1</v>
      </c>
      <c r="AF11" s="13" t="n">
        <v>1</v>
      </c>
      <c r="AG11" s="13" t="n">
        <v>1</v>
      </c>
      <c r="AH11" s="13" t="n">
        <v>0</v>
      </c>
      <c r="AI11" s="12">
        <f>COUNTIF(D11:AH11,1)</f>
        <v/>
      </c>
      <c r="AJ11" s="12">
        <f>IF(COUNT(D11:AH11)=0,"",ROUND(AI11/31*100,1))</f>
        <v/>
      </c>
      <c r="AK11" s="12">
        <f>COUNTIF(D11:AH11,0)</f>
        <v/>
      </c>
      <c r="AL11" s="12">
        <f>IF(COUNT(D11:AH11)=0,"",ROUND(AK11/31*100,1))</f>
        <v/>
      </c>
      <c r="AM11" s="20">
        <f>IF(AJ11="","",IF(AJ11&gt;=Нэгтгэл!$K$4,"Хангалттай эзэмшиж байна",IF(AJ11&gt;=Нэгтгэл!$K$5,"Ахиж байна","Хөгжиж байна")))</f>
        <v/>
      </c>
    </row>
    <row r="12" ht="16" customHeight="1">
      <c r="A12" s="12" t="n">
        <v>6</v>
      </c>
      <c r="B12" s="12">
        <f>IF(Нэгтгэл!B12="","",Нэгтгэл!B12)</f>
        <v/>
      </c>
      <c r="C12" s="4" t="n"/>
      <c r="D12" s="13" t="n">
        <v>1</v>
      </c>
      <c r="E12" s="13" t="n">
        <v>0</v>
      </c>
      <c r="F12" s="13" t="n">
        <v>0</v>
      </c>
      <c r="G12" s="13" t="n">
        <v>1</v>
      </c>
      <c r="H12" s="13" t="n">
        <v>1</v>
      </c>
      <c r="I12" s="13" t="n">
        <v>0</v>
      </c>
      <c r="J12" s="13" t="n">
        <v>1</v>
      </c>
      <c r="K12" s="13" t="n">
        <v>1</v>
      </c>
      <c r="L12" s="13" t="n">
        <v>0</v>
      </c>
      <c r="M12" s="13" t="n">
        <v>1</v>
      </c>
      <c r="N12" s="13" t="n">
        <v>1</v>
      </c>
      <c r="O12" s="13" t="n">
        <v>1</v>
      </c>
      <c r="P12" s="13" t="n">
        <v>1</v>
      </c>
      <c r="Q12" s="13" t="n">
        <v>0</v>
      </c>
      <c r="R12" s="13" t="n">
        <v>1</v>
      </c>
      <c r="S12" s="13" t="n">
        <v>1</v>
      </c>
      <c r="T12" s="13" t="n">
        <v>1</v>
      </c>
      <c r="U12" s="13" t="n">
        <v>1</v>
      </c>
      <c r="V12" s="13" t="n">
        <v>1</v>
      </c>
      <c r="W12" s="13" t="n">
        <v>1</v>
      </c>
      <c r="X12" s="13" t="n">
        <v>0</v>
      </c>
      <c r="Y12" s="13" t="n">
        <v>1</v>
      </c>
      <c r="Z12" s="13" t="n">
        <v>1</v>
      </c>
      <c r="AA12" s="13" t="n">
        <v>1</v>
      </c>
      <c r="AB12" s="13" t="n">
        <v>0</v>
      </c>
      <c r="AC12" s="13" t="n">
        <v>1</v>
      </c>
      <c r="AD12" s="13" t="n">
        <v>1</v>
      </c>
      <c r="AE12" s="13" t="n">
        <v>1</v>
      </c>
      <c r="AF12" s="13" t="n">
        <v>1</v>
      </c>
      <c r="AG12" s="13" t="n">
        <v>0</v>
      </c>
      <c r="AH12" s="13" t="n">
        <v>1</v>
      </c>
      <c r="AI12" s="12">
        <f>COUNTIF(D12:AH12,1)</f>
        <v/>
      </c>
      <c r="AJ12" s="12">
        <f>IF(COUNT(D12:AH12)=0,"",ROUND(AI12/31*100,1))</f>
        <v/>
      </c>
      <c r="AK12" s="12">
        <f>COUNTIF(D12:AH12,0)</f>
        <v/>
      </c>
      <c r="AL12" s="12">
        <f>IF(COUNT(D12:AH12)=0,"",ROUND(AK12/31*100,1))</f>
        <v/>
      </c>
      <c r="AM12" s="20">
        <f>IF(AJ12="","",IF(AJ12&gt;=Нэгтгэл!$K$4,"Хангалттай эзэмшиж байна",IF(AJ12&gt;=Нэгтгэл!$K$5,"Ахиж байна","Хөгжиж байна")))</f>
        <v/>
      </c>
    </row>
    <row r="13" ht="16" customHeight="1">
      <c r="A13" s="12" t="n">
        <v>7</v>
      </c>
      <c r="B13" s="12">
        <f>IF(Нэгтгэл!B13="","",Нэгтгэл!B13)</f>
        <v/>
      </c>
      <c r="C13" s="4" t="n"/>
      <c r="D13" s="13" t="n">
        <v>1</v>
      </c>
      <c r="E13" s="13" t="n">
        <v>1</v>
      </c>
      <c r="F13" s="13" t="n">
        <v>1</v>
      </c>
      <c r="G13" s="13" t="n">
        <v>1</v>
      </c>
      <c r="H13" s="13" t="n">
        <v>1</v>
      </c>
      <c r="I13" s="13" t="n">
        <v>1</v>
      </c>
      <c r="J13" s="13" t="n">
        <v>0</v>
      </c>
      <c r="K13" s="13" t="n">
        <v>0</v>
      </c>
      <c r="L13" s="13" t="n">
        <v>1</v>
      </c>
      <c r="M13" s="13" t="n">
        <v>1</v>
      </c>
      <c r="N13" s="13" t="n">
        <v>1</v>
      </c>
      <c r="O13" s="13" t="n">
        <v>1</v>
      </c>
      <c r="P13" s="13" t="n">
        <v>1</v>
      </c>
      <c r="Q13" s="13" t="n">
        <v>1</v>
      </c>
      <c r="R13" s="13" t="n">
        <v>0</v>
      </c>
      <c r="S13" s="13" t="n">
        <v>0</v>
      </c>
      <c r="T13" s="13" t="n">
        <v>1</v>
      </c>
      <c r="U13" s="13" t="n">
        <v>1</v>
      </c>
      <c r="V13" s="13" t="n">
        <v>0</v>
      </c>
      <c r="W13" s="13" t="n">
        <v>0</v>
      </c>
      <c r="X13" s="13" t="n">
        <v>0</v>
      </c>
      <c r="Y13" s="13" t="n">
        <v>1</v>
      </c>
      <c r="Z13" s="13" t="n">
        <v>1</v>
      </c>
      <c r="AA13" s="13" t="n">
        <v>1</v>
      </c>
      <c r="AB13" s="13" t="n">
        <v>1</v>
      </c>
      <c r="AC13" s="13" t="n">
        <v>1</v>
      </c>
      <c r="AD13" s="13" t="n">
        <v>1</v>
      </c>
      <c r="AE13" s="13" t="n">
        <v>0</v>
      </c>
      <c r="AF13" s="13" t="n">
        <v>1</v>
      </c>
      <c r="AG13" s="13" t="n">
        <v>1</v>
      </c>
      <c r="AH13" s="13" t="n">
        <v>0</v>
      </c>
      <c r="AI13" s="12">
        <f>COUNTIF(D13:AH13,1)</f>
        <v/>
      </c>
      <c r="AJ13" s="12">
        <f>IF(COUNT(D13:AH13)=0,"",ROUND(AI13/31*100,1))</f>
        <v/>
      </c>
      <c r="AK13" s="12">
        <f>COUNTIF(D13:AH13,0)</f>
        <v/>
      </c>
      <c r="AL13" s="12">
        <f>IF(COUNT(D13:AH13)=0,"",ROUND(AK13/31*100,1))</f>
        <v/>
      </c>
      <c r="AM13" s="20">
        <f>IF(AJ13="","",IF(AJ13&gt;=Нэгтгэл!$K$4,"Хангалттай эзэмшиж байна",IF(AJ13&gt;=Нэгтгэл!$K$5,"Ахиж байна","Хөгжиж байна")))</f>
        <v/>
      </c>
    </row>
    <row r="14" ht="16" customHeight="1">
      <c r="A14" s="12" t="n">
        <v>8</v>
      </c>
      <c r="B14" s="12">
        <f>IF(Нэгтгэл!B14="","",Нэгтгэл!B14)</f>
        <v/>
      </c>
      <c r="C14" s="4" t="n"/>
      <c r="D14" s="13" t="n">
        <v>0</v>
      </c>
      <c r="E14" s="13" t="n">
        <v>0</v>
      </c>
      <c r="F14" s="13" t="n">
        <v>1</v>
      </c>
      <c r="G14" s="13" t="n">
        <v>1</v>
      </c>
      <c r="H14" s="13" t="n">
        <v>1</v>
      </c>
      <c r="I14" s="13" t="n">
        <v>1</v>
      </c>
      <c r="J14" s="13" t="n">
        <v>0</v>
      </c>
      <c r="K14" s="13" t="n">
        <v>1</v>
      </c>
      <c r="L14" s="13" t="n">
        <v>0</v>
      </c>
      <c r="M14" s="13" t="n">
        <v>1</v>
      </c>
      <c r="N14" s="13" t="n">
        <v>1</v>
      </c>
      <c r="O14" s="13" t="n">
        <v>1</v>
      </c>
      <c r="P14" s="13" t="n">
        <v>1</v>
      </c>
      <c r="Q14" s="13" t="n">
        <v>0</v>
      </c>
      <c r="R14" s="13" t="n">
        <v>0</v>
      </c>
      <c r="S14" s="13" t="n">
        <v>0</v>
      </c>
      <c r="T14" s="13" t="n">
        <v>1</v>
      </c>
      <c r="U14" s="13" t="n">
        <v>1</v>
      </c>
      <c r="V14" s="13" t="n">
        <v>0</v>
      </c>
      <c r="W14" s="13" t="n">
        <v>1</v>
      </c>
      <c r="X14" s="13" t="n">
        <v>1</v>
      </c>
      <c r="Y14" s="13" t="n">
        <v>1</v>
      </c>
      <c r="Z14" s="13" t="n">
        <v>1</v>
      </c>
      <c r="AA14" s="13" t="n">
        <v>1</v>
      </c>
      <c r="AB14" s="13" t="n">
        <v>0</v>
      </c>
      <c r="AC14" s="13" t="n">
        <v>1</v>
      </c>
      <c r="AD14" s="13" t="n">
        <v>0</v>
      </c>
      <c r="AE14" s="13" t="n">
        <v>0</v>
      </c>
      <c r="AF14" s="13" t="n">
        <v>1</v>
      </c>
      <c r="AG14" s="13" t="n">
        <v>1</v>
      </c>
      <c r="AH14" s="13" t="n">
        <v>0</v>
      </c>
      <c r="AI14" s="12">
        <f>COUNTIF(D14:AH14,1)</f>
        <v/>
      </c>
      <c r="AJ14" s="12">
        <f>IF(COUNT(D14:AH14)=0,"",ROUND(AI14/31*100,1))</f>
        <v/>
      </c>
      <c r="AK14" s="12">
        <f>COUNTIF(D14:AH14,0)</f>
        <v/>
      </c>
      <c r="AL14" s="12">
        <f>IF(COUNT(D14:AH14)=0,"",ROUND(AK14/31*100,1))</f>
        <v/>
      </c>
      <c r="AM14" s="20">
        <f>IF(AJ14="","",IF(AJ14&gt;=Нэгтгэл!$K$4,"Хангалттай эзэмшиж байна",IF(AJ14&gt;=Нэгтгэл!$K$5,"Ахиж байна","Хөгжиж байна")))</f>
        <v/>
      </c>
    </row>
    <row r="15" ht="16" customHeight="1">
      <c r="A15" s="12" t="n">
        <v>9</v>
      </c>
      <c r="B15" s="12">
        <f>IF(Нэгтгэл!B15="","",Нэгтгэл!B15)</f>
        <v/>
      </c>
      <c r="C15" s="4" t="n"/>
      <c r="D15" s="13" t="n">
        <v>1</v>
      </c>
      <c r="E15" s="13" t="n">
        <v>1</v>
      </c>
      <c r="F15" s="13" t="n">
        <v>1</v>
      </c>
      <c r="G15" s="13" t="n">
        <v>0</v>
      </c>
      <c r="H15" s="13" t="n">
        <v>0</v>
      </c>
      <c r="I15" s="13" t="n">
        <v>0</v>
      </c>
      <c r="J15" s="13" t="n">
        <v>1</v>
      </c>
      <c r="K15" s="13" t="n">
        <v>1</v>
      </c>
      <c r="L15" s="13" t="n">
        <v>1</v>
      </c>
      <c r="M15" s="13" t="n">
        <v>1</v>
      </c>
      <c r="N15" s="13" t="n">
        <v>0</v>
      </c>
      <c r="O15" s="13" t="n">
        <v>1</v>
      </c>
      <c r="P15" s="13" t="n">
        <v>1</v>
      </c>
      <c r="Q15" s="13" t="n">
        <v>0</v>
      </c>
      <c r="R15" s="13" t="n">
        <v>1</v>
      </c>
      <c r="S15" s="13" t="n">
        <v>1</v>
      </c>
      <c r="T15" s="13" t="n">
        <v>0</v>
      </c>
      <c r="U15" s="13" t="n">
        <v>1</v>
      </c>
      <c r="V15" s="13" t="n">
        <v>0</v>
      </c>
      <c r="W15" s="13" t="n">
        <v>1</v>
      </c>
      <c r="X15" s="13" t="n">
        <v>0</v>
      </c>
      <c r="Y15" s="13" t="n">
        <v>0</v>
      </c>
      <c r="Z15" s="13" t="n">
        <v>0</v>
      </c>
      <c r="AA15" s="13" t="n">
        <v>1</v>
      </c>
      <c r="AB15" s="13" t="n">
        <v>1</v>
      </c>
      <c r="AC15" s="13" t="n">
        <v>1</v>
      </c>
      <c r="AD15" s="13" t="n">
        <v>0</v>
      </c>
      <c r="AE15" s="13" t="n">
        <v>1</v>
      </c>
      <c r="AF15" s="13" t="n">
        <v>1</v>
      </c>
      <c r="AG15" s="13" t="n">
        <v>1</v>
      </c>
      <c r="AH15" s="13" t="n">
        <v>1</v>
      </c>
      <c r="AI15" s="12">
        <f>COUNTIF(D15:AH15,1)</f>
        <v/>
      </c>
      <c r="AJ15" s="12">
        <f>IF(COUNT(D15:AH15)=0,"",ROUND(AI15/31*100,1))</f>
        <v/>
      </c>
      <c r="AK15" s="12">
        <f>COUNTIF(D15:AH15,0)</f>
        <v/>
      </c>
      <c r="AL15" s="12">
        <f>IF(COUNT(D15:AH15)=0,"",ROUND(AK15/31*100,1))</f>
        <v/>
      </c>
      <c r="AM15" s="20">
        <f>IF(AJ15="","",IF(AJ15&gt;=Нэгтгэл!$K$4,"Хангалттай эзэмшиж байна",IF(AJ15&gt;=Нэгтгэл!$K$5,"Ахиж байна","Хөгжиж байна")))</f>
        <v/>
      </c>
    </row>
    <row r="16" ht="16" customHeight="1">
      <c r="A16" s="12" t="n">
        <v>10</v>
      </c>
      <c r="B16" s="12">
        <f>IF(Нэгтгэл!B16="","",Нэгтгэл!B16)</f>
        <v/>
      </c>
      <c r="C16" s="4" t="n"/>
      <c r="D16" s="13" t="n">
        <v>0</v>
      </c>
      <c r="E16" s="13" t="n">
        <v>1</v>
      </c>
      <c r="F16" s="13" t="n">
        <v>1</v>
      </c>
      <c r="G16" s="13" t="n">
        <v>1</v>
      </c>
      <c r="H16" s="13" t="n">
        <v>0</v>
      </c>
      <c r="I16" s="13" t="n">
        <v>1</v>
      </c>
      <c r="J16" s="13" t="n">
        <v>0</v>
      </c>
      <c r="K16" s="13" t="n">
        <v>1</v>
      </c>
      <c r="L16" s="13" t="n">
        <v>0</v>
      </c>
      <c r="M16" s="13" t="n">
        <v>1</v>
      </c>
      <c r="N16" s="13" t="n">
        <v>1</v>
      </c>
      <c r="O16" s="13" t="n">
        <v>0</v>
      </c>
      <c r="P16" s="13" t="n">
        <v>1</v>
      </c>
      <c r="Q16" s="13" t="n">
        <v>1</v>
      </c>
      <c r="R16" s="13" t="n">
        <v>1</v>
      </c>
      <c r="S16" s="13" t="n">
        <v>0</v>
      </c>
      <c r="T16" s="13" t="n">
        <v>1</v>
      </c>
      <c r="U16" s="13" t="n">
        <v>1</v>
      </c>
      <c r="V16" s="13" t="n">
        <v>1</v>
      </c>
      <c r="W16" s="13" t="n">
        <v>1</v>
      </c>
      <c r="X16" s="13" t="n">
        <v>0</v>
      </c>
      <c r="Y16" s="13" t="n">
        <v>0</v>
      </c>
      <c r="Z16" s="13" t="n">
        <v>1</v>
      </c>
      <c r="AA16" s="13" t="n">
        <v>1</v>
      </c>
      <c r="AB16" s="13" t="n">
        <v>1</v>
      </c>
      <c r="AC16" s="13" t="n">
        <v>0</v>
      </c>
      <c r="AD16" s="13" t="n">
        <v>1</v>
      </c>
      <c r="AE16" s="13" t="n">
        <v>1</v>
      </c>
      <c r="AF16" s="13" t="n">
        <v>0</v>
      </c>
      <c r="AG16" s="13" t="n">
        <v>1</v>
      </c>
      <c r="AH16" s="13" t="n">
        <v>0</v>
      </c>
      <c r="AI16" s="12">
        <f>COUNTIF(D16:AH16,1)</f>
        <v/>
      </c>
      <c r="AJ16" s="12">
        <f>IF(COUNT(D16:AH16)=0,"",ROUND(AI16/31*100,1))</f>
        <v/>
      </c>
      <c r="AK16" s="12">
        <f>COUNTIF(D16:AH16,0)</f>
        <v/>
      </c>
      <c r="AL16" s="12">
        <f>IF(COUNT(D16:AH16)=0,"",ROUND(AK16/31*100,1))</f>
        <v/>
      </c>
      <c r="AM16" s="20">
        <f>IF(AJ16="","",IF(AJ16&gt;=Нэгтгэл!$K$4,"Хангалттай эзэмшиж байна",IF(AJ16&gt;=Нэгтгэл!$K$5,"Ахиж байна","Хөгжиж байна")))</f>
        <v/>
      </c>
    </row>
    <row r="17" ht="16" customHeight="1">
      <c r="A17" s="12" t="n">
        <v>11</v>
      </c>
      <c r="B17" s="12">
        <f>IF(Нэгтгэл!B17="","",Нэгтгэл!B17)</f>
        <v/>
      </c>
      <c r="C17" s="4" t="n"/>
      <c r="D17" s="13" t="n">
        <v>1</v>
      </c>
      <c r="E17" s="13" t="n">
        <v>0</v>
      </c>
      <c r="F17" s="13" t="n">
        <v>1</v>
      </c>
      <c r="G17" s="13" t="n">
        <v>1</v>
      </c>
      <c r="H17" s="13" t="n">
        <v>1</v>
      </c>
      <c r="I17" s="13" t="n">
        <v>1</v>
      </c>
      <c r="J17" s="13" t="n">
        <v>0</v>
      </c>
      <c r="K17" s="13" t="n">
        <v>1</v>
      </c>
      <c r="L17" s="13" t="n">
        <v>0</v>
      </c>
      <c r="M17" s="13" t="n">
        <v>0</v>
      </c>
      <c r="N17" s="13" t="n">
        <v>1</v>
      </c>
      <c r="O17" s="13" t="n">
        <v>0</v>
      </c>
      <c r="P17" s="13" t="n">
        <v>1</v>
      </c>
      <c r="Q17" s="13" t="n">
        <v>1</v>
      </c>
      <c r="R17" s="13" t="n">
        <v>0</v>
      </c>
      <c r="S17" s="13" t="n">
        <v>1</v>
      </c>
      <c r="T17" s="13" t="n">
        <v>1</v>
      </c>
      <c r="U17" s="13" t="n">
        <v>1</v>
      </c>
      <c r="V17" s="13" t="n">
        <v>1</v>
      </c>
      <c r="W17" s="13" t="n">
        <v>1</v>
      </c>
      <c r="X17" s="13" t="n">
        <v>1</v>
      </c>
      <c r="Y17" s="13" t="n">
        <v>1</v>
      </c>
      <c r="Z17" s="13" t="n">
        <v>0</v>
      </c>
      <c r="AA17" s="13" t="n">
        <v>0</v>
      </c>
      <c r="AB17" s="13" t="n">
        <v>0</v>
      </c>
      <c r="AC17" s="13" t="n">
        <v>1</v>
      </c>
      <c r="AD17" s="13" t="n">
        <v>1</v>
      </c>
      <c r="AE17" s="13" t="n">
        <v>1</v>
      </c>
      <c r="AF17" s="13" t="n">
        <v>1</v>
      </c>
      <c r="AG17" s="13" t="n">
        <v>1</v>
      </c>
      <c r="AH17" s="13" t="n">
        <v>1</v>
      </c>
      <c r="AI17" s="12">
        <f>COUNTIF(D17:AH17,1)</f>
        <v/>
      </c>
      <c r="AJ17" s="12">
        <f>IF(COUNT(D17:AH17)=0,"",ROUND(AI17/31*100,1))</f>
        <v/>
      </c>
      <c r="AK17" s="12">
        <f>COUNTIF(D17:AH17,0)</f>
        <v/>
      </c>
      <c r="AL17" s="12">
        <f>IF(COUNT(D17:AH17)=0,"",ROUND(AK17/31*100,1))</f>
        <v/>
      </c>
      <c r="AM17" s="20">
        <f>IF(AJ17="","",IF(AJ17&gt;=Нэгтгэл!$K$4,"Хангалттай эзэмшиж байна",IF(AJ17&gt;=Нэгтгэл!$K$5,"Ахиж байна","Хөгжиж байна")))</f>
        <v/>
      </c>
    </row>
    <row r="18" ht="16" customHeight="1">
      <c r="A18" s="12" t="n">
        <v>12</v>
      </c>
      <c r="B18" s="12">
        <f>IF(Нэгтгэл!B18="","",Нэгтгэл!B18)</f>
        <v/>
      </c>
      <c r="C18" s="4" t="n"/>
      <c r="D18" s="13" t="n">
        <v>1</v>
      </c>
      <c r="E18" s="13" t="n">
        <v>1</v>
      </c>
      <c r="F18" s="13" t="n">
        <v>1</v>
      </c>
      <c r="G18" s="13" t="n">
        <v>1</v>
      </c>
      <c r="H18" s="13" t="n">
        <v>0</v>
      </c>
      <c r="I18" s="13" t="n">
        <v>0</v>
      </c>
      <c r="J18" s="13" t="n">
        <v>1</v>
      </c>
      <c r="K18" s="13" t="n">
        <v>1</v>
      </c>
      <c r="L18" s="13" t="n">
        <v>1</v>
      </c>
      <c r="M18" s="13" t="n">
        <v>0</v>
      </c>
      <c r="N18" s="13" t="n">
        <v>0</v>
      </c>
      <c r="O18" s="13" t="n">
        <v>0</v>
      </c>
      <c r="P18" s="13" t="n">
        <v>1</v>
      </c>
      <c r="Q18" s="13" t="n">
        <v>1</v>
      </c>
      <c r="R18" s="13" t="n">
        <v>1</v>
      </c>
      <c r="S18" s="13" t="n">
        <v>1</v>
      </c>
      <c r="T18" s="13" t="n">
        <v>1</v>
      </c>
      <c r="U18" s="13" t="n">
        <v>1</v>
      </c>
      <c r="V18" s="13" t="n">
        <v>0</v>
      </c>
      <c r="W18" s="13" t="n">
        <v>1</v>
      </c>
      <c r="X18" s="13" t="n">
        <v>1</v>
      </c>
      <c r="Y18" s="13" t="n">
        <v>1</v>
      </c>
      <c r="Z18" s="13" t="n">
        <v>0</v>
      </c>
      <c r="AA18" s="13" t="n">
        <v>0</v>
      </c>
      <c r="AB18" s="13" t="n">
        <v>1</v>
      </c>
      <c r="AC18" s="13" t="n">
        <v>0</v>
      </c>
      <c r="AD18" s="13" t="n">
        <v>0</v>
      </c>
      <c r="AE18" s="13" t="n">
        <v>0</v>
      </c>
      <c r="AF18" s="13" t="n">
        <v>1</v>
      </c>
      <c r="AG18" s="13" t="n">
        <v>1</v>
      </c>
      <c r="AH18" s="13" t="n">
        <v>0</v>
      </c>
      <c r="AI18" s="12">
        <f>COUNTIF(D18:AH18,1)</f>
        <v/>
      </c>
      <c r="AJ18" s="12">
        <f>IF(COUNT(D18:AH18)=0,"",ROUND(AI18/31*100,1))</f>
        <v/>
      </c>
      <c r="AK18" s="12">
        <f>COUNTIF(D18:AH18,0)</f>
        <v/>
      </c>
      <c r="AL18" s="12">
        <f>IF(COUNT(D18:AH18)=0,"",ROUND(AK18/31*100,1))</f>
        <v/>
      </c>
      <c r="AM18" s="20">
        <f>IF(AJ18="","",IF(AJ18&gt;=Нэгтгэл!$K$4,"Хангалттай эзэмшиж байна",IF(AJ18&gt;=Нэгтгэл!$K$5,"Ахиж байна","Хөгжиж байна")))</f>
        <v/>
      </c>
    </row>
    <row r="19" ht="16" customHeight="1">
      <c r="A19" s="12" t="n">
        <v>13</v>
      </c>
      <c r="B19" s="12">
        <f>IF(Нэгтгэл!B19="","",Нэгтгэл!B19)</f>
        <v/>
      </c>
      <c r="C19" s="4" t="n"/>
      <c r="D19" s="13" t="n">
        <v>1</v>
      </c>
      <c r="E19" s="13" t="n">
        <v>0</v>
      </c>
      <c r="F19" s="13" t="n">
        <v>1</v>
      </c>
      <c r="G19" s="13" t="n">
        <v>1</v>
      </c>
      <c r="H19" s="13" t="n">
        <v>1</v>
      </c>
      <c r="I19" s="13" t="n">
        <v>1</v>
      </c>
      <c r="J19" s="13" t="n">
        <v>1</v>
      </c>
      <c r="K19" s="13" t="n">
        <v>0</v>
      </c>
      <c r="L19" s="13" t="n">
        <v>1</v>
      </c>
      <c r="M19" s="13" t="n">
        <v>1</v>
      </c>
      <c r="N19" s="13" t="n">
        <v>1</v>
      </c>
      <c r="O19" s="13" t="n">
        <v>1</v>
      </c>
      <c r="P19" s="13" t="n">
        <v>0</v>
      </c>
      <c r="Q19" s="13" t="n">
        <v>1</v>
      </c>
      <c r="R19" s="13" t="n">
        <v>0</v>
      </c>
      <c r="S19" s="13" t="n">
        <v>0</v>
      </c>
      <c r="T19" s="13" t="n">
        <v>1</v>
      </c>
      <c r="U19" s="13" t="n">
        <v>1</v>
      </c>
      <c r="V19" s="13" t="n">
        <v>1</v>
      </c>
      <c r="W19" s="13" t="n">
        <v>0</v>
      </c>
      <c r="X19" s="13" t="n">
        <v>0</v>
      </c>
      <c r="Y19" s="13" t="n">
        <v>0</v>
      </c>
      <c r="Z19" s="13" t="n">
        <v>1</v>
      </c>
      <c r="AA19" s="13" t="n">
        <v>0</v>
      </c>
      <c r="AB19" s="13" t="n">
        <v>1</v>
      </c>
      <c r="AC19" s="13" t="n">
        <v>1</v>
      </c>
      <c r="AD19" s="13" t="n">
        <v>1</v>
      </c>
      <c r="AE19" s="13" t="n">
        <v>1</v>
      </c>
      <c r="AF19" s="13" t="n">
        <v>1</v>
      </c>
      <c r="AG19" s="13" t="n">
        <v>1</v>
      </c>
      <c r="AH19" s="13" t="n">
        <v>0</v>
      </c>
      <c r="AI19" s="12">
        <f>COUNTIF(D19:AH19,1)</f>
        <v/>
      </c>
      <c r="AJ19" s="12">
        <f>IF(COUNT(D19:AH19)=0,"",ROUND(AI19/31*100,1))</f>
        <v/>
      </c>
      <c r="AK19" s="12">
        <f>COUNTIF(D19:AH19,0)</f>
        <v/>
      </c>
      <c r="AL19" s="12">
        <f>IF(COUNT(D19:AH19)=0,"",ROUND(AK19/31*100,1))</f>
        <v/>
      </c>
      <c r="AM19" s="20">
        <f>IF(AJ19="","",IF(AJ19&gt;=Нэгтгэл!$K$4,"Хангалттай эзэмшиж байна",IF(AJ19&gt;=Нэгтгэл!$K$5,"Ахиж байна","Хөгжиж байна")))</f>
        <v/>
      </c>
    </row>
    <row r="20" ht="16" customHeight="1">
      <c r="A20" s="12" t="n">
        <v>14</v>
      </c>
      <c r="B20" s="12">
        <f>IF(Нэгтгэл!B20="","",Нэгтгэл!B20)</f>
        <v/>
      </c>
      <c r="C20" s="4" t="n"/>
      <c r="D20" s="13" t="n">
        <v>1</v>
      </c>
      <c r="E20" s="13" t="n">
        <v>0</v>
      </c>
      <c r="F20" s="13" t="n">
        <v>1</v>
      </c>
      <c r="G20" s="13" t="n">
        <v>0</v>
      </c>
      <c r="H20" s="13" t="n">
        <v>0</v>
      </c>
      <c r="I20" s="13" t="n">
        <v>1</v>
      </c>
      <c r="J20" s="13" t="n">
        <v>1</v>
      </c>
      <c r="K20" s="13" t="n">
        <v>1</v>
      </c>
      <c r="L20" s="13" t="n">
        <v>1</v>
      </c>
      <c r="M20" s="13" t="n">
        <v>1</v>
      </c>
      <c r="N20" s="13" t="n">
        <v>0</v>
      </c>
      <c r="O20" s="13" t="n">
        <v>1</v>
      </c>
      <c r="P20" s="13" t="n">
        <v>1</v>
      </c>
      <c r="Q20" s="13" t="n">
        <v>1</v>
      </c>
      <c r="R20" s="13" t="n">
        <v>0</v>
      </c>
      <c r="S20" s="13" t="n">
        <v>1</v>
      </c>
      <c r="T20" s="13" t="n">
        <v>0</v>
      </c>
      <c r="U20" s="13" t="n">
        <v>0</v>
      </c>
      <c r="V20" s="13" t="n">
        <v>1</v>
      </c>
      <c r="W20" s="13" t="n">
        <v>1</v>
      </c>
      <c r="X20" s="13" t="n">
        <v>1</v>
      </c>
      <c r="Y20" s="13" t="n">
        <v>1</v>
      </c>
      <c r="Z20" s="13" t="n">
        <v>0</v>
      </c>
      <c r="AA20" s="13" t="n">
        <v>1</v>
      </c>
      <c r="AB20" s="13" t="n">
        <v>0</v>
      </c>
      <c r="AC20" s="13" t="n">
        <v>1</v>
      </c>
      <c r="AD20" s="13" t="n">
        <v>1</v>
      </c>
      <c r="AE20" s="13" t="n">
        <v>0</v>
      </c>
      <c r="AF20" s="13" t="n">
        <v>0</v>
      </c>
      <c r="AG20" s="13" t="n">
        <v>1</v>
      </c>
      <c r="AH20" s="13" t="n">
        <v>1</v>
      </c>
      <c r="AI20" s="12">
        <f>COUNTIF(D20:AH20,1)</f>
        <v/>
      </c>
      <c r="AJ20" s="12">
        <f>IF(COUNT(D20:AH20)=0,"",ROUND(AI20/31*100,1))</f>
        <v/>
      </c>
      <c r="AK20" s="12">
        <f>COUNTIF(D20:AH20,0)</f>
        <v/>
      </c>
      <c r="AL20" s="12">
        <f>IF(COUNT(D20:AH20)=0,"",ROUND(AK20/31*100,1))</f>
        <v/>
      </c>
      <c r="AM20" s="20">
        <f>IF(AJ20="","",IF(AJ20&gt;=Нэгтгэл!$K$4,"Хангалттай эзэмшиж байна",IF(AJ20&gt;=Нэгтгэл!$K$5,"Ахиж байна","Хөгжиж байна")))</f>
        <v/>
      </c>
    </row>
    <row r="21" ht="16" customHeight="1">
      <c r="A21" s="12" t="n">
        <v>15</v>
      </c>
      <c r="B21" s="12">
        <f>IF(Нэгтгэл!B21="","",Нэгтгэл!B21)</f>
        <v/>
      </c>
      <c r="C21" s="4" t="n"/>
      <c r="D21" s="13" t="n">
        <v>0</v>
      </c>
      <c r="E21" s="13" t="n">
        <v>1</v>
      </c>
      <c r="F21" s="13" t="n">
        <v>1</v>
      </c>
      <c r="G21" s="13" t="n">
        <v>1</v>
      </c>
      <c r="H21" s="13" t="n">
        <v>1</v>
      </c>
      <c r="I21" s="13" t="n">
        <v>0</v>
      </c>
      <c r="J21" s="13" t="n">
        <v>1</v>
      </c>
      <c r="K21" s="13" t="n">
        <v>0</v>
      </c>
      <c r="L21" s="13" t="n">
        <v>1</v>
      </c>
      <c r="M21" s="13" t="n">
        <v>1</v>
      </c>
      <c r="N21" s="13" t="n">
        <v>1</v>
      </c>
      <c r="O21" s="13" t="n">
        <v>1</v>
      </c>
      <c r="P21" s="13" t="n">
        <v>1</v>
      </c>
      <c r="Q21" s="13" t="n">
        <v>1</v>
      </c>
      <c r="R21" s="13" t="n">
        <v>1</v>
      </c>
      <c r="S21" s="13" t="n">
        <v>1</v>
      </c>
      <c r="T21" s="13" t="n">
        <v>1</v>
      </c>
      <c r="U21" s="13" t="n">
        <v>1</v>
      </c>
      <c r="V21" s="13" t="n">
        <v>1</v>
      </c>
      <c r="W21" s="13" t="n">
        <v>1</v>
      </c>
      <c r="X21" s="13" t="n">
        <v>0</v>
      </c>
      <c r="Y21" s="13" t="n">
        <v>1</v>
      </c>
      <c r="Z21" s="13" t="n">
        <v>0</v>
      </c>
      <c r="AA21" s="13" t="n">
        <v>1</v>
      </c>
      <c r="AB21" s="13" t="n">
        <v>1</v>
      </c>
      <c r="AC21" s="13" t="n">
        <v>1</v>
      </c>
      <c r="AD21" s="13" t="n">
        <v>0</v>
      </c>
      <c r="AE21" s="13" t="n">
        <v>1</v>
      </c>
      <c r="AF21" s="13" t="n">
        <v>1</v>
      </c>
      <c r="AG21" s="13" t="n">
        <v>1</v>
      </c>
      <c r="AH21" s="13" t="n">
        <v>0</v>
      </c>
      <c r="AI21" s="12">
        <f>COUNTIF(D21:AH21,1)</f>
        <v/>
      </c>
      <c r="AJ21" s="12">
        <f>IF(COUNT(D21:AH21)=0,"",ROUND(AI21/31*100,1))</f>
        <v/>
      </c>
      <c r="AK21" s="12">
        <f>COUNTIF(D21:AH21,0)</f>
        <v/>
      </c>
      <c r="AL21" s="12">
        <f>IF(COUNT(D21:AH21)=0,"",ROUND(AK21/31*100,1))</f>
        <v/>
      </c>
      <c r="AM21" s="20">
        <f>IF(AJ21="","",IF(AJ21&gt;=Нэгтгэл!$K$4,"Хангалттай эзэмшиж байна",IF(AJ21&gt;=Нэгтгэл!$K$5,"Ахиж байна","Хөгжиж байна")))</f>
        <v/>
      </c>
    </row>
    <row r="22" ht="16" customHeight="1">
      <c r="A22" s="12" t="n">
        <v>16</v>
      </c>
      <c r="B22" s="12">
        <f>IF(Нэгтгэл!B22="","",Нэгтгэл!B22)</f>
        <v/>
      </c>
      <c r="C22" s="4" t="n"/>
      <c r="D22" s="13" t="n">
        <v>0</v>
      </c>
      <c r="E22" s="13" t="n">
        <v>0</v>
      </c>
      <c r="F22" s="13" t="n">
        <v>1</v>
      </c>
      <c r="G22" s="13" t="n">
        <v>1</v>
      </c>
      <c r="H22" s="13" t="n">
        <v>0</v>
      </c>
      <c r="I22" s="13" t="n">
        <v>1</v>
      </c>
      <c r="J22" s="13" t="n">
        <v>1</v>
      </c>
      <c r="K22" s="13" t="n">
        <v>1</v>
      </c>
      <c r="L22" s="13" t="n">
        <v>1</v>
      </c>
      <c r="M22" s="13" t="n">
        <v>1</v>
      </c>
      <c r="N22" s="13" t="n">
        <v>1</v>
      </c>
      <c r="O22" s="13" t="n">
        <v>1</v>
      </c>
      <c r="P22" s="13" t="n">
        <v>1</v>
      </c>
      <c r="Q22" s="13" t="n">
        <v>1</v>
      </c>
      <c r="R22" s="13" t="n">
        <v>0</v>
      </c>
      <c r="S22" s="13" t="n">
        <v>1</v>
      </c>
      <c r="T22" s="13" t="n">
        <v>1</v>
      </c>
      <c r="U22" s="13" t="n">
        <v>1</v>
      </c>
      <c r="V22" s="13" t="n">
        <v>0</v>
      </c>
      <c r="W22" s="13" t="n">
        <v>0</v>
      </c>
      <c r="X22" s="13" t="n">
        <v>1</v>
      </c>
      <c r="Y22" s="13" t="n">
        <v>0</v>
      </c>
      <c r="Z22" s="13" t="n">
        <v>1</v>
      </c>
      <c r="AA22" s="13" t="n">
        <v>1</v>
      </c>
      <c r="AB22" s="13" t="n">
        <v>1</v>
      </c>
      <c r="AC22" s="13" t="n">
        <v>0</v>
      </c>
      <c r="AD22" s="13" t="n">
        <v>1</v>
      </c>
      <c r="AE22" s="13" t="n">
        <v>1</v>
      </c>
      <c r="AF22" s="13" t="n">
        <v>1</v>
      </c>
      <c r="AG22" s="13" t="n">
        <v>1</v>
      </c>
      <c r="AH22" s="13" t="n">
        <v>0</v>
      </c>
      <c r="AI22" s="12">
        <f>COUNTIF(D22:AH22,1)</f>
        <v/>
      </c>
      <c r="AJ22" s="12">
        <f>IF(COUNT(D22:AH22)=0,"",ROUND(AI22/31*100,1))</f>
        <v/>
      </c>
      <c r="AK22" s="12">
        <f>COUNTIF(D22:AH22,0)</f>
        <v/>
      </c>
      <c r="AL22" s="12">
        <f>IF(COUNT(D22:AH22)=0,"",ROUND(AK22/31*100,1))</f>
        <v/>
      </c>
      <c r="AM22" s="20">
        <f>IF(AJ22="","",IF(AJ22&gt;=Нэгтгэл!$K$4,"Хангалттай эзэмшиж байна",IF(AJ22&gt;=Нэгтгэл!$K$5,"Ахиж байна","Хөгжиж байна")))</f>
        <v/>
      </c>
    </row>
    <row r="23" ht="16" customHeight="1">
      <c r="A23" s="12" t="n">
        <v>17</v>
      </c>
      <c r="B23" s="12">
        <f>IF(Нэгтгэл!B23="","",Нэгтгэл!B23)</f>
        <v/>
      </c>
      <c r="C23" s="4" t="n"/>
      <c r="D23" s="13" t="n">
        <v>1</v>
      </c>
      <c r="E23" s="13" t="n">
        <v>1</v>
      </c>
      <c r="F23" s="13" t="n">
        <v>1</v>
      </c>
      <c r="G23" s="13" t="n">
        <v>0</v>
      </c>
      <c r="H23" s="13" t="n">
        <v>1</v>
      </c>
      <c r="I23" s="13" t="n">
        <v>1</v>
      </c>
      <c r="J23" s="13" t="n">
        <v>1</v>
      </c>
      <c r="K23" s="13" t="n">
        <v>0</v>
      </c>
      <c r="L23" s="13" t="n">
        <v>1</v>
      </c>
      <c r="M23" s="13" t="n">
        <v>1</v>
      </c>
      <c r="N23" s="13" t="n">
        <v>1</v>
      </c>
      <c r="O23" s="13" t="n">
        <v>1</v>
      </c>
      <c r="P23" s="13" t="n">
        <v>0</v>
      </c>
      <c r="Q23" s="13" t="n">
        <v>0</v>
      </c>
      <c r="R23" s="13" t="n">
        <v>1</v>
      </c>
      <c r="S23" s="13" t="n">
        <v>0</v>
      </c>
      <c r="T23" s="13" t="n">
        <v>0</v>
      </c>
      <c r="U23" s="13" t="n">
        <v>1</v>
      </c>
      <c r="V23" s="13" t="n">
        <v>1</v>
      </c>
      <c r="W23" s="13" t="n">
        <v>1</v>
      </c>
      <c r="X23" s="13" t="n">
        <v>1</v>
      </c>
      <c r="Y23" s="13" t="n">
        <v>1</v>
      </c>
      <c r="Z23" s="13" t="n">
        <v>1</v>
      </c>
      <c r="AA23" s="13" t="n">
        <v>1</v>
      </c>
      <c r="AB23" s="13" t="n">
        <v>0</v>
      </c>
      <c r="AC23" s="13" t="n">
        <v>1</v>
      </c>
      <c r="AD23" s="13" t="n">
        <v>1</v>
      </c>
      <c r="AE23" s="13" t="n">
        <v>0</v>
      </c>
      <c r="AF23" s="13" t="n">
        <v>1</v>
      </c>
      <c r="AG23" s="13" t="n">
        <v>0</v>
      </c>
      <c r="AH23" s="13" t="n">
        <v>1</v>
      </c>
      <c r="AI23" s="12">
        <f>COUNTIF(D23:AH23,1)</f>
        <v/>
      </c>
      <c r="AJ23" s="12">
        <f>IF(COUNT(D23:AH23)=0,"",ROUND(AI23/31*100,1))</f>
        <v/>
      </c>
      <c r="AK23" s="12">
        <f>COUNTIF(D23:AH23,0)</f>
        <v/>
      </c>
      <c r="AL23" s="12">
        <f>IF(COUNT(D23:AH23)=0,"",ROUND(AK23/31*100,1))</f>
        <v/>
      </c>
      <c r="AM23" s="20">
        <f>IF(AJ23="","",IF(AJ23&gt;=Нэгтгэл!$K$4,"Хангалттай эзэмшиж байна",IF(AJ23&gt;=Нэгтгэл!$K$5,"Ахиж байна","Хөгжиж байна")))</f>
        <v/>
      </c>
    </row>
    <row r="24" ht="16" customHeight="1">
      <c r="A24" s="12" t="n">
        <v>18</v>
      </c>
      <c r="B24" s="12">
        <f>IF(Нэгтгэл!B24="","",Нэгтгэл!B24)</f>
        <v/>
      </c>
      <c r="C24" s="4" t="n"/>
      <c r="D24" s="13" t="n">
        <v>0</v>
      </c>
      <c r="E24" s="13" t="n">
        <v>1</v>
      </c>
      <c r="F24" s="13" t="n">
        <v>1</v>
      </c>
      <c r="G24" s="13" t="n">
        <v>1</v>
      </c>
      <c r="H24" s="13" t="n">
        <v>1</v>
      </c>
      <c r="I24" s="13" t="n">
        <v>1</v>
      </c>
      <c r="J24" s="13" t="n">
        <v>1</v>
      </c>
      <c r="K24" s="13" t="n">
        <v>1</v>
      </c>
      <c r="L24" s="13" t="n">
        <v>1</v>
      </c>
      <c r="M24" s="13" t="n">
        <v>0</v>
      </c>
      <c r="N24" s="13" t="n">
        <v>0</v>
      </c>
      <c r="O24" s="13" t="n">
        <v>1</v>
      </c>
      <c r="P24" s="13" t="n">
        <v>1</v>
      </c>
      <c r="Q24" s="13" t="n">
        <v>1</v>
      </c>
      <c r="R24" s="13" t="n">
        <v>0</v>
      </c>
      <c r="S24" s="13" t="n">
        <v>0</v>
      </c>
      <c r="T24" s="13" t="n">
        <v>1</v>
      </c>
      <c r="U24" s="13" t="n">
        <v>1</v>
      </c>
      <c r="V24" s="13" t="n">
        <v>0</v>
      </c>
      <c r="W24" s="13" t="n">
        <v>1</v>
      </c>
      <c r="X24" s="13" t="n">
        <v>1</v>
      </c>
      <c r="Y24" s="13" t="n">
        <v>1</v>
      </c>
      <c r="Z24" s="13" t="n">
        <v>1</v>
      </c>
      <c r="AA24" s="13" t="n">
        <v>1</v>
      </c>
      <c r="AB24" s="13" t="n">
        <v>1</v>
      </c>
      <c r="AC24" s="13" t="n">
        <v>0</v>
      </c>
      <c r="AD24" s="13" t="n">
        <v>1</v>
      </c>
      <c r="AE24" s="13" t="n">
        <v>1</v>
      </c>
      <c r="AF24" s="13" t="n">
        <v>1</v>
      </c>
      <c r="AG24" s="13" t="n">
        <v>1</v>
      </c>
      <c r="AH24" s="13" t="n">
        <v>0</v>
      </c>
      <c r="AI24" s="12">
        <f>COUNTIF(D24:AH24,1)</f>
        <v/>
      </c>
      <c r="AJ24" s="12">
        <f>IF(COUNT(D24:AH24)=0,"",ROUND(AI24/31*100,1))</f>
        <v/>
      </c>
      <c r="AK24" s="12">
        <f>COUNTIF(D24:AH24,0)</f>
        <v/>
      </c>
      <c r="AL24" s="12">
        <f>IF(COUNT(D24:AH24)=0,"",ROUND(AK24/31*100,1))</f>
        <v/>
      </c>
      <c r="AM24" s="20">
        <f>IF(AJ24="","",IF(AJ24&gt;=Нэгтгэл!$K$4,"Хангалттай эзэмшиж байна",IF(AJ24&gt;=Нэгтгэл!$K$5,"Ахиж байна","Хөгжиж байна")))</f>
        <v/>
      </c>
    </row>
    <row r="25" ht="16" customHeight="1">
      <c r="A25" s="12" t="n">
        <v>19</v>
      </c>
      <c r="B25" s="12">
        <f>IF(Нэгтгэл!B25="","",Нэгтгэл!B25)</f>
        <v/>
      </c>
      <c r="C25" s="4" t="n"/>
      <c r="D25" s="13" t="n">
        <v>1</v>
      </c>
      <c r="E25" s="13" t="n">
        <v>0</v>
      </c>
      <c r="F25" s="13" t="n">
        <v>0</v>
      </c>
      <c r="G25" s="13" t="n">
        <v>0</v>
      </c>
      <c r="H25" s="13" t="n">
        <v>1</v>
      </c>
      <c r="I25" s="13" t="n">
        <v>1</v>
      </c>
      <c r="J25" s="13" t="n">
        <v>0</v>
      </c>
      <c r="K25" s="13" t="n">
        <v>1</v>
      </c>
      <c r="L25" s="13" t="n">
        <v>0</v>
      </c>
      <c r="M25" s="13" t="n">
        <v>1</v>
      </c>
      <c r="N25" s="13" t="n">
        <v>1</v>
      </c>
      <c r="O25" s="13" t="n">
        <v>1</v>
      </c>
      <c r="P25" s="13" t="n">
        <v>1</v>
      </c>
      <c r="Q25" s="13" t="n">
        <v>1</v>
      </c>
      <c r="R25" s="13" t="n">
        <v>1</v>
      </c>
      <c r="S25" s="13" t="n">
        <v>1</v>
      </c>
      <c r="T25" s="13" t="n">
        <v>1</v>
      </c>
      <c r="U25" s="13" t="n">
        <v>0</v>
      </c>
      <c r="V25" s="13" t="n">
        <v>1</v>
      </c>
      <c r="W25" s="13" t="n">
        <v>0</v>
      </c>
      <c r="X25" s="13" t="n">
        <v>1</v>
      </c>
      <c r="Y25" s="13" t="n">
        <v>1</v>
      </c>
      <c r="Z25" s="13" t="n">
        <v>1</v>
      </c>
      <c r="AA25" s="13" t="n">
        <v>1</v>
      </c>
      <c r="AB25" s="13" t="n">
        <v>1</v>
      </c>
      <c r="AC25" s="13" t="n">
        <v>1</v>
      </c>
      <c r="AD25" s="13" t="n">
        <v>1</v>
      </c>
      <c r="AE25" s="13" t="n">
        <v>0</v>
      </c>
      <c r="AF25" s="13" t="n">
        <v>0</v>
      </c>
      <c r="AG25" s="13" t="n">
        <v>1</v>
      </c>
      <c r="AH25" s="13" t="n">
        <v>0</v>
      </c>
      <c r="AI25" s="12">
        <f>COUNTIF(D25:AH25,1)</f>
        <v/>
      </c>
      <c r="AJ25" s="12">
        <f>IF(COUNT(D25:AH25)=0,"",ROUND(AI25/31*100,1))</f>
        <v/>
      </c>
      <c r="AK25" s="12">
        <f>COUNTIF(D25:AH25,0)</f>
        <v/>
      </c>
      <c r="AL25" s="12">
        <f>IF(COUNT(D25:AH25)=0,"",ROUND(AK25/31*100,1))</f>
        <v/>
      </c>
      <c r="AM25" s="20">
        <f>IF(AJ25="","",IF(AJ25&gt;=Нэгтгэл!$K$4,"Хангалттай эзэмшиж байна",IF(AJ25&gt;=Нэгтгэл!$K$5,"Ахиж байна","Хөгжиж байна")))</f>
        <v/>
      </c>
    </row>
    <row r="26" ht="16" customHeight="1">
      <c r="A26" s="12" t="n">
        <v>20</v>
      </c>
      <c r="B26" s="12">
        <f>IF(Нэгтгэл!B26="","",Нэгтгэл!B26)</f>
        <v/>
      </c>
      <c r="C26" s="4" t="n"/>
      <c r="D26" s="13" t="n">
        <v>1</v>
      </c>
      <c r="E26" s="13" t="n">
        <v>1</v>
      </c>
      <c r="F26" s="13" t="n">
        <v>1</v>
      </c>
      <c r="G26" s="13" t="n">
        <v>1</v>
      </c>
      <c r="H26" s="13" t="n">
        <v>1</v>
      </c>
      <c r="I26" s="13" t="n">
        <v>1</v>
      </c>
      <c r="J26" s="13" t="n">
        <v>0</v>
      </c>
      <c r="K26" s="13" t="n">
        <v>0</v>
      </c>
      <c r="L26" s="13" t="n">
        <v>1</v>
      </c>
      <c r="M26" s="13" t="n">
        <v>1</v>
      </c>
      <c r="N26" s="13" t="n">
        <v>1</v>
      </c>
      <c r="O26" s="13" t="n">
        <v>1</v>
      </c>
      <c r="P26" s="13" t="n">
        <v>1</v>
      </c>
      <c r="Q26" s="13" t="n">
        <v>1</v>
      </c>
      <c r="R26" s="13" t="n">
        <v>0</v>
      </c>
      <c r="S26" s="13" t="n">
        <v>1</v>
      </c>
      <c r="T26" s="13" t="n">
        <v>1</v>
      </c>
      <c r="U26" s="13" t="n">
        <v>1</v>
      </c>
      <c r="V26" s="13" t="n">
        <v>0</v>
      </c>
      <c r="W26" s="13" t="n">
        <v>1</v>
      </c>
      <c r="X26" s="13" t="n">
        <v>1</v>
      </c>
      <c r="Y26" s="13" t="n">
        <v>1</v>
      </c>
      <c r="Z26" s="13" t="n">
        <v>1</v>
      </c>
      <c r="AA26" s="13" t="n">
        <v>1</v>
      </c>
      <c r="AB26" s="13" t="n">
        <v>1</v>
      </c>
      <c r="AC26" s="13" t="n">
        <v>1</v>
      </c>
      <c r="AD26" s="13" t="n">
        <v>1</v>
      </c>
      <c r="AE26" s="13" t="n">
        <v>1</v>
      </c>
      <c r="AF26" s="13" t="n">
        <v>1</v>
      </c>
      <c r="AG26" s="13" t="n">
        <v>1</v>
      </c>
      <c r="AH26" s="13" t="n">
        <v>0</v>
      </c>
      <c r="AI26" s="12">
        <f>COUNTIF(D26:AH26,1)</f>
        <v/>
      </c>
      <c r="AJ26" s="12">
        <f>IF(COUNT(D26:AH26)=0,"",ROUND(AI26/31*100,1))</f>
        <v/>
      </c>
      <c r="AK26" s="12">
        <f>COUNTIF(D26:AH26,0)</f>
        <v/>
      </c>
      <c r="AL26" s="12">
        <f>IF(COUNT(D26:AH26)=0,"",ROUND(AK26/31*100,1))</f>
        <v/>
      </c>
      <c r="AM26" s="20">
        <f>IF(AJ26="","",IF(AJ26&gt;=Нэгтгэл!$K$4,"Хангалттай эзэмшиж байна",IF(AJ26&gt;=Нэгтгэл!$K$5,"Ахиж байна","Хөгжиж байна")))</f>
        <v/>
      </c>
    </row>
    <row r="27" ht="16" customHeight="1">
      <c r="A27" s="12" t="n">
        <v>21</v>
      </c>
      <c r="B27" s="12">
        <f>IF(Нэгтгэл!B27="","",Нэгтгэл!B27)</f>
        <v/>
      </c>
      <c r="C27" s="4" t="n"/>
      <c r="D27" s="13" t="n">
        <v>1</v>
      </c>
      <c r="E27" s="13" t="n">
        <v>1</v>
      </c>
      <c r="F27" s="13" t="n">
        <v>1</v>
      </c>
      <c r="G27" s="13" t="n">
        <v>1</v>
      </c>
      <c r="H27" s="13" t="n">
        <v>0</v>
      </c>
      <c r="I27" s="13" t="n">
        <v>1</v>
      </c>
      <c r="J27" s="13" t="n">
        <v>1</v>
      </c>
      <c r="K27" s="13" t="n">
        <v>0</v>
      </c>
      <c r="L27" s="13" t="n">
        <v>1</v>
      </c>
      <c r="M27" s="13" t="n">
        <v>1</v>
      </c>
      <c r="N27" s="13" t="n">
        <v>1</v>
      </c>
      <c r="O27" s="13" t="n">
        <v>1</v>
      </c>
      <c r="P27" s="13" t="n">
        <v>0</v>
      </c>
      <c r="Q27" s="13" t="n">
        <v>1</v>
      </c>
      <c r="R27" s="13" t="n">
        <v>1</v>
      </c>
      <c r="S27" s="13" t="n">
        <v>1</v>
      </c>
      <c r="T27" s="13" t="n">
        <v>1</v>
      </c>
      <c r="U27" s="13" t="n">
        <v>0</v>
      </c>
      <c r="V27" s="13" t="n">
        <v>1</v>
      </c>
      <c r="W27" s="13" t="n">
        <v>1</v>
      </c>
      <c r="X27" s="13" t="n">
        <v>1</v>
      </c>
      <c r="Y27" s="13" t="n">
        <v>1</v>
      </c>
      <c r="Z27" s="13" t="n">
        <v>0</v>
      </c>
      <c r="AA27" s="13" t="n">
        <v>1</v>
      </c>
      <c r="AB27" s="13" t="n">
        <v>1</v>
      </c>
      <c r="AC27" s="13" t="n">
        <v>1</v>
      </c>
      <c r="AD27" s="13" t="n">
        <v>0</v>
      </c>
      <c r="AE27" s="13" t="n">
        <v>1</v>
      </c>
      <c r="AF27" s="13" t="n">
        <v>1</v>
      </c>
      <c r="AG27" s="13" t="n">
        <v>1</v>
      </c>
      <c r="AH27" s="13" t="n">
        <v>1</v>
      </c>
      <c r="AI27" s="12">
        <f>COUNTIF(D27:AH27,1)</f>
        <v/>
      </c>
      <c r="AJ27" s="12">
        <f>IF(COUNT(D27:AH27)=0,"",ROUND(AI27/31*100,1))</f>
        <v/>
      </c>
      <c r="AK27" s="12">
        <f>COUNTIF(D27:AH27,0)</f>
        <v/>
      </c>
      <c r="AL27" s="12">
        <f>IF(COUNT(D27:AH27)=0,"",ROUND(AK27/31*100,1))</f>
        <v/>
      </c>
      <c r="AM27" s="20">
        <f>IF(AJ27="","",IF(AJ27&gt;=Нэгтгэл!$K$4,"Хангалттай эзэмшиж байна",IF(AJ27&gt;=Нэгтгэл!$K$5,"Ахиж байна","Хөгжиж байна")))</f>
        <v/>
      </c>
    </row>
    <row r="28" ht="16" customHeight="1">
      <c r="A28" s="12" t="n">
        <v>22</v>
      </c>
      <c r="B28" s="12">
        <f>IF(Нэгтгэл!B28="","",Нэгтгэл!B28)</f>
        <v/>
      </c>
      <c r="C28" s="4" t="n"/>
      <c r="D28" s="13" t="n">
        <v>1</v>
      </c>
      <c r="E28" s="13" t="n">
        <v>1</v>
      </c>
      <c r="F28" s="13" t="n">
        <v>1</v>
      </c>
      <c r="G28" s="13" t="n">
        <v>1</v>
      </c>
      <c r="H28" s="13" t="n">
        <v>0</v>
      </c>
      <c r="I28" s="13" t="n">
        <v>0</v>
      </c>
      <c r="J28" s="13" t="n">
        <v>1</v>
      </c>
      <c r="K28" s="13" t="n">
        <v>1</v>
      </c>
      <c r="L28" s="13" t="n">
        <v>1</v>
      </c>
      <c r="M28" s="13" t="n">
        <v>1</v>
      </c>
      <c r="N28" s="13" t="n">
        <v>1</v>
      </c>
      <c r="O28" s="13" t="n">
        <v>0</v>
      </c>
      <c r="P28" s="13" t="n">
        <v>1</v>
      </c>
      <c r="Q28" s="13" t="n">
        <v>0</v>
      </c>
      <c r="R28" s="13" t="n">
        <v>1</v>
      </c>
      <c r="S28" s="13" t="n">
        <v>0</v>
      </c>
      <c r="T28" s="13" t="n">
        <v>1</v>
      </c>
      <c r="U28" s="13" t="n">
        <v>1</v>
      </c>
      <c r="V28" s="13" t="n">
        <v>0</v>
      </c>
      <c r="W28" s="13" t="n">
        <v>1</v>
      </c>
      <c r="X28" s="13" t="n">
        <v>0</v>
      </c>
      <c r="Y28" s="13" t="n">
        <v>1</v>
      </c>
      <c r="Z28" s="13" t="n">
        <v>1</v>
      </c>
      <c r="AA28" s="13" t="n">
        <v>1</v>
      </c>
      <c r="AB28" s="13" t="n">
        <v>1</v>
      </c>
      <c r="AC28" s="13" t="n">
        <v>0</v>
      </c>
      <c r="AD28" s="13" t="n">
        <v>1</v>
      </c>
      <c r="AE28" s="13" t="n">
        <v>1</v>
      </c>
      <c r="AF28" s="13" t="n">
        <v>1</v>
      </c>
      <c r="AG28" s="13" t="n">
        <v>1</v>
      </c>
      <c r="AH28" s="13" t="n">
        <v>1</v>
      </c>
      <c r="AI28" s="12">
        <f>COUNTIF(D28:AH28,1)</f>
        <v/>
      </c>
      <c r="AJ28" s="12">
        <f>IF(COUNT(D28:AH28)=0,"",ROUND(AI28/31*100,1))</f>
        <v/>
      </c>
      <c r="AK28" s="12">
        <f>COUNTIF(D28:AH28,0)</f>
        <v/>
      </c>
      <c r="AL28" s="12">
        <f>IF(COUNT(D28:AH28)=0,"",ROUND(AK28/31*100,1))</f>
        <v/>
      </c>
      <c r="AM28" s="20">
        <f>IF(AJ28="","",IF(AJ28&gt;=Нэгтгэл!$K$4,"Хангалттай эзэмшиж байна",IF(AJ28&gt;=Нэгтгэл!$K$5,"Ахиж байна","Хөгжиж байна")))</f>
        <v/>
      </c>
    </row>
    <row r="29" ht="16" customHeight="1">
      <c r="A29" s="12" t="n">
        <v>23</v>
      </c>
      <c r="B29" s="12">
        <f>IF(Нэгтгэл!B29="","",Нэгтгэл!B29)</f>
        <v/>
      </c>
      <c r="C29" s="4" t="n"/>
      <c r="D29" s="13" t="n">
        <v>1</v>
      </c>
      <c r="E29" s="13" t="n">
        <v>1</v>
      </c>
      <c r="F29" s="13" t="n">
        <v>1</v>
      </c>
      <c r="G29" s="13" t="n">
        <v>1</v>
      </c>
      <c r="H29" s="13" t="n">
        <v>1</v>
      </c>
      <c r="I29" s="13" t="n">
        <v>1</v>
      </c>
      <c r="J29" s="13" t="n">
        <v>0</v>
      </c>
      <c r="K29" s="13" t="n">
        <v>1</v>
      </c>
      <c r="L29" s="13" t="n">
        <v>1</v>
      </c>
      <c r="M29" s="13" t="n">
        <v>1</v>
      </c>
      <c r="N29" s="13" t="n">
        <v>1</v>
      </c>
      <c r="O29" s="13" t="n">
        <v>1</v>
      </c>
      <c r="P29" s="13" t="n">
        <v>1</v>
      </c>
      <c r="Q29" s="13" t="n">
        <v>1</v>
      </c>
      <c r="R29" s="13" t="n">
        <v>0</v>
      </c>
      <c r="S29" s="13" t="n">
        <v>0</v>
      </c>
      <c r="T29" s="13" t="n">
        <v>1</v>
      </c>
      <c r="U29" s="13" t="n">
        <v>1</v>
      </c>
      <c r="V29" s="13" t="n">
        <v>1</v>
      </c>
      <c r="W29" s="13" t="n">
        <v>1</v>
      </c>
      <c r="X29" s="13" t="n">
        <v>1</v>
      </c>
      <c r="Y29" s="13" t="n">
        <v>1</v>
      </c>
      <c r="Z29" s="13" t="n">
        <v>1</v>
      </c>
      <c r="AA29" s="13" t="n">
        <v>1</v>
      </c>
      <c r="AB29" s="13" t="n">
        <v>1</v>
      </c>
      <c r="AC29" s="13" t="n">
        <v>0</v>
      </c>
      <c r="AD29" s="13" t="n">
        <v>1</v>
      </c>
      <c r="AE29" s="13" t="n">
        <v>1</v>
      </c>
      <c r="AF29" s="13" t="n">
        <v>1</v>
      </c>
      <c r="AG29" s="13" t="n">
        <v>0</v>
      </c>
      <c r="AH29" s="13" t="n">
        <v>1</v>
      </c>
      <c r="AI29" s="12">
        <f>COUNTIF(D29:AH29,1)</f>
        <v/>
      </c>
      <c r="AJ29" s="12">
        <f>IF(COUNT(D29:AH29)=0,"",ROUND(AI29/31*100,1))</f>
        <v/>
      </c>
      <c r="AK29" s="12">
        <f>COUNTIF(D29:AH29,0)</f>
        <v/>
      </c>
      <c r="AL29" s="12">
        <f>IF(COUNT(D29:AH29)=0,"",ROUND(AK29/31*100,1))</f>
        <v/>
      </c>
      <c r="AM29" s="20">
        <f>IF(AJ29="","",IF(AJ29&gt;=Нэгтгэл!$K$4,"Хангалттай эзэмшиж байна",IF(AJ29&gt;=Нэгтгэл!$K$5,"Ахиж байна","Хөгжиж байна")))</f>
        <v/>
      </c>
    </row>
    <row r="30" ht="16" customHeight="1">
      <c r="A30" s="12" t="n">
        <v>24</v>
      </c>
      <c r="B30" s="12">
        <f>IF(Нэгтгэл!B30="","",Нэгтгэл!B30)</f>
        <v/>
      </c>
      <c r="C30" s="4" t="n"/>
      <c r="D30" s="13" t="n">
        <v>1</v>
      </c>
      <c r="E30" s="13" t="n">
        <v>1</v>
      </c>
      <c r="F30" s="13" t="n">
        <v>1</v>
      </c>
      <c r="G30" s="13" t="n">
        <v>0</v>
      </c>
      <c r="H30" s="13" t="n">
        <v>1</v>
      </c>
      <c r="I30" s="13" t="n">
        <v>1</v>
      </c>
      <c r="J30" s="13" t="n">
        <v>1</v>
      </c>
      <c r="K30" s="13" t="n">
        <v>1</v>
      </c>
      <c r="L30" s="13" t="n">
        <v>1</v>
      </c>
      <c r="M30" s="13" t="n">
        <v>0</v>
      </c>
      <c r="N30" s="13" t="n">
        <v>1</v>
      </c>
      <c r="O30" s="13" t="n">
        <v>1</v>
      </c>
      <c r="P30" s="13" t="n">
        <v>1</v>
      </c>
      <c r="Q30" s="13" t="n">
        <v>1</v>
      </c>
      <c r="R30" s="13" t="n">
        <v>1</v>
      </c>
      <c r="S30" s="13" t="n">
        <v>0</v>
      </c>
      <c r="T30" s="13" t="n">
        <v>1</v>
      </c>
      <c r="U30" s="13" t="n">
        <v>1</v>
      </c>
      <c r="V30" s="13" t="n">
        <v>1</v>
      </c>
      <c r="W30" s="13" t="n">
        <v>1</v>
      </c>
      <c r="X30" s="13" t="n">
        <v>0</v>
      </c>
      <c r="Y30" s="13" t="n">
        <v>1</v>
      </c>
      <c r="Z30" s="13" t="n">
        <v>1</v>
      </c>
      <c r="AA30" s="13" t="n">
        <v>1</v>
      </c>
      <c r="AB30" s="13" t="n">
        <v>1</v>
      </c>
      <c r="AC30" s="13" t="n">
        <v>0</v>
      </c>
      <c r="AD30" s="13" t="n">
        <v>1</v>
      </c>
      <c r="AE30" s="13" t="n">
        <v>1</v>
      </c>
      <c r="AF30" s="13" t="n">
        <v>0</v>
      </c>
      <c r="AG30" s="13" t="n">
        <v>1</v>
      </c>
      <c r="AH30" s="13" t="n">
        <v>1</v>
      </c>
      <c r="AI30" s="12">
        <f>COUNTIF(D30:AH30,1)</f>
        <v/>
      </c>
      <c r="AJ30" s="12">
        <f>IF(COUNT(D30:AH30)=0,"",ROUND(AI30/31*100,1))</f>
        <v/>
      </c>
      <c r="AK30" s="12">
        <f>COUNTIF(D30:AH30,0)</f>
        <v/>
      </c>
      <c r="AL30" s="12">
        <f>IF(COUNT(D30:AH30)=0,"",ROUND(AK30/31*100,1))</f>
        <v/>
      </c>
      <c r="AM30" s="20">
        <f>IF(AJ30="","",IF(AJ30&gt;=Нэгтгэл!$K$4,"Хангалттай эзэмшиж байна",IF(AJ30&gt;=Нэгтгэл!$K$5,"Ахиж байна","Хөгжиж байна")))</f>
        <v/>
      </c>
    </row>
    <row r="31" ht="16" customHeight="1">
      <c r="A31" s="12" t="n">
        <v>25</v>
      </c>
      <c r="B31" s="12">
        <f>IF(Нэгтгэл!B31="","",Нэгтгэл!B31)</f>
        <v/>
      </c>
      <c r="C31" s="4" t="n"/>
      <c r="D31" s="13" t="n">
        <v>1</v>
      </c>
      <c r="E31" s="13" t="n">
        <v>1</v>
      </c>
      <c r="F31" s="13" t="n">
        <v>1</v>
      </c>
      <c r="G31" s="13" t="n">
        <v>0</v>
      </c>
      <c r="H31" s="13" t="n">
        <v>1</v>
      </c>
      <c r="I31" s="13" t="n">
        <v>0</v>
      </c>
      <c r="J31" s="13" t="n">
        <v>0</v>
      </c>
      <c r="K31" s="13" t="n">
        <v>1</v>
      </c>
      <c r="L31" s="13" t="n">
        <v>0</v>
      </c>
      <c r="M31" s="13" t="n">
        <v>1</v>
      </c>
      <c r="N31" s="13" t="n">
        <v>0</v>
      </c>
      <c r="O31" s="13" t="n">
        <v>1</v>
      </c>
      <c r="P31" s="13" t="n">
        <v>1</v>
      </c>
      <c r="Q31" s="13" t="n">
        <v>0</v>
      </c>
      <c r="R31" s="13" t="n">
        <v>1</v>
      </c>
      <c r="S31" s="13" t="n">
        <v>0</v>
      </c>
      <c r="T31" s="13" t="n">
        <v>1</v>
      </c>
      <c r="U31" s="13" t="n">
        <v>1</v>
      </c>
      <c r="V31" s="13" t="n">
        <v>1</v>
      </c>
      <c r="W31" s="13" t="n">
        <v>1</v>
      </c>
      <c r="X31" s="13" t="n">
        <v>1</v>
      </c>
      <c r="Y31" s="13" t="n">
        <v>0</v>
      </c>
      <c r="Z31" s="13" t="n">
        <v>1</v>
      </c>
      <c r="AA31" s="13" t="n">
        <v>0</v>
      </c>
      <c r="AB31" s="13" t="n">
        <v>1</v>
      </c>
      <c r="AC31" s="13" t="n">
        <v>0</v>
      </c>
      <c r="AD31" s="13" t="n">
        <v>1</v>
      </c>
      <c r="AE31" s="13" t="n">
        <v>1</v>
      </c>
      <c r="AF31" s="13" t="n">
        <v>1</v>
      </c>
      <c r="AG31" s="13" t="n">
        <v>1</v>
      </c>
      <c r="AH31" s="13" t="n">
        <v>1</v>
      </c>
      <c r="AI31" s="12">
        <f>COUNTIF(D31:AH31,1)</f>
        <v/>
      </c>
      <c r="AJ31" s="12">
        <f>IF(COUNT(D31:AH31)=0,"",ROUND(AI31/31*100,1))</f>
        <v/>
      </c>
      <c r="AK31" s="12">
        <f>COUNTIF(D31:AH31,0)</f>
        <v/>
      </c>
      <c r="AL31" s="12">
        <f>IF(COUNT(D31:AH31)=0,"",ROUND(AK31/31*100,1))</f>
        <v/>
      </c>
      <c r="AM31" s="20">
        <f>IF(AJ31="","",IF(AJ31&gt;=Нэгтгэл!$K$4,"Хангалттай эзэмшиж байна",IF(AJ31&gt;=Нэгтгэл!$K$5,"Ахиж байна","Хөгжиж байна")))</f>
        <v/>
      </c>
    </row>
    <row r="32" ht="16" customHeight="1">
      <c r="A32" s="12" t="n">
        <v>26</v>
      </c>
      <c r="B32" s="12">
        <f>IF(Нэгтгэл!B32="","",Нэгтгэл!B32)</f>
        <v/>
      </c>
      <c r="C32" s="4" t="n"/>
      <c r="D32" s="13" t="n">
        <v>0</v>
      </c>
      <c r="E32" s="13" t="n">
        <v>1</v>
      </c>
      <c r="F32" s="13" t="n">
        <v>1</v>
      </c>
      <c r="G32" s="13" t="n">
        <v>1</v>
      </c>
      <c r="H32" s="13" t="n">
        <v>1</v>
      </c>
      <c r="I32" s="13" t="n">
        <v>1</v>
      </c>
      <c r="J32" s="13" t="n">
        <v>0</v>
      </c>
      <c r="K32" s="13" t="n">
        <v>0</v>
      </c>
      <c r="L32" s="13" t="n">
        <v>1</v>
      </c>
      <c r="M32" s="13" t="n">
        <v>1</v>
      </c>
      <c r="N32" s="13" t="n">
        <v>1</v>
      </c>
      <c r="O32" s="13" t="n">
        <v>1</v>
      </c>
      <c r="P32" s="13" t="n">
        <v>0</v>
      </c>
      <c r="Q32" s="13" t="n">
        <v>1</v>
      </c>
      <c r="R32" s="13" t="n">
        <v>1</v>
      </c>
      <c r="S32" s="13" t="n">
        <v>0</v>
      </c>
      <c r="T32" s="13" t="n">
        <v>1</v>
      </c>
      <c r="U32" s="13" t="n">
        <v>1</v>
      </c>
      <c r="V32" s="13" t="n">
        <v>1</v>
      </c>
      <c r="W32" s="13" t="n">
        <v>1</v>
      </c>
      <c r="X32" s="13" t="n">
        <v>1</v>
      </c>
      <c r="Y32" s="13" t="n">
        <v>1</v>
      </c>
      <c r="Z32" s="13" t="n">
        <v>1</v>
      </c>
      <c r="AA32" s="13" t="n">
        <v>1</v>
      </c>
      <c r="AB32" s="13" t="n">
        <v>1</v>
      </c>
      <c r="AC32" s="13" t="n">
        <v>1</v>
      </c>
      <c r="AD32" s="13" t="n">
        <v>0</v>
      </c>
      <c r="AE32" s="13" t="n">
        <v>0</v>
      </c>
      <c r="AF32" s="13" t="n">
        <v>1</v>
      </c>
      <c r="AG32" s="13" t="n">
        <v>1</v>
      </c>
      <c r="AH32" s="13" t="n">
        <v>1</v>
      </c>
      <c r="AI32" s="12">
        <f>COUNTIF(D32:AH32,1)</f>
        <v/>
      </c>
      <c r="AJ32" s="12">
        <f>IF(COUNT(D32:AH32)=0,"",ROUND(AI32/31*100,1))</f>
        <v/>
      </c>
      <c r="AK32" s="12">
        <f>COUNTIF(D32:AH32,0)</f>
        <v/>
      </c>
      <c r="AL32" s="12">
        <f>IF(COUNT(D32:AH32)=0,"",ROUND(AK32/31*100,1))</f>
        <v/>
      </c>
      <c r="AM32" s="20">
        <f>IF(AJ32="","",IF(AJ32&gt;=Нэгтгэл!$K$4,"Хангалттай эзэмшиж байна",IF(AJ32&gt;=Нэгтгэл!$K$5,"Ахиж байна","Хөгжиж байна")))</f>
        <v/>
      </c>
    </row>
    <row r="33" ht="16" customHeight="1">
      <c r="A33" s="12" t="n">
        <v>27</v>
      </c>
      <c r="B33" s="12">
        <f>IF(Нэгтгэл!B33="","",Нэгтгэл!B33)</f>
        <v/>
      </c>
      <c r="C33" s="4" t="n"/>
      <c r="D33" s="13" t="n">
        <v>1</v>
      </c>
      <c r="E33" s="13" t="n">
        <v>1</v>
      </c>
      <c r="F33" s="13" t="n">
        <v>0</v>
      </c>
      <c r="G33" s="13" t="n">
        <v>1</v>
      </c>
      <c r="H33" s="13" t="n">
        <v>1</v>
      </c>
      <c r="I33" s="13" t="n">
        <v>0</v>
      </c>
      <c r="J33" s="13" t="n">
        <v>1</v>
      </c>
      <c r="K33" s="13" t="n">
        <v>1</v>
      </c>
      <c r="L33" s="13" t="n">
        <v>0</v>
      </c>
      <c r="M33" s="13" t="n">
        <v>1</v>
      </c>
      <c r="N33" s="13" t="n">
        <v>0</v>
      </c>
      <c r="O33" s="13" t="n">
        <v>1</v>
      </c>
      <c r="P33" s="13" t="n">
        <v>1</v>
      </c>
      <c r="Q33" s="13" t="n">
        <v>0</v>
      </c>
      <c r="R33" s="13" t="n">
        <v>0</v>
      </c>
      <c r="S33" s="13" t="n">
        <v>0</v>
      </c>
      <c r="T33" s="13" t="n">
        <v>0</v>
      </c>
      <c r="U33" s="13" t="n">
        <v>1</v>
      </c>
      <c r="V33" s="13" t="n">
        <v>1</v>
      </c>
      <c r="W33" s="13" t="n">
        <v>1</v>
      </c>
      <c r="X33" s="13" t="n">
        <v>0</v>
      </c>
      <c r="Y33" s="13" t="n">
        <v>0</v>
      </c>
      <c r="Z33" s="13" t="n">
        <v>1</v>
      </c>
      <c r="AA33" s="13" t="n">
        <v>1</v>
      </c>
      <c r="AB33" s="13" t="n">
        <v>1</v>
      </c>
      <c r="AC33" s="13" t="n">
        <v>0</v>
      </c>
      <c r="AD33" s="13" t="n">
        <v>0</v>
      </c>
      <c r="AE33" s="13" t="n">
        <v>1</v>
      </c>
      <c r="AF33" s="13" t="n">
        <v>1</v>
      </c>
      <c r="AG33" s="13" t="n">
        <v>0</v>
      </c>
      <c r="AH33" s="13" t="n">
        <v>1</v>
      </c>
      <c r="AI33" s="12">
        <f>COUNTIF(D33:AH33,1)</f>
        <v/>
      </c>
      <c r="AJ33" s="12">
        <f>IF(COUNT(D33:AH33)=0,"",ROUND(AI33/31*100,1))</f>
        <v/>
      </c>
      <c r="AK33" s="12">
        <f>COUNTIF(D33:AH33,0)</f>
        <v/>
      </c>
      <c r="AL33" s="12">
        <f>IF(COUNT(D33:AH33)=0,"",ROUND(AK33/31*100,1))</f>
        <v/>
      </c>
      <c r="AM33" s="20">
        <f>IF(AJ33="","",IF(AJ33&gt;=Нэгтгэл!$K$4,"Хангалттай эзэмшиж байна",IF(AJ33&gt;=Нэгтгэл!$K$5,"Ахиж байна","Хөгжиж байна")))</f>
        <v/>
      </c>
    </row>
    <row r="34" ht="16" customHeight="1">
      <c r="A34" s="12" t="n">
        <v>28</v>
      </c>
      <c r="B34" s="12">
        <f>IF(Нэгтгэл!B34="","",Нэгтгэл!B34)</f>
        <v/>
      </c>
      <c r="C34" s="4" t="n"/>
      <c r="D34" s="13" t="n">
        <v>0</v>
      </c>
      <c r="E34" s="13" t="n">
        <v>1</v>
      </c>
      <c r="F34" s="13" t="n">
        <v>1</v>
      </c>
      <c r="G34" s="13" t="n">
        <v>0</v>
      </c>
      <c r="H34" s="13" t="n">
        <v>1</v>
      </c>
      <c r="I34" s="13" t="n">
        <v>1</v>
      </c>
      <c r="J34" s="13" t="n">
        <v>1</v>
      </c>
      <c r="K34" s="13" t="n">
        <v>0</v>
      </c>
      <c r="L34" s="13" t="n">
        <v>1</v>
      </c>
      <c r="M34" s="13" t="n">
        <v>1</v>
      </c>
      <c r="N34" s="13" t="n">
        <v>1</v>
      </c>
      <c r="O34" s="13" t="n">
        <v>1</v>
      </c>
      <c r="P34" s="13" t="n">
        <v>1</v>
      </c>
      <c r="Q34" s="13" t="n">
        <v>1</v>
      </c>
      <c r="R34" s="13" t="n">
        <v>1</v>
      </c>
      <c r="S34" s="13" t="n">
        <v>1</v>
      </c>
      <c r="T34" s="13" t="n">
        <v>1</v>
      </c>
      <c r="U34" s="13" t="n">
        <v>1</v>
      </c>
      <c r="V34" s="13" t="n">
        <v>1</v>
      </c>
      <c r="W34" s="13" t="n">
        <v>1</v>
      </c>
      <c r="X34" s="13" t="n">
        <v>1</v>
      </c>
      <c r="Y34" s="13" t="n">
        <v>0</v>
      </c>
      <c r="Z34" s="13" t="n">
        <v>0</v>
      </c>
      <c r="AA34" s="13" t="n">
        <v>0</v>
      </c>
      <c r="AB34" s="13" t="n">
        <v>1</v>
      </c>
      <c r="AC34" s="13" t="n">
        <v>1</v>
      </c>
      <c r="AD34" s="13" t="n">
        <v>0</v>
      </c>
      <c r="AE34" s="13" t="n">
        <v>0</v>
      </c>
      <c r="AF34" s="13" t="n">
        <v>1</v>
      </c>
      <c r="AG34" s="13" t="n">
        <v>1</v>
      </c>
      <c r="AH34" s="13" t="n">
        <v>1</v>
      </c>
      <c r="AI34" s="12">
        <f>COUNTIF(D34:AH34,1)</f>
        <v/>
      </c>
      <c r="AJ34" s="12">
        <f>IF(COUNT(D34:AH34)=0,"",ROUND(AI34/31*100,1))</f>
        <v/>
      </c>
      <c r="AK34" s="12">
        <f>COUNTIF(D34:AH34,0)</f>
        <v/>
      </c>
      <c r="AL34" s="12">
        <f>IF(COUNT(D34:AH34)=0,"",ROUND(AK34/31*100,1))</f>
        <v/>
      </c>
      <c r="AM34" s="20">
        <f>IF(AJ34="","",IF(AJ34&gt;=Нэгтгэл!$K$4,"Хангалттай эзэмшиж байна",IF(AJ34&gt;=Нэгтгэл!$K$5,"Ахиж байна","Хөгжиж байна")))</f>
        <v/>
      </c>
    </row>
    <row r="35" ht="16" customHeight="1">
      <c r="A35" s="12" t="n">
        <v>29</v>
      </c>
      <c r="B35" s="12">
        <f>IF(Нэгтгэл!B35="","",Нэгтгэл!B35)</f>
        <v/>
      </c>
      <c r="C35" s="4" t="n"/>
      <c r="D35" s="13" t="n">
        <v>1</v>
      </c>
      <c r="E35" s="13" t="n">
        <v>0</v>
      </c>
      <c r="F35" s="13" t="n">
        <v>0</v>
      </c>
      <c r="G35" s="13" t="n">
        <v>1</v>
      </c>
      <c r="H35" s="13" t="n">
        <v>1</v>
      </c>
      <c r="I35" s="13" t="n">
        <v>1</v>
      </c>
      <c r="J35" s="13" t="n">
        <v>1</v>
      </c>
      <c r="K35" s="13" t="n">
        <v>0</v>
      </c>
      <c r="L35" s="13" t="n">
        <v>0</v>
      </c>
      <c r="M35" s="13" t="n">
        <v>1</v>
      </c>
      <c r="N35" s="13" t="n">
        <v>1</v>
      </c>
      <c r="O35" s="13" t="n">
        <v>1</v>
      </c>
      <c r="P35" s="13" t="n">
        <v>0</v>
      </c>
      <c r="Q35" s="13" t="n">
        <v>0</v>
      </c>
      <c r="R35" s="13" t="n">
        <v>1</v>
      </c>
      <c r="S35" s="13" t="n">
        <v>0</v>
      </c>
      <c r="T35" s="13" t="n">
        <v>1</v>
      </c>
      <c r="U35" s="13" t="n">
        <v>0</v>
      </c>
      <c r="V35" s="13" t="n">
        <v>1</v>
      </c>
      <c r="W35" s="13" t="n">
        <v>1</v>
      </c>
      <c r="X35" s="13" t="n">
        <v>1</v>
      </c>
      <c r="Y35" s="13" t="n">
        <v>1</v>
      </c>
      <c r="Z35" s="13" t="n">
        <v>1</v>
      </c>
      <c r="AA35" s="13" t="n">
        <v>1</v>
      </c>
      <c r="AB35" s="13" t="n">
        <v>1</v>
      </c>
      <c r="AC35" s="13" t="n">
        <v>1</v>
      </c>
      <c r="AD35" s="13" t="n">
        <v>1</v>
      </c>
      <c r="AE35" s="13" t="n">
        <v>0</v>
      </c>
      <c r="AF35" s="13" t="n">
        <v>1</v>
      </c>
      <c r="AG35" s="13" t="n">
        <v>0</v>
      </c>
      <c r="AH35" s="13" t="n">
        <v>1</v>
      </c>
      <c r="AI35" s="12">
        <f>COUNTIF(D35:AH35,1)</f>
        <v/>
      </c>
      <c r="AJ35" s="12">
        <f>IF(COUNT(D35:AH35)=0,"",ROUND(AI35/31*100,1))</f>
        <v/>
      </c>
      <c r="AK35" s="12">
        <f>COUNTIF(D35:AH35,0)</f>
        <v/>
      </c>
      <c r="AL35" s="12">
        <f>IF(COUNT(D35:AH35)=0,"",ROUND(AK35/31*100,1))</f>
        <v/>
      </c>
      <c r="AM35" s="20">
        <f>IF(AJ35="","",IF(AJ35&gt;=Нэгтгэл!$K$4,"Хангалттай эзэмшиж байна",IF(AJ35&gt;=Нэгтгэл!$K$5,"Ахиж байна","Хөгжиж байна")))</f>
        <v/>
      </c>
    </row>
    <row r="36" ht="16" customHeight="1">
      <c r="A36" s="12" t="n">
        <v>30</v>
      </c>
      <c r="B36" s="12">
        <f>IF(Нэгтгэл!B36="","",Нэгтгэл!B36)</f>
        <v/>
      </c>
      <c r="C36" s="4" t="n"/>
      <c r="D36" s="13" t="n">
        <v>0</v>
      </c>
      <c r="E36" s="13" t="n">
        <v>1</v>
      </c>
      <c r="F36" s="13" t="n">
        <v>1</v>
      </c>
      <c r="G36" s="13" t="n">
        <v>1</v>
      </c>
      <c r="H36" s="13" t="n">
        <v>1</v>
      </c>
      <c r="I36" s="13" t="n">
        <v>1</v>
      </c>
      <c r="J36" s="13" t="n">
        <v>1</v>
      </c>
      <c r="K36" s="13" t="n">
        <v>1</v>
      </c>
      <c r="L36" s="13" t="n">
        <v>1</v>
      </c>
      <c r="M36" s="13" t="n">
        <v>0</v>
      </c>
      <c r="N36" s="13" t="n">
        <v>1</v>
      </c>
      <c r="O36" s="13" t="n">
        <v>1</v>
      </c>
      <c r="P36" s="13" t="n">
        <v>1</v>
      </c>
      <c r="Q36" s="13" t="n">
        <v>1</v>
      </c>
      <c r="R36" s="13" t="n">
        <v>1</v>
      </c>
      <c r="S36" s="13" t="n">
        <v>1</v>
      </c>
      <c r="T36" s="13" t="n">
        <v>1</v>
      </c>
      <c r="U36" s="13" t="n">
        <v>1</v>
      </c>
      <c r="V36" s="13" t="n">
        <v>1</v>
      </c>
      <c r="W36" s="13" t="n">
        <v>1</v>
      </c>
      <c r="X36" s="13" t="n">
        <v>1</v>
      </c>
      <c r="Y36" s="13" t="n">
        <v>0</v>
      </c>
      <c r="Z36" s="13" t="n">
        <v>1</v>
      </c>
      <c r="AA36" s="13" t="n">
        <v>1</v>
      </c>
      <c r="AB36" s="13" t="n">
        <v>1</v>
      </c>
      <c r="AC36" s="13" t="n">
        <v>1</v>
      </c>
      <c r="AD36" s="13" t="n">
        <v>1</v>
      </c>
      <c r="AE36" s="13" t="n">
        <v>1</v>
      </c>
      <c r="AF36" s="13" t="n">
        <v>1</v>
      </c>
      <c r="AG36" s="13" t="n">
        <v>0</v>
      </c>
      <c r="AH36" s="13" t="n">
        <v>0</v>
      </c>
      <c r="AI36" s="12">
        <f>COUNTIF(D36:AH36,1)</f>
        <v/>
      </c>
      <c r="AJ36" s="12">
        <f>IF(COUNT(D36:AH36)=0,"",ROUND(AI36/31*100,1))</f>
        <v/>
      </c>
      <c r="AK36" s="12">
        <f>COUNTIF(D36:AH36,0)</f>
        <v/>
      </c>
      <c r="AL36" s="12">
        <f>IF(COUNT(D36:AH36)=0,"",ROUND(AK36/31*100,1))</f>
        <v/>
      </c>
      <c r="AM36" s="20">
        <f>IF(AJ36="","",IF(AJ36&gt;=Нэгтгэл!$K$4,"Хангалттай эзэмшиж байна",IF(AJ36&gt;=Нэгтгэл!$K$5,"Ахиж байна","Хөгжиж байна")))</f>
        <v/>
      </c>
    </row>
    <row r="37" ht="16" customHeight="1">
      <c r="A37" s="12" t="n">
        <v>31</v>
      </c>
      <c r="B37" s="12">
        <f>IF(Нэгтгэл!B37="","",Нэгтгэл!B37)</f>
        <v/>
      </c>
      <c r="C37" s="4" t="n"/>
      <c r="D37" s="13" t="n">
        <v>1</v>
      </c>
      <c r="E37" s="13" t="n">
        <v>0</v>
      </c>
      <c r="F37" s="13" t="n">
        <v>1</v>
      </c>
      <c r="G37" s="13" t="n">
        <v>1</v>
      </c>
      <c r="H37" s="13" t="n">
        <v>0</v>
      </c>
      <c r="I37" s="13" t="n">
        <v>0</v>
      </c>
      <c r="J37" s="13" t="n">
        <v>1</v>
      </c>
      <c r="K37" s="13" t="n">
        <v>1</v>
      </c>
      <c r="L37" s="13" t="n">
        <v>0</v>
      </c>
      <c r="M37" s="13" t="n">
        <v>1</v>
      </c>
      <c r="N37" s="13" t="n">
        <v>1</v>
      </c>
      <c r="O37" s="13" t="n">
        <v>0</v>
      </c>
      <c r="P37" s="13" t="n">
        <v>1</v>
      </c>
      <c r="Q37" s="13" t="n">
        <v>1</v>
      </c>
      <c r="R37" s="13" t="n">
        <v>1</v>
      </c>
      <c r="S37" s="13" t="n">
        <v>1</v>
      </c>
      <c r="T37" s="13" t="n">
        <v>1</v>
      </c>
      <c r="U37" s="13" t="n">
        <v>1</v>
      </c>
      <c r="V37" s="13" t="n">
        <v>0</v>
      </c>
      <c r="W37" s="13" t="n">
        <v>0</v>
      </c>
      <c r="X37" s="13" t="n">
        <v>0</v>
      </c>
      <c r="Y37" s="13" t="n">
        <v>0</v>
      </c>
      <c r="Z37" s="13" t="n">
        <v>0</v>
      </c>
      <c r="AA37" s="13" t="n">
        <v>1</v>
      </c>
      <c r="AB37" s="13" t="n">
        <v>1</v>
      </c>
      <c r="AC37" s="13" t="n">
        <v>1</v>
      </c>
      <c r="AD37" s="13" t="n">
        <v>0</v>
      </c>
      <c r="AE37" s="13" t="n">
        <v>0</v>
      </c>
      <c r="AF37" s="13" t="n">
        <v>0</v>
      </c>
      <c r="AG37" s="13" t="n">
        <v>0</v>
      </c>
      <c r="AH37" s="13" t="n">
        <v>1</v>
      </c>
      <c r="AI37" s="12">
        <f>COUNTIF(D37:AH37,1)</f>
        <v/>
      </c>
      <c r="AJ37" s="12">
        <f>IF(COUNT(D37:AH37)=0,"",ROUND(AI37/31*100,1))</f>
        <v/>
      </c>
      <c r="AK37" s="12">
        <f>COUNTIF(D37:AH37,0)</f>
        <v/>
      </c>
      <c r="AL37" s="12">
        <f>IF(COUNT(D37:AH37)=0,"",ROUND(AK37/31*100,1))</f>
        <v/>
      </c>
      <c r="AM37" s="20">
        <f>IF(AJ37="","",IF(AJ37&gt;=Нэгтгэл!$K$4,"Хангалттай эзэмшиж байна",IF(AJ37&gt;=Нэгтгэл!$K$5,"Ахиж байна","Хөгжиж байна")))</f>
        <v/>
      </c>
    </row>
    <row r="38" ht="16" customHeight="1">
      <c r="A38" s="12" t="n">
        <v>32</v>
      </c>
      <c r="B38" s="12">
        <f>IF(Нэгтгэл!B38="","",Нэгтгэл!B38)</f>
        <v/>
      </c>
      <c r="C38" s="4" t="n"/>
      <c r="D38" s="13" t="n">
        <v>1</v>
      </c>
      <c r="E38" s="13" t="n">
        <v>1</v>
      </c>
      <c r="F38" s="13" t="n">
        <v>0</v>
      </c>
      <c r="G38" s="13" t="n">
        <v>1</v>
      </c>
      <c r="H38" s="13" t="n">
        <v>0</v>
      </c>
      <c r="I38" s="13" t="n">
        <v>1</v>
      </c>
      <c r="J38" s="13" t="n">
        <v>1</v>
      </c>
      <c r="K38" s="13" t="n">
        <v>1</v>
      </c>
      <c r="L38" s="13" t="n">
        <v>1</v>
      </c>
      <c r="M38" s="13" t="n">
        <v>0</v>
      </c>
      <c r="N38" s="13" t="n">
        <v>1</v>
      </c>
      <c r="O38" s="13" t="n">
        <v>1</v>
      </c>
      <c r="P38" s="13" t="n">
        <v>0</v>
      </c>
      <c r="Q38" s="13" t="n">
        <v>0</v>
      </c>
      <c r="R38" s="13" t="n">
        <v>1</v>
      </c>
      <c r="S38" s="13" t="n">
        <v>1</v>
      </c>
      <c r="T38" s="13" t="n">
        <v>1</v>
      </c>
      <c r="U38" s="13" t="n">
        <v>0</v>
      </c>
      <c r="V38" s="13" t="n">
        <v>1</v>
      </c>
      <c r="W38" s="13" t="n">
        <v>1</v>
      </c>
      <c r="X38" s="13" t="n">
        <v>0</v>
      </c>
      <c r="Y38" s="13" t="n">
        <v>1</v>
      </c>
      <c r="Z38" s="13" t="n">
        <v>1</v>
      </c>
      <c r="AA38" s="13" t="n">
        <v>1</v>
      </c>
      <c r="AB38" s="13" t="n">
        <v>1</v>
      </c>
      <c r="AC38" s="13" t="n">
        <v>0</v>
      </c>
      <c r="AD38" s="13" t="n">
        <v>1</v>
      </c>
      <c r="AE38" s="13" t="n">
        <v>1</v>
      </c>
      <c r="AF38" s="13" t="n">
        <v>1</v>
      </c>
      <c r="AG38" s="13" t="n">
        <v>0</v>
      </c>
      <c r="AH38" s="13" t="n">
        <v>1</v>
      </c>
      <c r="AI38" s="12">
        <f>COUNTIF(D38:AH38,1)</f>
        <v/>
      </c>
      <c r="AJ38" s="12">
        <f>IF(COUNT(D38:AH38)=0,"",ROUND(AI38/31*100,1))</f>
        <v/>
      </c>
      <c r="AK38" s="12">
        <f>COUNTIF(D38:AH38,0)</f>
        <v/>
      </c>
      <c r="AL38" s="12">
        <f>IF(COUNT(D38:AH38)=0,"",ROUND(AK38/31*100,1))</f>
        <v/>
      </c>
      <c r="AM38" s="20">
        <f>IF(AJ38="","",IF(AJ38&gt;=Нэгтгэл!$K$4,"Хангалттай эзэмшиж байна",IF(AJ38&gt;=Нэгтгэл!$K$5,"Ахиж байна","Хөгжиж байна")))</f>
        <v/>
      </c>
    </row>
    <row r="39" ht="16" customHeight="1">
      <c r="A39" s="12" t="n">
        <v>33</v>
      </c>
      <c r="B39" s="12">
        <f>IF(Нэгтгэл!B39="","",Нэгтгэл!B39)</f>
        <v/>
      </c>
      <c r="C39" s="4" t="n"/>
      <c r="D39" s="13" t="n">
        <v>1</v>
      </c>
      <c r="E39" s="13" t="n">
        <v>1</v>
      </c>
      <c r="F39" s="13" t="n">
        <v>1</v>
      </c>
      <c r="G39" s="13" t="n">
        <v>1</v>
      </c>
      <c r="H39" s="13" t="n">
        <v>1</v>
      </c>
      <c r="I39" s="13" t="n">
        <v>1</v>
      </c>
      <c r="J39" s="13" t="n">
        <v>1</v>
      </c>
      <c r="K39" s="13" t="n">
        <v>0</v>
      </c>
      <c r="L39" s="13" t="n">
        <v>0</v>
      </c>
      <c r="M39" s="13" t="n">
        <v>1</v>
      </c>
      <c r="N39" s="13" t="n">
        <v>0</v>
      </c>
      <c r="O39" s="13" t="n">
        <v>1</v>
      </c>
      <c r="P39" s="13" t="n">
        <v>1</v>
      </c>
      <c r="Q39" s="13" t="n">
        <v>0</v>
      </c>
      <c r="R39" s="13" t="n">
        <v>0</v>
      </c>
      <c r="S39" s="13" t="n">
        <v>0</v>
      </c>
      <c r="T39" s="13" t="n">
        <v>1</v>
      </c>
      <c r="U39" s="13" t="n">
        <v>0</v>
      </c>
      <c r="V39" s="13" t="n">
        <v>1</v>
      </c>
      <c r="W39" s="13" t="n">
        <v>0</v>
      </c>
      <c r="X39" s="13" t="n">
        <v>0</v>
      </c>
      <c r="Y39" s="13" t="n">
        <v>1</v>
      </c>
      <c r="Z39" s="13" t="n">
        <v>1</v>
      </c>
      <c r="AA39" s="13" t="n">
        <v>0</v>
      </c>
      <c r="AB39" s="13" t="n">
        <v>1</v>
      </c>
      <c r="AC39" s="13" t="n">
        <v>0</v>
      </c>
      <c r="AD39" s="13" t="n">
        <v>1</v>
      </c>
      <c r="AE39" s="13" t="n">
        <v>0</v>
      </c>
      <c r="AF39" s="13" t="n">
        <v>1</v>
      </c>
      <c r="AG39" s="13" t="n">
        <v>1</v>
      </c>
      <c r="AH39" s="13" t="n">
        <v>1</v>
      </c>
      <c r="AI39" s="12">
        <f>COUNTIF(D39:AH39,1)</f>
        <v/>
      </c>
      <c r="AJ39" s="12">
        <f>IF(COUNT(D39:AH39)=0,"",ROUND(AI39/31*100,1))</f>
        <v/>
      </c>
      <c r="AK39" s="12">
        <f>COUNTIF(D39:AH39,0)</f>
        <v/>
      </c>
      <c r="AL39" s="12">
        <f>IF(COUNT(D39:AH39)=0,"",ROUND(AK39/31*100,1))</f>
        <v/>
      </c>
      <c r="AM39" s="20">
        <f>IF(AJ39="","",IF(AJ39&gt;=Нэгтгэл!$K$4,"Хангалттай эзэмшиж байна",IF(AJ39&gt;=Нэгтгэл!$K$5,"Ахиж байна","Хөгжиж байна")))</f>
        <v/>
      </c>
    </row>
    <row r="40" ht="16" customHeight="1">
      <c r="A40" s="12" t="n">
        <v>34</v>
      </c>
      <c r="B40" s="12">
        <f>IF(Нэгтгэл!B40="","",Нэгтгэл!B40)</f>
        <v/>
      </c>
      <c r="C40" s="4" t="n"/>
      <c r="D40" s="13" t="n">
        <v>1</v>
      </c>
      <c r="E40" s="13" t="n">
        <v>1</v>
      </c>
      <c r="F40" s="13" t="n">
        <v>1</v>
      </c>
      <c r="G40" s="13" t="n">
        <v>1</v>
      </c>
      <c r="H40" s="13" t="n">
        <v>1</v>
      </c>
      <c r="I40" s="13" t="n">
        <v>0</v>
      </c>
      <c r="J40" s="13" t="n">
        <v>1</v>
      </c>
      <c r="K40" s="13" t="n">
        <v>1</v>
      </c>
      <c r="L40" s="13" t="n">
        <v>0</v>
      </c>
      <c r="M40" s="13" t="n">
        <v>1</v>
      </c>
      <c r="N40" s="13" t="n">
        <v>0</v>
      </c>
      <c r="O40" s="13" t="n">
        <v>1</v>
      </c>
      <c r="P40" s="13" t="n">
        <v>1</v>
      </c>
      <c r="Q40" s="13" t="n">
        <v>1</v>
      </c>
      <c r="R40" s="13" t="n">
        <v>1</v>
      </c>
      <c r="S40" s="13" t="n">
        <v>1</v>
      </c>
      <c r="T40" s="13" t="n">
        <v>0</v>
      </c>
      <c r="U40" s="13" t="n">
        <v>1</v>
      </c>
      <c r="V40" s="13" t="n">
        <v>1</v>
      </c>
      <c r="W40" s="13" t="n">
        <v>1</v>
      </c>
      <c r="X40" s="13" t="n">
        <v>0</v>
      </c>
      <c r="Y40" s="13" t="n">
        <v>1</v>
      </c>
      <c r="Z40" s="13" t="n">
        <v>1</v>
      </c>
      <c r="AA40" s="13" t="n">
        <v>0</v>
      </c>
      <c r="AB40" s="13" t="n">
        <v>1</v>
      </c>
      <c r="AC40" s="13" t="n">
        <v>1</v>
      </c>
      <c r="AD40" s="13" t="n">
        <v>1</v>
      </c>
      <c r="AE40" s="13" t="n">
        <v>1</v>
      </c>
      <c r="AF40" s="13" t="n">
        <v>0</v>
      </c>
      <c r="AG40" s="13" t="n">
        <v>0</v>
      </c>
      <c r="AH40" s="13" t="n">
        <v>1</v>
      </c>
      <c r="AI40" s="12">
        <f>COUNTIF(D40:AH40,1)</f>
        <v/>
      </c>
      <c r="AJ40" s="12">
        <f>IF(COUNT(D40:AH40)=0,"",ROUND(AI40/31*100,1))</f>
        <v/>
      </c>
      <c r="AK40" s="12">
        <f>COUNTIF(D40:AH40,0)</f>
        <v/>
      </c>
      <c r="AL40" s="12">
        <f>IF(COUNT(D40:AH40)=0,"",ROUND(AK40/31*100,1))</f>
        <v/>
      </c>
      <c r="AM40" s="20">
        <f>IF(AJ40="","",IF(AJ40&gt;=Нэгтгэл!$K$4,"Хангалттай эзэмшиж байна",IF(AJ40&gt;=Нэгтгэл!$K$5,"Ахиж байна","Хөгжиж байна")))</f>
        <v/>
      </c>
    </row>
    <row r="41" ht="16" customHeight="1">
      <c r="A41" s="12" t="n">
        <v>35</v>
      </c>
      <c r="B41" s="12">
        <f>IF(Нэгтгэл!B41="","",Нэгтгэл!B41)</f>
        <v/>
      </c>
      <c r="C41" s="4" t="n"/>
      <c r="D41" s="13" t="n">
        <v>0</v>
      </c>
      <c r="E41" s="13" t="n">
        <v>1</v>
      </c>
      <c r="F41" s="13" t="n">
        <v>1</v>
      </c>
      <c r="G41" s="13" t="n">
        <v>1</v>
      </c>
      <c r="H41" s="13" t="n">
        <v>0</v>
      </c>
      <c r="I41" s="13" t="n">
        <v>1</v>
      </c>
      <c r="J41" s="13" t="n">
        <v>1</v>
      </c>
      <c r="K41" s="13" t="n">
        <v>1</v>
      </c>
      <c r="L41" s="13" t="n">
        <v>1</v>
      </c>
      <c r="M41" s="13" t="n">
        <v>1</v>
      </c>
      <c r="N41" s="13" t="n">
        <v>0</v>
      </c>
      <c r="O41" s="13" t="n">
        <v>1</v>
      </c>
      <c r="P41" s="13" t="n">
        <v>1</v>
      </c>
      <c r="Q41" s="13" t="n">
        <v>1</v>
      </c>
      <c r="R41" s="13" t="n">
        <v>1</v>
      </c>
      <c r="S41" s="13" t="n">
        <v>1</v>
      </c>
      <c r="T41" s="13" t="n">
        <v>0</v>
      </c>
      <c r="U41" s="13" t="n">
        <v>1</v>
      </c>
      <c r="V41" s="13" t="n">
        <v>1</v>
      </c>
      <c r="W41" s="13" t="n">
        <v>1</v>
      </c>
      <c r="X41" s="13" t="n">
        <v>0</v>
      </c>
      <c r="Y41" s="13" t="n">
        <v>0</v>
      </c>
      <c r="Z41" s="13" t="n">
        <v>1</v>
      </c>
      <c r="AA41" s="13" t="n">
        <v>1</v>
      </c>
      <c r="AB41" s="13" t="n">
        <v>0</v>
      </c>
      <c r="AC41" s="13" t="n">
        <v>1</v>
      </c>
      <c r="AD41" s="13" t="n">
        <v>0</v>
      </c>
      <c r="AE41" s="13" t="n">
        <v>1</v>
      </c>
      <c r="AF41" s="13" t="n">
        <v>0</v>
      </c>
      <c r="AG41" s="13" t="n">
        <v>1</v>
      </c>
      <c r="AH41" s="13" t="n">
        <v>1</v>
      </c>
      <c r="AI41" s="12">
        <f>COUNTIF(D41:AH41,1)</f>
        <v/>
      </c>
      <c r="AJ41" s="12">
        <f>IF(COUNT(D41:AH41)=0,"",ROUND(AI41/31*100,1))</f>
        <v/>
      </c>
      <c r="AK41" s="12">
        <f>COUNTIF(D41:AH41,0)</f>
        <v/>
      </c>
      <c r="AL41" s="12">
        <f>IF(COUNT(D41:AH41)=0,"",ROUND(AK41/31*100,1))</f>
        <v/>
      </c>
      <c r="AM41" s="20">
        <f>IF(AJ41="","",IF(AJ41&gt;=Нэгтгэл!$K$4,"Хангалттай эзэмшиж байна",IF(AJ41&gt;=Нэгтгэл!$K$5,"Ахиж байна","Хөгжиж байна")))</f>
        <v/>
      </c>
    </row>
    <row r="42" ht="16" customHeight="1">
      <c r="A42" s="12" t="n">
        <v>36</v>
      </c>
      <c r="B42" s="12">
        <f>IF(Нэгтгэл!B42="","",Нэгтгэл!B42)</f>
        <v/>
      </c>
      <c r="C42" s="4" t="n"/>
      <c r="D42" s="13" t="n">
        <v>0</v>
      </c>
      <c r="E42" s="13" t="n">
        <v>1</v>
      </c>
      <c r="F42" s="13" t="n">
        <v>1</v>
      </c>
      <c r="G42" s="13" t="n">
        <v>1</v>
      </c>
      <c r="H42" s="13" t="n">
        <v>1</v>
      </c>
      <c r="I42" s="13" t="n">
        <v>1</v>
      </c>
      <c r="J42" s="13" t="n">
        <v>1</v>
      </c>
      <c r="K42" s="13" t="n">
        <v>1</v>
      </c>
      <c r="L42" s="13" t="n">
        <v>1</v>
      </c>
      <c r="M42" s="13" t="n">
        <v>1</v>
      </c>
      <c r="N42" s="13" t="n">
        <v>0</v>
      </c>
      <c r="O42" s="13" t="n">
        <v>0</v>
      </c>
      <c r="P42" s="13" t="n">
        <v>1</v>
      </c>
      <c r="Q42" s="13" t="n">
        <v>1</v>
      </c>
      <c r="R42" s="13" t="n">
        <v>1</v>
      </c>
      <c r="S42" s="13" t="n">
        <v>1</v>
      </c>
      <c r="T42" s="13" t="n">
        <v>1</v>
      </c>
      <c r="U42" s="13" t="n">
        <v>0</v>
      </c>
      <c r="V42" s="13" t="n">
        <v>1</v>
      </c>
      <c r="W42" s="13" t="n">
        <v>0</v>
      </c>
      <c r="X42" s="13" t="n">
        <v>1</v>
      </c>
      <c r="Y42" s="13" t="n">
        <v>1</v>
      </c>
      <c r="Z42" s="13" t="n">
        <v>1</v>
      </c>
      <c r="AA42" s="13" t="n">
        <v>1</v>
      </c>
      <c r="AB42" s="13" t="n">
        <v>1</v>
      </c>
      <c r="AC42" s="13" t="n">
        <v>1</v>
      </c>
      <c r="AD42" s="13" t="n">
        <v>1</v>
      </c>
      <c r="AE42" s="13" t="n">
        <v>0</v>
      </c>
      <c r="AF42" s="13" t="n">
        <v>1</v>
      </c>
      <c r="AG42" s="13" t="n">
        <v>1</v>
      </c>
      <c r="AH42" s="13" t="n">
        <v>1</v>
      </c>
      <c r="AI42" s="12">
        <f>COUNTIF(D42:AH42,1)</f>
        <v/>
      </c>
      <c r="AJ42" s="12">
        <f>IF(COUNT(D42:AH42)=0,"",ROUND(AI42/31*100,1))</f>
        <v/>
      </c>
      <c r="AK42" s="12">
        <f>COUNTIF(D42:AH42,0)</f>
        <v/>
      </c>
      <c r="AL42" s="12">
        <f>IF(COUNT(D42:AH42)=0,"",ROUND(AK42/31*100,1))</f>
        <v/>
      </c>
      <c r="AM42" s="20">
        <f>IF(AJ42="","",IF(AJ42&gt;=Нэгтгэл!$K$4,"Хангалттай эзэмшиж байна",IF(AJ42&gt;=Нэгтгэл!$K$5,"Ахиж байна","Хөгжиж байна")))</f>
        <v/>
      </c>
    </row>
    <row r="43" ht="16" customHeight="1">
      <c r="A43" s="12" t="n">
        <v>37</v>
      </c>
      <c r="B43" s="12">
        <f>IF(Нэгтгэл!B43="","",Нэгтгэл!B43)</f>
        <v/>
      </c>
      <c r="C43" s="4" t="n"/>
      <c r="D43" s="13" t="n">
        <v>0</v>
      </c>
      <c r="E43" s="13" t="n">
        <v>1</v>
      </c>
      <c r="F43" s="13" t="n">
        <v>0</v>
      </c>
      <c r="G43" s="13" t="n">
        <v>1</v>
      </c>
      <c r="H43" s="13" t="n">
        <v>1</v>
      </c>
      <c r="I43" s="13" t="n">
        <v>1</v>
      </c>
      <c r="J43" s="13" t="n">
        <v>1</v>
      </c>
      <c r="K43" s="13" t="n">
        <v>1</v>
      </c>
      <c r="L43" s="13" t="n">
        <v>0</v>
      </c>
      <c r="M43" s="13" t="n">
        <v>1</v>
      </c>
      <c r="N43" s="13" t="n">
        <v>1</v>
      </c>
      <c r="O43" s="13" t="n">
        <v>1</v>
      </c>
      <c r="P43" s="13" t="n">
        <v>1</v>
      </c>
      <c r="Q43" s="13" t="n">
        <v>1</v>
      </c>
      <c r="R43" s="13" t="n">
        <v>0</v>
      </c>
      <c r="S43" s="13" t="n">
        <v>1</v>
      </c>
      <c r="T43" s="13" t="n">
        <v>1</v>
      </c>
      <c r="U43" s="13" t="n">
        <v>1</v>
      </c>
      <c r="V43" s="13" t="n">
        <v>1</v>
      </c>
      <c r="W43" s="13" t="n">
        <v>0</v>
      </c>
      <c r="X43" s="13" t="n">
        <v>0</v>
      </c>
      <c r="Y43" s="13" t="n">
        <v>1</v>
      </c>
      <c r="Z43" s="13" t="n">
        <v>0</v>
      </c>
      <c r="AA43" s="13" t="n">
        <v>1</v>
      </c>
      <c r="AB43" s="13" t="n">
        <v>0</v>
      </c>
      <c r="AC43" s="13" t="n">
        <v>1</v>
      </c>
      <c r="AD43" s="13" t="n">
        <v>1</v>
      </c>
      <c r="AE43" s="13" t="n">
        <v>1</v>
      </c>
      <c r="AF43" s="13" t="n">
        <v>1</v>
      </c>
      <c r="AG43" s="13" t="n">
        <v>1</v>
      </c>
      <c r="AH43" s="13" t="n">
        <v>1</v>
      </c>
      <c r="AI43" s="12">
        <f>COUNTIF(D43:AH43,1)</f>
        <v/>
      </c>
      <c r="AJ43" s="12">
        <f>IF(COUNT(D43:AH43)=0,"",ROUND(AI43/31*100,1))</f>
        <v/>
      </c>
      <c r="AK43" s="12">
        <f>COUNTIF(D43:AH43,0)</f>
        <v/>
      </c>
      <c r="AL43" s="12">
        <f>IF(COUNT(D43:AH43)=0,"",ROUND(AK43/31*100,1))</f>
        <v/>
      </c>
      <c r="AM43" s="20">
        <f>IF(AJ43="","",IF(AJ43&gt;=Нэгтгэл!$K$4,"Хангалттай эзэмшиж байна",IF(AJ43&gt;=Нэгтгэл!$K$5,"Ахиж байна","Хөгжиж байна")))</f>
        <v/>
      </c>
    </row>
    <row r="44" ht="16" customHeight="1">
      <c r="A44" s="12" t="n">
        <v>38</v>
      </c>
      <c r="B44" s="12">
        <f>IF(Нэгтгэл!B44="","",Нэгтгэл!B44)</f>
        <v/>
      </c>
      <c r="C44" s="4" t="n"/>
      <c r="D44" s="13" t="n">
        <v>0</v>
      </c>
      <c r="E44" s="13" t="n">
        <v>1</v>
      </c>
      <c r="F44" s="13" t="n">
        <v>0</v>
      </c>
      <c r="G44" s="13" t="n">
        <v>1</v>
      </c>
      <c r="H44" s="13" t="n">
        <v>1</v>
      </c>
      <c r="I44" s="13" t="n">
        <v>1</v>
      </c>
      <c r="J44" s="13" t="n">
        <v>1</v>
      </c>
      <c r="K44" s="13" t="n">
        <v>1</v>
      </c>
      <c r="L44" s="13" t="n">
        <v>1</v>
      </c>
      <c r="M44" s="13" t="n">
        <v>1</v>
      </c>
      <c r="N44" s="13" t="n">
        <v>1</v>
      </c>
      <c r="O44" s="13" t="n">
        <v>0</v>
      </c>
      <c r="P44" s="13" t="n">
        <v>1</v>
      </c>
      <c r="Q44" s="13" t="n">
        <v>0</v>
      </c>
      <c r="R44" s="13" t="n">
        <v>1</v>
      </c>
      <c r="S44" s="13" t="n">
        <v>1</v>
      </c>
      <c r="T44" s="13" t="n">
        <v>1</v>
      </c>
      <c r="U44" s="13" t="n">
        <v>1</v>
      </c>
      <c r="V44" s="13" t="n">
        <v>1</v>
      </c>
      <c r="W44" s="13" t="n">
        <v>1</v>
      </c>
      <c r="X44" s="13" t="n">
        <v>1</v>
      </c>
      <c r="Y44" s="13" t="n">
        <v>0</v>
      </c>
      <c r="Z44" s="13" t="n">
        <v>1</v>
      </c>
      <c r="AA44" s="13" t="n">
        <v>0</v>
      </c>
      <c r="AB44" s="13" t="n">
        <v>1</v>
      </c>
      <c r="AC44" s="13" t="n">
        <v>0</v>
      </c>
      <c r="AD44" s="13" t="n">
        <v>0</v>
      </c>
      <c r="AE44" s="13" t="n">
        <v>0</v>
      </c>
      <c r="AF44" s="13" t="n">
        <v>1</v>
      </c>
      <c r="AG44" s="13" t="n">
        <v>1</v>
      </c>
      <c r="AH44" s="13" t="n">
        <v>0</v>
      </c>
      <c r="AI44" s="12">
        <f>COUNTIF(D44:AH44,1)</f>
        <v/>
      </c>
      <c r="AJ44" s="12">
        <f>IF(COUNT(D44:AH44)=0,"",ROUND(AI44/31*100,1))</f>
        <v/>
      </c>
      <c r="AK44" s="12">
        <f>COUNTIF(D44:AH44,0)</f>
        <v/>
      </c>
      <c r="AL44" s="12">
        <f>IF(COUNT(D44:AH44)=0,"",ROUND(AK44/31*100,1))</f>
        <v/>
      </c>
      <c r="AM44" s="20">
        <f>IF(AJ44="","",IF(AJ44&gt;=Нэгтгэл!$K$4,"Хангалттай эзэмшиж байна",IF(AJ44&gt;=Нэгтгэл!$K$5,"Ахиж байна","Хөгжиж байна")))</f>
        <v/>
      </c>
    </row>
    <row r="45" ht="16" customHeight="1">
      <c r="A45" s="12" t="n">
        <v>39</v>
      </c>
      <c r="B45" s="12">
        <f>IF(Нэгтгэл!B45="","",Нэгтгэл!B45)</f>
        <v/>
      </c>
      <c r="C45" s="4" t="n"/>
      <c r="D45" s="13" t="n">
        <v>1</v>
      </c>
      <c r="E45" s="13" t="n">
        <v>1</v>
      </c>
      <c r="F45" s="13" t="n">
        <v>0</v>
      </c>
      <c r="G45" s="13" t="n">
        <v>0</v>
      </c>
      <c r="H45" s="13" t="n">
        <v>1</v>
      </c>
      <c r="I45" s="13" t="n">
        <v>1</v>
      </c>
      <c r="J45" s="13" t="n">
        <v>1</v>
      </c>
      <c r="K45" s="13" t="n">
        <v>0</v>
      </c>
      <c r="L45" s="13" t="n">
        <v>1</v>
      </c>
      <c r="M45" s="13" t="n">
        <v>1</v>
      </c>
      <c r="N45" s="13" t="n">
        <v>1</v>
      </c>
      <c r="O45" s="13" t="n">
        <v>1</v>
      </c>
      <c r="P45" s="13" t="n">
        <v>1</v>
      </c>
      <c r="Q45" s="13" t="n">
        <v>0</v>
      </c>
      <c r="R45" s="13" t="n">
        <v>0</v>
      </c>
      <c r="S45" s="13" t="n">
        <v>1</v>
      </c>
      <c r="T45" s="13" t="n">
        <v>1</v>
      </c>
      <c r="U45" s="13" t="n">
        <v>1</v>
      </c>
      <c r="V45" s="13" t="n">
        <v>1</v>
      </c>
      <c r="W45" s="13" t="n">
        <v>0</v>
      </c>
      <c r="X45" s="13" t="n">
        <v>0</v>
      </c>
      <c r="Y45" s="13" t="n">
        <v>1</v>
      </c>
      <c r="Z45" s="13" t="n">
        <v>1</v>
      </c>
      <c r="AA45" s="13" t="n">
        <v>1</v>
      </c>
      <c r="AB45" s="13" t="n">
        <v>1</v>
      </c>
      <c r="AC45" s="13" t="n">
        <v>0</v>
      </c>
      <c r="AD45" s="13" t="n">
        <v>1</v>
      </c>
      <c r="AE45" s="13" t="n">
        <v>0</v>
      </c>
      <c r="AF45" s="13" t="n">
        <v>1</v>
      </c>
      <c r="AG45" s="13" t="n">
        <v>0</v>
      </c>
      <c r="AH45" s="13" t="n">
        <v>1</v>
      </c>
      <c r="AI45" s="12">
        <f>COUNTIF(D45:AH45,1)</f>
        <v/>
      </c>
      <c r="AJ45" s="12">
        <f>IF(COUNT(D45:AH45)=0,"",ROUND(AI45/31*100,1))</f>
        <v/>
      </c>
      <c r="AK45" s="12">
        <f>COUNTIF(D45:AH45,0)</f>
        <v/>
      </c>
      <c r="AL45" s="12">
        <f>IF(COUNT(D45:AH45)=0,"",ROUND(AK45/31*100,1))</f>
        <v/>
      </c>
      <c r="AM45" s="20">
        <f>IF(AJ45="","",IF(AJ45&gt;=Нэгтгэл!$K$4,"Хангалттай эзэмшиж байна",IF(AJ45&gt;=Нэгтгэл!$K$5,"Ахиж байна","Хөгжиж байна")))</f>
        <v/>
      </c>
    </row>
    <row r="46" ht="16" customHeight="1">
      <c r="A46" s="12" t="n">
        <v>40</v>
      </c>
      <c r="B46" s="12">
        <f>IF(Нэгтгэл!B46="","",Нэгтгэл!B46)</f>
        <v/>
      </c>
      <c r="C46" s="4" t="n"/>
      <c r="D46" s="13" t="n">
        <v>1</v>
      </c>
      <c r="E46" s="13" t="n">
        <v>0</v>
      </c>
      <c r="F46" s="13" t="n">
        <v>1</v>
      </c>
      <c r="G46" s="13" t="n">
        <v>0</v>
      </c>
      <c r="H46" s="13" t="n">
        <v>1</v>
      </c>
      <c r="I46" s="13" t="n">
        <v>1</v>
      </c>
      <c r="J46" s="13" t="n">
        <v>1</v>
      </c>
      <c r="K46" s="13" t="n">
        <v>1</v>
      </c>
      <c r="L46" s="13" t="n">
        <v>1</v>
      </c>
      <c r="M46" s="13" t="n">
        <v>0</v>
      </c>
      <c r="N46" s="13" t="n">
        <v>1</v>
      </c>
      <c r="O46" s="13" t="n">
        <v>1</v>
      </c>
      <c r="P46" s="13" t="n">
        <v>1</v>
      </c>
      <c r="Q46" s="13" t="n">
        <v>0</v>
      </c>
      <c r="R46" s="13" t="n">
        <v>1</v>
      </c>
      <c r="S46" s="13" t="n">
        <v>1</v>
      </c>
      <c r="T46" s="13" t="n">
        <v>0</v>
      </c>
      <c r="U46" s="13" t="n">
        <v>0</v>
      </c>
      <c r="V46" s="13" t="n">
        <v>1</v>
      </c>
      <c r="W46" s="13" t="n">
        <v>1</v>
      </c>
      <c r="X46" s="13" t="n">
        <v>1</v>
      </c>
      <c r="Y46" s="13" t="n">
        <v>1</v>
      </c>
      <c r="Z46" s="13" t="n">
        <v>1</v>
      </c>
      <c r="AA46" s="13" t="n">
        <v>0</v>
      </c>
      <c r="AB46" s="13" t="n">
        <v>1</v>
      </c>
      <c r="AC46" s="13" t="n">
        <v>0</v>
      </c>
      <c r="AD46" s="13" t="n">
        <v>1</v>
      </c>
      <c r="AE46" s="13" t="n">
        <v>0</v>
      </c>
      <c r="AF46" s="13" t="n">
        <v>1</v>
      </c>
      <c r="AG46" s="13" t="n">
        <v>0</v>
      </c>
      <c r="AH46" s="13" t="n">
        <v>1</v>
      </c>
      <c r="AI46" s="12">
        <f>COUNTIF(D46:AH46,1)</f>
        <v/>
      </c>
      <c r="AJ46" s="12">
        <f>IF(COUNT(D46:AH46)=0,"",ROUND(AI46/31*100,1))</f>
        <v/>
      </c>
      <c r="AK46" s="12">
        <f>COUNTIF(D46:AH46,0)</f>
        <v/>
      </c>
      <c r="AL46" s="12">
        <f>IF(COUNT(D46:AH46)=0,"",ROUND(AK46/31*100,1))</f>
        <v/>
      </c>
      <c r="AM46" s="20">
        <f>IF(AJ46="","",IF(AJ46&gt;=Нэгтгэл!$K$4,"Хангалттай эзэмшиж байна",IF(AJ46&gt;=Нэгтгэл!$K$5,"Ахиж байна","Хөгжиж байна")))</f>
        <v/>
      </c>
    </row>
    <row r="47" ht="16" customHeight="1">
      <c r="A47" s="12" t="n">
        <v>41</v>
      </c>
      <c r="B47" s="12">
        <f>IF(Нэгтгэл!B47="","",Нэгтгэл!B47)</f>
        <v/>
      </c>
      <c r="C47" s="4" t="n"/>
      <c r="D47" s="13" t="n">
        <v>1</v>
      </c>
      <c r="E47" s="13" t="n">
        <v>0</v>
      </c>
      <c r="F47" s="13" t="n">
        <v>1</v>
      </c>
      <c r="G47" s="13" t="n">
        <v>1</v>
      </c>
      <c r="H47" s="13" t="n">
        <v>0</v>
      </c>
      <c r="I47" s="13" t="n">
        <v>0</v>
      </c>
      <c r="J47" s="13" t="n">
        <v>1</v>
      </c>
      <c r="K47" s="13" t="n">
        <v>1</v>
      </c>
      <c r="L47" s="13" t="n">
        <v>1</v>
      </c>
      <c r="M47" s="13" t="n">
        <v>0</v>
      </c>
      <c r="N47" s="13" t="n">
        <v>0</v>
      </c>
      <c r="O47" s="13" t="n">
        <v>0</v>
      </c>
      <c r="P47" s="13" t="n">
        <v>1</v>
      </c>
      <c r="Q47" s="13" t="n">
        <v>1</v>
      </c>
      <c r="R47" s="13" t="n">
        <v>1</v>
      </c>
      <c r="S47" s="13" t="n">
        <v>1</v>
      </c>
      <c r="T47" s="13" t="n">
        <v>1</v>
      </c>
      <c r="U47" s="13" t="n">
        <v>0</v>
      </c>
      <c r="V47" s="13" t="n">
        <v>1</v>
      </c>
      <c r="W47" s="13" t="n">
        <v>1</v>
      </c>
      <c r="X47" s="13" t="n">
        <v>1</v>
      </c>
      <c r="Y47" s="13" t="n">
        <v>1</v>
      </c>
      <c r="Z47" s="13" t="n">
        <v>1</v>
      </c>
      <c r="AA47" s="13" t="n">
        <v>0</v>
      </c>
      <c r="AB47" s="13" t="n">
        <v>1</v>
      </c>
      <c r="AC47" s="13" t="n">
        <v>1</v>
      </c>
      <c r="AD47" s="13" t="n">
        <v>0</v>
      </c>
      <c r="AE47" s="13" t="n">
        <v>1</v>
      </c>
      <c r="AF47" s="13" t="n">
        <v>1</v>
      </c>
      <c r="AG47" s="13" t="n">
        <v>0</v>
      </c>
      <c r="AH47" s="13" t="n">
        <v>1</v>
      </c>
      <c r="AI47" s="12">
        <f>COUNTIF(D47:AH47,1)</f>
        <v/>
      </c>
      <c r="AJ47" s="12">
        <f>IF(COUNT(D47:AH47)=0,"",ROUND(AI47/31*100,1))</f>
        <v/>
      </c>
      <c r="AK47" s="12">
        <f>COUNTIF(D47:AH47,0)</f>
        <v/>
      </c>
      <c r="AL47" s="12">
        <f>IF(COUNT(D47:AH47)=0,"",ROUND(AK47/31*100,1))</f>
        <v/>
      </c>
      <c r="AM47" s="20">
        <f>IF(AJ47="","",IF(AJ47&gt;=Нэгтгэл!$K$4,"Хангалттай эзэмшиж байна",IF(AJ47&gt;=Нэгтгэл!$K$5,"Ахиж байна","Хөгжиж байна")))</f>
        <v/>
      </c>
    </row>
    <row r="48" ht="16" customHeight="1">
      <c r="A48" s="12" t="n">
        <v>42</v>
      </c>
      <c r="B48" s="12">
        <f>IF(Нэгтгэл!B48="","",Нэгтгэл!B48)</f>
        <v/>
      </c>
      <c r="C48" s="4" t="n"/>
      <c r="D48" s="13" t="n">
        <v>1</v>
      </c>
      <c r="E48" s="13" t="n">
        <v>1</v>
      </c>
      <c r="F48" s="13" t="n">
        <v>0</v>
      </c>
      <c r="G48" s="13" t="n">
        <v>1</v>
      </c>
      <c r="H48" s="13" t="n">
        <v>0</v>
      </c>
      <c r="I48" s="13" t="n">
        <v>0</v>
      </c>
      <c r="J48" s="13" t="n">
        <v>1</v>
      </c>
      <c r="K48" s="13" t="n">
        <v>0</v>
      </c>
      <c r="L48" s="13" t="n">
        <v>1</v>
      </c>
      <c r="M48" s="13" t="n">
        <v>0</v>
      </c>
      <c r="N48" s="13" t="n">
        <v>1</v>
      </c>
      <c r="O48" s="13" t="n">
        <v>1</v>
      </c>
      <c r="P48" s="13" t="n">
        <v>1</v>
      </c>
      <c r="Q48" s="13" t="n">
        <v>1</v>
      </c>
      <c r="R48" s="13" t="n">
        <v>0</v>
      </c>
      <c r="S48" s="13" t="n">
        <v>1</v>
      </c>
      <c r="T48" s="13" t="n">
        <v>0</v>
      </c>
      <c r="U48" s="13" t="n">
        <v>1</v>
      </c>
      <c r="V48" s="13" t="n">
        <v>0</v>
      </c>
      <c r="W48" s="13" t="n">
        <v>1</v>
      </c>
      <c r="X48" s="13" t="n">
        <v>1</v>
      </c>
      <c r="Y48" s="13" t="n">
        <v>0</v>
      </c>
      <c r="Z48" s="13" t="n">
        <v>0</v>
      </c>
      <c r="AA48" s="13" t="n">
        <v>0</v>
      </c>
      <c r="AB48" s="13" t="n">
        <v>0</v>
      </c>
      <c r="AC48" s="13" t="n">
        <v>0</v>
      </c>
      <c r="AD48" s="13" t="n">
        <v>1</v>
      </c>
      <c r="AE48" s="13" t="n">
        <v>1</v>
      </c>
      <c r="AF48" s="13" t="n">
        <v>0</v>
      </c>
      <c r="AG48" s="13" t="n">
        <v>1</v>
      </c>
      <c r="AH48" s="13" t="n">
        <v>1</v>
      </c>
      <c r="AI48" s="12">
        <f>COUNTIF(D48:AH48,1)</f>
        <v/>
      </c>
      <c r="AJ48" s="12">
        <f>IF(COUNT(D48:AH48)=0,"",ROUND(AI48/31*100,1))</f>
        <v/>
      </c>
      <c r="AK48" s="12">
        <f>COUNTIF(D48:AH48,0)</f>
        <v/>
      </c>
      <c r="AL48" s="12">
        <f>IF(COUNT(D48:AH48)=0,"",ROUND(AK48/31*100,1))</f>
        <v/>
      </c>
      <c r="AM48" s="20">
        <f>IF(AJ48="","",IF(AJ48&gt;=Нэгтгэл!$K$4,"Хангалттай эзэмшиж байна",IF(AJ48&gt;=Нэгтгэл!$K$5,"Ахиж байна","Хөгжиж байна")))</f>
        <v/>
      </c>
    </row>
    <row r="49" ht="16" customHeight="1">
      <c r="A49" s="12" t="n">
        <v>43</v>
      </c>
      <c r="B49" s="12">
        <f>IF(Нэгтгэл!B49="","",Нэгтгэл!B49)</f>
        <v/>
      </c>
      <c r="C49" s="4" t="n"/>
      <c r="D49" s="13" t="n">
        <v>1</v>
      </c>
      <c r="E49" s="13" t="n">
        <v>0</v>
      </c>
      <c r="F49" s="13" t="n">
        <v>1</v>
      </c>
      <c r="G49" s="13" t="n">
        <v>0</v>
      </c>
      <c r="H49" s="13" t="n">
        <v>0</v>
      </c>
      <c r="I49" s="13" t="n">
        <v>1</v>
      </c>
      <c r="J49" s="13" t="n">
        <v>0</v>
      </c>
      <c r="K49" s="13" t="n">
        <v>1</v>
      </c>
      <c r="L49" s="13" t="n">
        <v>1</v>
      </c>
      <c r="M49" s="13" t="n">
        <v>1</v>
      </c>
      <c r="N49" s="13" t="n">
        <v>1</v>
      </c>
      <c r="O49" s="13" t="n">
        <v>1</v>
      </c>
      <c r="P49" s="13" t="n">
        <v>1</v>
      </c>
      <c r="Q49" s="13" t="n">
        <v>1</v>
      </c>
      <c r="R49" s="13" t="n">
        <v>1</v>
      </c>
      <c r="S49" s="13" t="n">
        <v>1</v>
      </c>
      <c r="T49" s="13" t="n">
        <v>1</v>
      </c>
      <c r="U49" s="13" t="n">
        <v>1</v>
      </c>
      <c r="V49" s="13" t="n">
        <v>1</v>
      </c>
      <c r="W49" s="13" t="n">
        <v>1</v>
      </c>
      <c r="X49" s="13" t="n">
        <v>0</v>
      </c>
      <c r="Y49" s="13" t="n">
        <v>1</v>
      </c>
      <c r="Z49" s="13" t="n">
        <v>0</v>
      </c>
      <c r="AA49" s="13" t="n">
        <v>1</v>
      </c>
      <c r="AB49" s="13" t="n">
        <v>1</v>
      </c>
      <c r="AC49" s="13" t="n">
        <v>0</v>
      </c>
      <c r="AD49" s="13" t="n">
        <v>1</v>
      </c>
      <c r="AE49" s="13" t="n">
        <v>1</v>
      </c>
      <c r="AF49" s="13" t="n">
        <v>0</v>
      </c>
      <c r="AG49" s="13" t="n">
        <v>1</v>
      </c>
      <c r="AH49" s="13" t="n">
        <v>0</v>
      </c>
      <c r="AI49" s="12">
        <f>COUNTIF(D49:AH49,1)</f>
        <v/>
      </c>
      <c r="AJ49" s="12">
        <f>IF(COUNT(D49:AH49)=0,"",ROUND(AI49/31*100,1))</f>
        <v/>
      </c>
      <c r="AK49" s="12">
        <f>COUNTIF(D49:AH49,0)</f>
        <v/>
      </c>
      <c r="AL49" s="12">
        <f>IF(COUNT(D49:AH49)=0,"",ROUND(AK49/31*100,1))</f>
        <v/>
      </c>
      <c r="AM49" s="20">
        <f>IF(AJ49="","",IF(AJ49&gt;=Нэгтгэл!$K$4,"Хангалттай эзэмшиж байна",IF(AJ49&gt;=Нэгтгэл!$K$5,"Ахиж байна","Хөгжиж байна")))</f>
        <v/>
      </c>
    </row>
    <row r="50" ht="16" customHeight="1">
      <c r="A50" s="12" t="n">
        <v>44</v>
      </c>
      <c r="B50" s="12">
        <f>IF(Нэгтгэл!B50="","",Нэгтгэл!B50)</f>
        <v/>
      </c>
      <c r="C50" s="4" t="n"/>
      <c r="D50" s="13" t="n">
        <v>1</v>
      </c>
      <c r="E50" s="13" t="n">
        <v>0</v>
      </c>
      <c r="F50" s="13" t="n">
        <v>1</v>
      </c>
      <c r="G50" s="13" t="n">
        <v>1</v>
      </c>
      <c r="H50" s="13" t="n">
        <v>1</v>
      </c>
      <c r="I50" s="13" t="n">
        <v>0</v>
      </c>
      <c r="J50" s="13" t="n">
        <v>1</v>
      </c>
      <c r="K50" s="13" t="n">
        <v>1</v>
      </c>
      <c r="L50" s="13" t="n">
        <v>1</v>
      </c>
      <c r="M50" s="13" t="n">
        <v>1</v>
      </c>
      <c r="N50" s="13" t="n">
        <v>1</v>
      </c>
      <c r="O50" s="13" t="n">
        <v>0</v>
      </c>
      <c r="P50" s="13" t="n">
        <v>1</v>
      </c>
      <c r="Q50" s="13" t="n">
        <v>1</v>
      </c>
      <c r="R50" s="13" t="n">
        <v>0</v>
      </c>
      <c r="S50" s="13" t="n">
        <v>1</v>
      </c>
      <c r="T50" s="13" t="n">
        <v>1</v>
      </c>
      <c r="U50" s="13" t="n">
        <v>1</v>
      </c>
      <c r="V50" s="13" t="n">
        <v>0</v>
      </c>
      <c r="W50" s="13" t="n">
        <v>1</v>
      </c>
      <c r="X50" s="13" t="n">
        <v>1</v>
      </c>
      <c r="Y50" s="13" t="n">
        <v>1</v>
      </c>
      <c r="Z50" s="13" t="n">
        <v>0</v>
      </c>
      <c r="AA50" s="13" t="n">
        <v>1</v>
      </c>
      <c r="AB50" s="13" t="n">
        <v>1</v>
      </c>
      <c r="AC50" s="13" t="n">
        <v>0</v>
      </c>
      <c r="AD50" s="13" t="n">
        <v>0</v>
      </c>
      <c r="AE50" s="13" t="n">
        <v>1</v>
      </c>
      <c r="AF50" s="13" t="n">
        <v>1</v>
      </c>
      <c r="AG50" s="13" t="n">
        <v>1</v>
      </c>
      <c r="AH50" s="13" t="n">
        <v>1</v>
      </c>
      <c r="AI50" s="12">
        <f>COUNTIF(D50:AH50,1)</f>
        <v/>
      </c>
      <c r="AJ50" s="12">
        <f>IF(COUNT(D50:AH50)=0,"",ROUND(AI50/31*100,1))</f>
        <v/>
      </c>
      <c r="AK50" s="12">
        <f>COUNTIF(D50:AH50,0)</f>
        <v/>
      </c>
      <c r="AL50" s="12">
        <f>IF(COUNT(D50:AH50)=0,"",ROUND(AK50/31*100,1))</f>
        <v/>
      </c>
      <c r="AM50" s="20">
        <f>IF(AJ50="","",IF(AJ50&gt;=Нэгтгэл!$K$4,"Хангалттай эзэмшиж байна",IF(AJ50&gt;=Нэгтгэл!$K$5,"Ахиж байна","Хөгжиж байна")))</f>
        <v/>
      </c>
    </row>
    <row r="51" ht="17" customHeight="1">
      <c r="A51" s="5" t="inlineStr">
        <is>
          <t>Чадна (1)</t>
        </is>
      </c>
      <c r="B51" s="15" t="n"/>
      <c r="C51" s="15" t="n"/>
      <c r="D51" s="5">
        <f>COUNTIF(D7:D50,1)</f>
        <v/>
      </c>
      <c r="E51" s="5">
        <f>COUNTIF(E7:E50,1)</f>
        <v/>
      </c>
      <c r="F51" s="5">
        <f>COUNTIF(F7:F50,1)</f>
        <v/>
      </c>
      <c r="G51" s="5">
        <f>COUNTIF(G7:G50,1)</f>
        <v/>
      </c>
      <c r="H51" s="5">
        <f>COUNTIF(H7:H50,1)</f>
        <v/>
      </c>
      <c r="I51" s="5">
        <f>COUNTIF(I7:I50,1)</f>
        <v/>
      </c>
      <c r="J51" s="5">
        <f>COUNTIF(J7:J50,1)</f>
        <v/>
      </c>
      <c r="K51" s="5">
        <f>COUNTIF(K7:K50,1)</f>
        <v/>
      </c>
      <c r="L51" s="5">
        <f>COUNTIF(L7:L50,1)</f>
        <v/>
      </c>
      <c r="M51" s="5">
        <f>COUNTIF(M7:M50,1)</f>
        <v/>
      </c>
      <c r="N51" s="5">
        <f>COUNTIF(N7:N50,1)</f>
        <v/>
      </c>
      <c r="O51" s="5">
        <f>COUNTIF(O7:O50,1)</f>
        <v/>
      </c>
      <c r="P51" s="5">
        <f>COUNTIF(P7:P50,1)</f>
        <v/>
      </c>
      <c r="Q51" s="5">
        <f>COUNTIF(Q7:Q50,1)</f>
        <v/>
      </c>
      <c r="R51" s="5">
        <f>COUNTIF(R7:R50,1)</f>
        <v/>
      </c>
      <c r="S51" s="5">
        <f>COUNTIF(S7:S50,1)</f>
        <v/>
      </c>
      <c r="T51" s="5">
        <f>COUNTIF(T7:T50,1)</f>
        <v/>
      </c>
      <c r="U51" s="5">
        <f>COUNTIF(U7:U50,1)</f>
        <v/>
      </c>
      <c r="V51" s="5">
        <f>COUNTIF(V7:V50,1)</f>
        <v/>
      </c>
      <c r="W51" s="5">
        <f>COUNTIF(W7:W50,1)</f>
        <v/>
      </c>
      <c r="X51" s="5">
        <f>COUNTIF(X7:X50,1)</f>
        <v/>
      </c>
      <c r="Y51" s="5">
        <f>COUNTIF(Y7:Y50,1)</f>
        <v/>
      </c>
      <c r="Z51" s="5">
        <f>COUNTIF(Z7:Z50,1)</f>
        <v/>
      </c>
      <c r="AA51" s="5">
        <f>COUNTIF(AA7:AA50,1)</f>
        <v/>
      </c>
      <c r="AB51" s="5">
        <f>COUNTIF(AB7:AB50,1)</f>
        <v/>
      </c>
      <c r="AC51" s="5">
        <f>COUNTIF(AC7:AC50,1)</f>
        <v/>
      </c>
      <c r="AD51" s="5">
        <f>COUNTIF(AD7:AD50,1)</f>
        <v/>
      </c>
      <c r="AE51" s="5">
        <f>COUNTIF(AE7:AE50,1)</f>
        <v/>
      </c>
      <c r="AF51" s="5">
        <f>COUNTIF(AF7:AF50,1)</f>
        <v/>
      </c>
      <c r="AG51" s="5">
        <f>COUNTIF(AG7:AG50,1)</f>
        <v/>
      </c>
      <c r="AH51" s="5">
        <f>COUNTIF(AH7:AH50,1)</f>
        <v/>
      </c>
      <c r="AI51" s="21" t="inlineStr">
        <is>
          <t>Хангалттай эзэмшиж байна</t>
        </is>
      </c>
      <c r="AJ51" s="22" t="n"/>
      <c r="AK51" s="22" t="n"/>
      <c r="AL51" s="23" t="n"/>
      <c r="AM51" s="5">
        <f>COUNTIF(AM7:AM50,"Хангалттай эзэмшиж байна")</f>
        <v/>
      </c>
    </row>
    <row r="52" ht="17" customHeight="1">
      <c r="A52" s="5" t="inlineStr">
        <is>
          <t>Хувь</t>
        </is>
      </c>
      <c r="B52" s="15" t="n"/>
      <c r="C52" s="15" t="n"/>
      <c r="D52" s="5">
        <f>IF(COUNT(D7:D50)=0,"",ROUND(COUNTIF(D7:D50,1)/COUNT(D7:D50)*100,1))</f>
        <v/>
      </c>
      <c r="E52" s="5">
        <f>IF(COUNT(E7:E50)=0,"",ROUND(COUNTIF(E7:E50,1)/COUNT(E7:E50)*100,1))</f>
        <v/>
      </c>
      <c r="F52" s="5">
        <f>IF(COUNT(F7:F50)=0,"",ROUND(COUNTIF(F7:F50,1)/COUNT(F7:F50)*100,1))</f>
        <v/>
      </c>
      <c r="G52" s="5">
        <f>IF(COUNT(G7:G50)=0,"",ROUND(COUNTIF(G7:G50,1)/COUNT(G7:G50)*100,1))</f>
        <v/>
      </c>
      <c r="H52" s="5">
        <f>IF(COUNT(H7:H50)=0,"",ROUND(COUNTIF(H7:H50,1)/COUNT(H7:H50)*100,1))</f>
        <v/>
      </c>
      <c r="I52" s="5">
        <f>IF(COUNT(I7:I50)=0,"",ROUND(COUNTIF(I7:I50,1)/COUNT(I7:I50)*100,1))</f>
        <v/>
      </c>
      <c r="J52" s="5">
        <f>IF(COUNT(J7:J50)=0,"",ROUND(COUNTIF(J7:J50,1)/COUNT(J7:J50)*100,1))</f>
        <v/>
      </c>
      <c r="K52" s="5">
        <f>IF(COUNT(K7:K50)=0,"",ROUND(COUNTIF(K7:K50,1)/COUNT(K7:K50)*100,1))</f>
        <v/>
      </c>
      <c r="L52" s="5">
        <f>IF(COUNT(L7:L50)=0,"",ROUND(COUNTIF(L7:L50,1)/COUNT(L7:L50)*100,1))</f>
        <v/>
      </c>
      <c r="M52" s="5">
        <f>IF(COUNT(M7:M50)=0,"",ROUND(COUNTIF(M7:M50,1)/COUNT(M7:M50)*100,1))</f>
        <v/>
      </c>
      <c r="N52" s="5">
        <f>IF(COUNT(N7:N50)=0,"",ROUND(COUNTIF(N7:N50,1)/COUNT(N7:N50)*100,1))</f>
        <v/>
      </c>
      <c r="O52" s="5">
        <f>IF(COUNT(O7:O50)=0,"",ROUND(COUNTIF(O7:O50,1)/COUNT(O7:O50)*100,1))</f>
        <v/>
      </c>
      <c r="P52" s="5">
        <f>IF(COUNT(P7:P50)=0,"",ROUND(COUNTIF(P7:P50,1)/COUNT(P7:P50)*100,1))</f>
        <v/>
      </c>
      <c r="Q52" s="5">
        <f>IF(COUNT(Q7:Q50)=0,"",ROUND(COUNTIF(Q7:Q50,1)/COUNT(Q7:Q50)*100,1))</f>
        <v/>
      </c>
      <c r="R52" s="5">
        <f>IF(COUNT(R7:R50)=0,"",ROUND(COUNTIF(R7:R50,1)/COUNT(R7:R50)*100,1))</f>
        <v/>
      </c>
      <c r="S52" s="5">
        <f>IF(COUNT(S7:S50)=0,"",ROUND(COUNTIF(S7:S50,1)/COUNT(S7:S50)*100,1))</f>
        <v/>
      </c>
      <c r="T52" s="5">
        <f>IF(COUNT(T7:T50)=0,"",ROUND(COUNTIF(T7:T50,1)/COUNT(T7:T50)*100,1))</f>
        <v/>
      </c>
      <c r="U52" s="5">
        <f>IF(COUNT(U7:U50)=0,"",ROUND(COUNTIF(U7:U50,1)/COUNT(U7:U50)*100,1))</f>
        <v/>
      </c>
      <c r="V52" s="5">
        <f>IF(COUNT(V7:V50)=0,"",ROUND(COUNTIF(V7:V50,1)/COUNT(V7:V50)*100,1))</f>
        <v/>
      </c>
      <c r="W52" s="5">
        <f>IF(COUNT(W7:W50)=0,"",ROUND(COUNTIF(W7:W50,1)/COUNT(W7:W50)*100,1))</f>
        <v/>
      </c>
      <c r="X52" s="5">
        <f>IF(COUNT(X7:X50)=0,"",ROUND(COUNTIF(X7:X50,1)/COUNT(X7:X50)*100,1))</f>
        <v/>
      </c>
      <c r="Y52" s="5">
        <f>IF(COUNT(Y7:Y50)=0,"",ROUND(COUNTIF(Y7:Y50,1)/COUNT(Y7:Y50)*100,1))</f>
        <v/>
      </c>
      <c r="Z52" s="5">
        <f>IF(COUNT(Z7:Z50)=0,"",ROUND(COUNTIF(Z7:Z50,1)/COUNT(Z7:Z50)*100,1))</f>
        <v/>
      </c>
      <c r="AA52" s="5">
        <f>IF(COUNT(AA7:AA50)=0,"",ROUND(COUNTIF(AA7:AA50,1)/COUNT(AA7:AA50)*100,1))</f>
        <v/>
      </c>
      <c r="AB52" s="5">
        <f>IF(COUNT(AB7:AB50)=0,"",ROUND(COUNTIF(AB7:AB50,1)/COUNT(AB7:AB50)*100,1))</f>
        <v/>
      </c>
      <c r="AC52" s="5">
        <f>IF(COUNT(AC7:AC50)=0,"",ROUND(COUNTIF(AC7:AC50,1)/COUNT(AC7:AC50)*100,1))</f>
        <v/>
      </c>
      <c r="AD52" s="5">
        <f>IF(COUNT(AD7:AD50)=0,"",ROUND(COUNTIF(AD7:AD50,1)/COUNT(AD7:AD50)*100,1))</f>
        <v/>
      </c>
      <c r="AE52" s="5">
        <f>IF(COUNT(AE7:AE50)=0,"",ROUND(COUNTIF(AE7:AE50,1)/COUNT(AE7:AE50)*100,1))</f>
        <v/>
      </c>
      <c r="AF52" s="5">
        <f>IF(COUNT(AF7:AF50)=0,"",ROUND(COUNTIF(AF7:AF50,1)/COUNT(AF7:AF50)*100,1))</f>
        <v/>
      </c>
      <c r="AG52" s="5">
        <f>IF(COUNT(AG7:AG50)=0,"",ROUND(COUNTIF(AG7:AG50,1)/COUNT(AG7:AG50)*100,1))</f>
        <v/>
      </c>
      <c r="AH52" s="5">
        <f>IF(COUNT(AH7:AH50)=0,"",ROUND(COUNTIF(AH7:AH50,1)/COUNT(AH7:AH50)*100,1))</f>
        <v/>
      </c>
      <c r="AI52" s="21" t="inlineStr">
        <is>
          <t>Ахиж байна</t>
        </is>
      </c>
      <c r="AJ52" s="22" t="n"/>
      <c r="AK52" s="22" t="n"/>
      <c r="AL52" s="23" t="n"/>
      <c r="AM52" s="5">
        <f>COUNTIF(AM7:AM50,"Ахиж байна")</f>
        <v/>
      </c>
    </row>
    <row r="53" ht="17" customHeight="1">
      <c r="A53" s="5" t="inlineStr">
        <is>
          <t>Чадахгүй (0)</t>
        </is>
      </c>
      <c r="B53" s="15" t="n"/>
      <c r="C53" s="15" t="n"/>
      <c r="D53" s="5">
        <f>COUNTIF(D7:D50,0)</f>
        <v/>
      </c>
      <c r="E53" s="5">
        <f>COUNTIF(E7:E50,0)</f>
        <v/>
      </c>
      <c r="F53" s="5">
        <f>COUNTIF(F7:F50,0)</f>
        <v/>
      </c>
      <c r="G53" s="5">
        <f>COUNTIF(G7:G50,0)</f>
        <v/>
      </c>
      <c r="H53" s="5">
        <f>COUNTIF(H7:H50,0)</f>
        <v/>
      </c>
      <c r="I53" s="5">
        <f>COUNTIF(I7:I50,0)</f>
        <v/>
      </c>
      <c r="J53" s="5">
        <f>COUNTIF(J7:J50,0)</f>
        <v/>
      </c>
      <c r="K53" s="5">
        <f>COUNTIF(K7:K50,0)</f>
        <v/>
      </c>
      <c r="L53" s="5">
        <f>COUNTIF(L7:L50,0)</f>
        <v/>
      </c>
      <c r="M53" s="5">
        <f>COUNTIF(M7:M50,0)</f>
        <v/>
      </c>
      <c r="N53" s="5">
        <f>COUNTIF(N7:N50,0)</f>
        <v/>
      </c>
      <c r="O53" s="5">
        <f>COUNTIF(O7:O50,0)</f>
        <v/>
      </c>
      <c r="P53" s="5">
        <f>COUNTIF(P7:P50,0)</f>
        <v/>
      </c>
      <c r="Q53" s="5">
        <f>COUNTIF(Q7:Q50,0)</f>
        <v/>
      </c>
      <c r="R53" s="5">
        <f>COUNTIF(R7:R50,0)</f>
        <v/>
      </c>
      <c r="S53" s="5">
        <f>COUNTIF(S7:S50,0)</f>
        <v/>
      </c>
      <c r="T53" s="5">
        <f>COUNTIF(T7:T50,0)</f>
        <v/>
      </c>
      <c r="U53" s="5">
        <f>COUNTIF(U7:U50,0)</f>
        <v/>
      </c>
      <c r="V53" s="5">
        <f>COUNTIF(V7:V50,0)</f>
        <v/>
      </c>
      <c r="W53" s="5">
        <f>COUNTIF(W7:W50,0)</f>
        <v/>
      </c>
      <c r="X53" s="5">
        <f>COUNTIF(X7:X50,0)</f>
        <v/>
      </c>
      <c r="Y53" s="5">
        <f>COUNTIF(Y7:Y50,0)</f>
        <v/>
      </c>
      <c r="Z53" s="5">
        <f>COUNTIF(Z7:Z50,0)</f>
        <v/>
      </c>
      <c r="AA53" s="5">
        <f>COUNTIF(AA7:AA50,0)</f>
        <v/>
      </c>
      <c r="AB53" s="5">
        <f>COUNTIF(AB7:AB50,0)</f>
        <v/>
      </c>
      <c r="AC53" s="5">
        <f>COUNTIF(AC7:AC50,0)</f>
        <v/>
      </c>
      <c r="AD53" s="5">
        <f>COUNTIF(AD7:AD50,0)</f>
        <v/>
      </c>
      <c r="AE53" s="5">
        <f>COUNTIF(AE7:AE50,0)</f>
        <v/>
      </c>
      <c r="AF53" s="5">
        <f>COUNTIF(AF7:AF50,0)</f>
        <v/>
      </c>
      <c r="AG53" s="5">
        <f>COUNTIF(AG7:AG50,0)</f>
        <v/>
      </c>
      <c r="AH53" s="5">
        <f>COUNTIF(AH7:AH50,0)</f>
        <v/>
      </c>
      <c r="AI53" s="21" t="inlineStr">
        <is>
          <t>Хөгжиж байна</t>
        </is>
      </c>
      <c r="AJ53" s="22" t="n"/>
      <c r="AK53" s="22" t="n"/>
      <c r="AL53" s="23" t="n"/>
      <c r="AM53" s="5">
        <f>COUNTIF(AM7:AM50,"Хөгжиж байна")</f>
        <v/>
      </c>
    </row>
    <row r="54" ht="17" customHeight="1">
      <c r="A54" s="5" t="inlineStr">
        <is>
          <t>Хувь</t>
        </is>
      </c>
      <c r="B54" s="15" t="n"/>
      <c r="C54" s="15" t="n"/>
      <c r="D54" s="5">
        <f>IF(COUNT(D7:D50)=0,"",ROUND(COUNTIF(D7:D50,0)/COUNT(D7:D50)*100,1))</f>
        <v/>
      </c>
      <c r="E54" s="5">
        <f>IF(COUNT(E7:E50)=0,"",ROUND(COUNTIF(E7:E50,0)/COUNT(E7:E50)*100,1))</f>
        <v/>
      </c>
      <c r="F54" s="5">
        <f>IF(COUNT(F7:F50)=0,"",ROUND(COUNTIF(F7:F50,0)/COUNT(F7:F50)*100,1))</f>
        <v/>
      </c>
      <c r="G54" s="5">
        <f>IF(COUNT(G7:G50)=0,"",ROUND(COUNTIF(G7:G50,0)/COUNT(G7:G50)*100,1))</f>
        <v/>
      </c>
      <c r="H54" s="5">
        <f>IF(COUNT(H7:H50)=0,"",ROUND(COUNTIF(H7:H50,0)/COUNT(H7:H50)*100,1))</f>
        <v/>
      </c>
      <c r="I54" s="5">
        <f>IF(COUNT(I7:I50)=0,"",ROUND(COUNTIF(I7:I50,0)/COUNT(I7:I50)*100,1))</f>
        <v/>
      </c>
      <c r="J54" s="5">
        <f>IF(COUNT(J7:J50)=0,"",ROUND(COUNTIF(J7:J50,0)/COUNT(J7:J50)*100,1))</f>
        <v/>
      </c>
      <c r="K54" s="5">
        <f>IF(COUNT(K7:K50)=0,"",ROUND(COUNTIF(K7:K50,0)/COUNT(K7:K50)*100,1))</f>
        <v/>
      </c>
      <c r="L54" s="5">
        <f>IF(COUNT(L7:L50)=0,"",ROUND(COUNTIF(L7:L50,0)/COUNT(L7:L50)*100,1))</f>
        <v/>
      </c>
      <c r="M54" s="5">
        <f>IF(COUNT(M7:M50)=0,"",ROUND(COUNTIF(M7:M50,0)/COUNT(M7:M50)*100,1))</f>
        <v/>
      </c>
      <c r="N54" s="5">
        <f>IF(COUNT(N7:N50)=0,"",ROUND(COUNTIF(N7:N50,0)/COUNT(N7:N50)*100,1))</f>
        <v/>
      </c>
      <c r="O54" s="5">
        <f>IF(COUNT(O7:O50)=0,"",ROUND(COUNTIF(O7:O50,0)/COUNT(O7:O50)*100,1))</f>
        <v/>
      </c>
      <c r="P54" s="5">
        <f>IF(COUNT(P7:P50)=0,"",ROUND(COUNTIF(P7:P50,0)/COUNT(P7:P50)*100,1))</f>
        <v/>
      </c>
      <c r="Q54" s="5">
        <f>IF(COUNT(Q7:Q50)=0,"",ROUND(COUNTIF(Q7:Q50,0)/COUNT(Q7:Q50)*100,1))</f>
        <v/>
      </c>
      <c r="R54" s="5">
        <f>IF(COUNT(R7:R50)=0,"",ROUND(COUNTIF(R7:R50,0)/COUNT(R7:R50)*100,1))</f>
        <v/>
      </c>
      <c r="S54" s="5">
        <f>IF(COUNT(S7:S50)=0,"",ROUND(COUNTIF(S7:S50,0)/COUNT(S7:S50)*100,1))</f>
        <v/>
      </c>
      <c r="T54" s="5">
        <f>IF(COUNT(T7:T50)=0,"",ROUND(COUNTIF(T7:T50,0)/COUNT(T7:T50)*100,1))</f>
        <v/>
      </c>
      <c r="U54" s="5">
        <f>IF(COUNT(U7:U50)=0,"",ROUND(COUNTIF(U7:U50,0)/COUNT(U7:U50)*100,1))</f>
        <v/>
      </c>
      <c r="V54" s="5">
        <f>IF(COUNT(V7:V50)=0,"",ROUND(COUNTIF(V7:V50,0)/COUNT(V7:V50)*100,1))</f>
        <v/>
      </c>
      <c r="W54" s="5">
        <f>IF(COUNT(W7:W50)=0,"",ROUND(COUNTIF(W7:W50,0)/COUNT(W7:W50)*100,1))</f>
        <v/>
      </c>
      <c r="X54" s="5">
        <f>IF(COUNT(X7:X50)=0,"",ROUND(COUNTIF(X7:X50,0)/COUNT(X7:X50)*100,1))</f>
        <v/>
      </c>
      <c r="Y54" s="5">
        <f>IF(COUNT(Y7:Y50)=0,"",ROUND(COUNTIF(Y7:Y50,0)/COUNT(Y7:Y50)*100,1))</f>
        <v/>
      </c>
      <c r="Z54" s="5">
        <f>IF(COUNT(Z7:Z50)=0,"",ROUND(COUNTIF(Z7:Z50,0)/COUNT(Z7:Z50)*100,1))</f>
        <v/>
      </c>
      <c r="AA54" s="5">
        <f>IF(COUNT(AA7:AA50)=0,"",ROUND(COUNTIF(AA7:AA50,0)/COUNT(AA7:AA50)*100,1))</f>
        <v/>
      </c>
      <c r="AB54" s="5">
        <f>IF(COUNT(AB7:AB50)=0,"",ROUND(COUNTIF(AB7:AB50,0)/COUNT(AB7:AB50)*100,1))</f>
        <v/>
      </c>
      <c r="AC54" s="5">
        <f>IF(COUNT(AC7:AC50)=0,"",ROUND(COUNTIF(AC7:AC50,0)/COUNT(AC7:AC50)*100,1))</f>
        <v/>
      </c>
      <c r="AD54" s="5">
        <f>IF(COUNT(AD7:AD50)=0,"",ROUND(COUNTIF(AD7:AD50,0)/COUNT(AD7:AD50)*100,1))</f>
        <v/>
      </c>
      <c r="AE54" s="5">
        <f>IF(COUNT(AE7:AE50)=0,"",ROUND(COUNTIF(AE7:AE50,0)/COUNT(AE7:AE50)*100,1))</f>
        <v/>
      </c>
      <c r="AF54" s="5">
        <f>IF(COUNT(AF7:AF50)=0,"",ROUND(COUNTIF(AF7:AF50,0)/COUNT(AF7:AF50)*100,1))</f>
        <v/>
      </c>
      <c r="AG54" s="5">
        <f>IF(COUNT(AG7:AG50)=0,"",ROUND(COUNTIF(AG7:AG50,0)/COUNT(AG7:AG50)*100,1))</f>
        <v/>
      </c>
      <c r="AH54" s="5">
        <f>IF(COUNT(AH7:AH50)=0,"",ROUND(COUNTIF(AH7:AH50,0)/COUNT(AH7:AH50)*100,1))</f>
        <v/>
      </c>
      <c r="AI54" s="15" t="n"/>
      <c r="AJ54" s="15" t="n"/>
      <c r="AK54" s="15" t="n"/>
      <c r="AL54" s="15" t="n"/>
      <c r="AM54" s="15" t="n"/>
    </row>
  </sheetData>
  <mergeCells count="61">
    <mergeCell ref="A1:AM1"/>
    <mergeCell ref="B16:C16"/>
    <mergeCell ref="B47:C47"/>
    <mergeCell ref="B7:C7"/>
    <mergeCell ref="B25:C25"/>
    <mergeCell ref="B46:C46"/>
    <mergeCell ref="B22:C22"/>
    <mergeCell ref="AK3:AK6"/>
    <mergeCell ref="B31:C31"/>
    <mergeCell ref="B18:C18"/>
    <mergeCell ref="B27:C27"/>
    <mergeCell ref="D3:AH3"/>
    <mergeCell ref="B43:C43"/>
    <mergeCell ref="B12:C12"/>
    <mergeCell ref="B39:C39"/>
    <mergeCell ref="AI52:AL52"/>
    <mergeCell ref="B21:C21"/>
    <mergeCell ref="B48:C48"/>
    <mergeCell ref="B11:C11"/>
    <mergeCell ref="B42:C42"/>
    <mergeCell ref="B23:C23"/>
    <mergeCell ref="A3:A6"/>
    <mergeCell ref="B14:C14"/>
    <mergeCell ref="AJ3:AJ6"/>
    <mergeCell ref="A53:C53"/>
    <mergeCell ref="AL3:AL6"/>
    <mergeCell ref="A2:AM2"/>
    <mergeCell ref="B17:C17"/>
    <mergeCell ref="B8:C8"/>
    <mergeCell ref="A52:C52"/>
    <mergeCell ref="B13:C13"/>
    <mergeCell ref="B38:C38"/>
    <mergeCell ref="B44:C44"/>
    <mergeCell ref="AI53:AL53"/>
    <mergeCell ref="B29:C29"/>
    <mergeCell ref="B19:C19"/>
    <mergeCell ref="B34:C34"/>
    <mergeCell ref="B37:C37"/>
    <mergeCell ref="B10:C10"/>
    <mergeCell ref="B28:C28"/>
    <mergeCell ref="AI3:AI6"/>
    <mergeCell ref="B40:C40"/>
    <mergeCell ref="B9:C9"/>
    <mergeCell ref="B49:C49"/>
    <mergeCell ref="A51:C51"/>
    <mergeCell ref="B3:C6"/>
    <mergeCell ref="B24:C24"/>
    <mergeCell ref="B30:C30"/>
    <mergeCell ref="B15:C15"/>
    <mergeCell ref="B33:C33"/>
    <mergeCell ref="AM3:AM6"/>
    <mergeCell ref="B20:C20"/>
    <mergeCell ref="B45:C45"/>
    <mergeCell ref="B36:C36"/>
    <mergeCell ref="AI51:AL51"/>
    <mergeCell ref="B32:C32"/>
    <mergeCell ref="B50:C50"/>
    <mergeCell ref="B26:C26"/>
    <mergeCell ref="B41:C41"/>
    <mergeCell ref="B35:C35"/>
    <mergeCell ref="A54:C54"/>
  </mergeCells>
  <conditionalFormatting sqref="D7:AH50">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E7 E8 E9 E10 E11 E12 E13 E14 E15 E16 E17 E18 E19 E20 E21 E22 E23 E24 E25 E26 E27 E28 E29 E30 E31 E32 E33 E34 E35 E36 E37 E38 E39 E40 E41 E42 E43 E44 E45 E46 E47 E48 E49 E50 F7 F8 F9 F10 F11 F12 F13 F14 F15 F16 F17 F18 F19 F20 F21 F22 F23 F24 F25 F26 F27 F28 F29 F30 F31 F32 F33 F34 F35 F36 F37 F38 F39 F40 F41 F42 F43 F44 F45 F46 F47 F48 F49 F50 G7 G8 G9 G10 G11 G12 G13 G14 G15 G16 G17 G18 G19 G20 G21 G22 G23 G24 G25 G26 G27 G28 G29 G30 G31 G32 G33 G34 G35 G36 G37 G38 G39 G40 G41 G42 G43 G44 G45 G46 G47 G48 G49 G50 H7 H8 H9 H10 H11 H12 H13 H14 H15 H16 H17 H18 H19 H20 H21 H22 H23 H24 H25 H26 H27 H28 H29 H30 H31 H32 H33 H34 H35 H36 H37 H38 H39 H40 H41 H42 H43 H44 H45 H46 H47 H48 H49 H50 I7 I8 I9 I10 I11 I12 I13 I14 I15 I16 I17 I18 I19 I20 I21 I22 I23 I24 I25 I26 I27 I28 I29 I30 I31 I32 I33 I34 I35 I36 I37 I38 I39 I40 I41 I42 I43 I44 I45 I46 I47 I48 I49 I50 J7 J8 J9 J10 J11 J12 J13 J14 J15 J16 J17 J18 J19 J20 J21 J22 J23 J24 J25 J26 J27 J28 J29 J30 J31 J32 J33 J34 J35 J36 J37 J38 J39 J40 J41 J42 J43 J44 J45 J46 J47 J48 J49 J50 K7 K8 K9 K10 K11 K12 K13 K14 K15 K16 K17 K18 K19 K20 K21 K22 K23 K24 K25 K26 K27 K28 K29 K30 K31 K32 K33 K34 K35 K36 K37 K38 K39 K40 K41 K42 K43 K44 K45 K46 K47 K48 K49 K50 L7 L8 L9 L10 L11 L12 L13 L14 L15 L16 L17 L18 L19 L20 L21 L22 L23 L24 L25 L26 L27 L28 L29 L30 L31 L32 L33 L34 L35 L36 L37 L38 L39 L40 L41 L42 L43 L44 L45 L46 L47 L48 L49 L50 M7 M8 M9 M10 M11 M12 M13 M14 M15 M16 M17 M18 M19 M20 M21 M22 M23 M24 M25 M26 M27 M28 M29 M30 M31 M32 M33 M34 M35 M36 M37 M38 M39 M40 M41 M42 M43 M44 M45 M46 M47 M48 M49 M50 N7 N8 N9 N10 N11 N12 N13 N14 N15 N16 N17 N18 N19 N20 N21 N22 N23 N24 N25 N26 N27 N28 N29 N30 N31 N32 N33 N34 N35 N36 N37 N38 N39 N40 N41 N42 N43 N44 N45 N46 N47 N48 N49 N50 O7 O8 O9 O10 O11 O12 O13 O14 O15 O16 O17 O18 O19 O20 O21 O22 O23 O24 O25 O26 O27 O28 O29 O30 O31 O32 O33 O34 O35 O36 O37 O38 O39 O40 O41 O42 O43 O44 O45 O46 O47 O48 O49 O50 P7 P8 P9 P10 P11 P12 P13 P14 P15 P16 P17 P18 P19 P20 P21 P22 P23 P24 P25 P26 P27 P28 P29 P30 P31 P32 P33 P34 P35 P36 P37 P38 P39 P40 P41 P42 P43 P44 P45 P46 P47 P48 P49 P50 Q7 Q8 Q9 Q10 Q11 Q12 Q13 Q14 Q15 Q16 Q17 Q18 Q19 Q20 Q21 Q22 Q23 Q24 Q25 Q26 Q27 Q28 Q29 Q30 Q31 Q32 Q33 Q34 Q35 Q36 Q37 Q38 Q39 Q40 Q41 Q42 Q43 Q44 Q45 Q46 Q47 Q48 Q49 Q50 R7 R8 R9 R10 R11 R12 R13 R14 R15 R16 R17 R18 R19 R20 R21 R22 R23 R24 R25 R26 R27 R28 R29 R30 R31 R32 R33 R34 R35 R36 R37 R38 R39 R40 R41 R42 R43 R44 R45 R46 R47 R48 R49 R50 S7 S8 S9 S10 S11 S12 S13 S14 S15 S16 S17 S18 S19 S20 S21 S22 S23 S24 S25 S26 S27 S28 S29 S30 S31 S32 S33 S34 S35 S36 S37 S38 S39 S40 S41 S42 S43 S44 S45 S46 S47 S48 S49 S50 T7 T8 T9 T10 T11 T12 T13 T14 T15 T16 T17 T18 T19 T20 T21 T22 T23 T24 T25 T26 T27 T28 T29 T30 T31 T32 T33 T34 T35 T36 T37 T38 T39 T40 T41 T42 T43 T44 T45 T46 T47 T48 T49 T50 U7 U8 U9 U10 U11 U12 U13 U14 U15 U16 U17 U18 U19 U20 U21 U22 U23 U24 U25 U26 U27 U28 U29 U30 U31 U32 U33 U34 U35 U36 U37 U38 U39 U40 U41 U42 U43 U44 U45 U46 U47 U48 U49 U50 V7 V8 V9 V10 V11 V12 V13 V14 V15 V16 V17 V18 V19 V20 V21 V22 V23 V24 V25 V26 V27 V28 V29 V30 V31 V32 V33 V34 V35 V36 V37 V38 V39 V40 V41 V42 V43 V44 V45 V46 V47 V48 V49 V50 W7 W8 W9 W10 W11 W12 W13 W14 W15 W16 W17 W18 W19 W20 W21 W22 W23 W24 W25 W26 W27 W28 W29 W30 W31 W32 W33 W34 W35 W36 W37 W38 W39 W40 W41 W42 W43 W44 W45 W46 W47 W48 W49 W50 X7 X8 X9 X10 X11 X12 X13 X14 X15 X16 X17 X18 X19 X20 X21 X22 X23 X24 X25 X26 X27 X28 X29 X30 X31 X32 X33 X34 X35 X36 X37 X38 X39 X40 X41 X42 X43 X44 X45 X46 X47 X48 X49 X50 Y7 Y8 Y9 Y10 Y11 Y12 Y13 Y14 Y15 Y16 Y17 Y18 Y19 Y20 Y21 Y22 Y23 Y24 Y25 Y26 Y27 Y28 Y29 Y30 Y31 Y32 Y33 Y34 Y35 Y36 Y37 Y38 Y39 Y40 Y41 Y42 Y43 Y44 Y45 Y46 Y47 Y48 Y49 Y50 Z7 Z8 Z9 Z10 Z11 Z12 Z13 Z14 Z15 Z16 Z17 Z18 Z19 Z20 Z21 Z22 Z23 Z24 Z25 Z26 Z27 Z28 Z29 Z30 Z31 Z32 Z33 Z34 Z35 Z36 Z37 Z38 Z39 Z40 Z41 Z42 Z43 Z44 Z45 Z46 Z47 Z48 Z49 Z50 AA7 AA8 AA9 AA10 AA11 AA12 AA13 AA14 AA15 AA16 AA17 AA18 AA19 AA20 AA21 AA22 AA23 AA24 AA25 AA26 AA27 AA28 AA29 AA30 AA31 AA32 AA33 AA34 AA35 AA36 AA37 AA38 AA39 AA40 AA41 AA42 AA43 AA44 AA45 AA46 AA47 AA48 AA49 AA50 AB7 AB8 AB9 AB10 AB11 AB12 AB13 AB14 AB15 AB16 AB17 AB18 AB19 AB20 AB21 AB22 AB23 AB24 AB25 AB26 AB27 AB28 AB29 AB30 AB31 AB32 AB33 AB34 AB35 AB36 AB37 AB38 AB39 AB40 AB41 AB42 AB43 AB44 AB45 AB46 AB47 AB48 AB49 AB50 AC7 AC8 AC9 AC10 AC11 AC12 AC13 AC14 AC15 AC16 AC17 AC18 AC19 AC20 AC21 AC22 AC23 AC24 AC25 AC26 AC27 AC28 AC29 AC30 AC31 AC32 AC33 AC34 AC35 AC36 AC37 AC38 AC39 AC40 AC41 AC42 AC43 AC44 AC45 AC46 AC47 AC48 AC49 AC50 AD7 AD8 AD9 AD10 AD11 AD12 AD13 AD14 AD15 AD16 AD17 AD18 AD19 AD20 AD21 AD22 AD23 AD24 AD25 AD26 AD27 AD28 AD29 AD30 AD31 AD32 AD33 AD34 AD35 AD36 AD37 AD38 AD39 AD40 AD41 AD42 AD43 AD44 AD45 AD46 AD47 AD48 AD49 AD50 AE7 AE8 AE9 AE10 AE11 AE12 AE13 AE14 AE15 AE16 AE17 AE18 AE19 AE20 AE21 AE22 AE23 AE24 AE25 AE26 AE27 AE28 AE29 AE30 AE31 AE32 AE33 AE34 AE35 AE36 AE37 AE38 AE39 AE40 AE41 AE42 AE43 AE44 AE45 AE46 AE47 AE48 AE49 AE50 AF7 AF8 AF9 AF10 AF11 AF12 AF13 AF14 AF15 AF16 AF17 AF18 AF19 AF20 AF21 AF22 AF23 AF24 AF25 AF26 AF27 AF28 AF29 AF30 AF31 AF32 AF33 AF34 AF35 AF36 AF37 AF38 AF39 AF40 AF41 AF42 AF43 AF44 AF45 AF46 AF47 AF48 AF49 AF50 AG7 AG8 AG9 AG10 AG11 AG12 AG13 AG14 AG15 AG16 AG17 AG18 AG19 AG20 AG21 AG22 AG23 AG24 AG25 AG26 AG27 AG28 AG29 AG30 AG31 AG32 AG33 AG34 AG35 AG36 AG37 AG38 AG39 AG40 AG41 AG42 AG43 AG44 AG45 AG46 AG47 AG48 AG49 AG50 AH7 AH8 AH9 AH10 AH11 AH12 AH13 AH14 AH15 AH16 AH17 AH18 AH19 AH20 AH21 AH22 AH23 AH24 AH25 AH26 AH27 AH28 AH29 AH30 AH31 AH32 AH33 AH34 AH35 AH36 AH37 AH38 AH39 AH40 AH41 AH42 AH43 AH44 AH45 AH46 AH47 AH48 AH49 AH50"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4.xml><?xml version="1.0" encoding="utf-8"?>
<worksheet xmlns="http://schemas.openxmlformats.org/spreadsheetml/2006/main">
  <sheetPr>
    <outlinePr summaryBelow="1" summaryRight="1"/>
    <pageSetUpPr fitToPage="1"/>
  </sheetPr>
  <dimension ref="A1:N54"/>
  <sheetViews>
    <sheetView workbookViewId="0">
      <selection activeCell="A1" sqref="A1"/>
    </sheetView>
  </sheetViews>
  <sheetFormatPr baseColWidth="8" defaultRowHeight="15"/>
  <cols>
    <col width="4.5" customWidth="1" min="1" max="1"/>
    <col width="8" customWidth="1" min="2" max="2"/>
    <col width="4" customWidth="1" min="3" max="3"/>
    <col width="14" customWidth="1" min="4" max="4"/>
    <col width="14" customWidth="1" min="5" max="5"/>
    <col width="14" customWidth="1" min="6" max="6"/>
    <col width="14" customWidth="1" min="7" max="7"/>
    <col width="14" customWidth="1" min="8" max="8"/>
    <col width="14" customWidth="1" min="9" max="9"/>
    <col width="7" customWidth="1" min="10" max="10"/>
    <col width="7" customWidth="1" min="11" max="11"/>
    <col width="8" customWidth="1" min="12" max="12"/>
    <col width="7" customWidth="1" min="13" max="13"/>
    <col width="14" customWidth="1" min="14" max="14"/>
  </cols>
  <sheetData>
    <row r="1">
      <c r="A1" s="1" t="inlineStr">
        <is>
          <t>................ ЦЭЦЭРЛЭГИЙН АХЛАХ БҮЛГИЙН (4 НАС) ГАРААНЫ (ОНОШЛОХ) ҮНЭЛГЭЭ</t>
        </is>
      </c>
    </row>
    <row r="2">
      <c r="A2" s="18" t="inlineStr">
        <is>
          <t>Үнэлгээний хүрээ: Төлөвшил          Огноо: 20.... оны .... сар          Багш: ................................          Чадна = 1, Чадахгүй = 0  (А/79 журам, III түвшний шалгуур)</t>
        </is>
      </c>
    </row>
    <row r="3">
      <c r="A3" s="3" t="inlineStr">
        <is>
          <t>№</t>
        </is>
      </c>
      <c r="B3" s="3" t="inlineStr">
        <is>
          <t>Хүүхдийн код</t>
        </is>
      </c>
      <c r="C3" s="4" t="n"/>
      <c r="D3" s="3" t="inlineStr">
        <is>
          <t>Үнэлгээний хүрээ: Төлөвшил</t>
        </is>
      </c>
      <c r="E3" s="4" t="n"/>
      <c r="F3" s="4" t="n"/>
      <c r="G3" s="4" t="n"/>
      <c r="H3" s="4" t="n"/>
      <c r="I3" s="4" t="n"/>
      <c r="J3" s="5" t="inlineStr">
        <is>
          <t>Чадна (1)</t>
        </is>
      </c>
      <c r="K3" s="5" t="inlineStr">
        <is>
          <t>Хувь</t>
        </is>
      </c>
      <c r="L3" s="5" t="inlineStr">
        <is>
          <t>Чадахгүй (0)</t>
        </is>
      </c>
      <c r="M3" s="5" t="inlineStr">
        <is>
          <t>Хувь</t>
        </is>
      </c>
      <c r="N3" s="5" t="inlineStr">
        <is>
          <t>Түвшин</t>
        </is>
      </c>
    </row>
    <row r="4" ht="116" customHeight="1">
      <c r="A4" s="4" t="n"/>
      <c r="B4" s="4" t="n"/>
      <c r="C4" s="4" t="n"/>
      <c r="D4" s="6" t="inlineStr">
        <is>
          <t>Бусдын сэтгэлийн хөдөлгөөн өөр, өөр байдгийг мэдэн зохицож харилцдаг.</t>
        </is>
      </c>
      <c r="E4" s="6" t="inlineStr">
        <is>
          <t>Бусадтай тоглоом, наадгай, эд зүйлсээ хуваалцан хамтарч тоглодог.</t>
        </is>
      </c>
      <c r="F4" s="6" t="inlineStr">
        <is>
          <t>Өдөр тутмын үйл ажиллагаанд бие даан оролцдог.</t>
        </is>
      </c>
      <c r="G4" s="6" t="inlineStr">
        <is>
          <t>Харилцан ярианд идэвх санаачилга (тодруулах асуулт асуух, хариу өгөх, санаагаа илэрхийлэх)-тай оролцдог.</t>
        </is>
      </c>
      <c r="H4" s="6" t="inlineStr">
        <is>
          <t>Тасалгааны ургамлыг арчлахад оролцдог.</t>
        </is>
      </c>
      <c r="I4" s="6" t="inlineStr">
        <is>
          <t>Үндэсний тоглоом, наадгайгаар тоглодог (шагай, хөлөгт тоглоом зэрэг).</t>
        </is>
      </c>
      <c r="J4" s="4" t="n"/>
      <c r="K4" s="4" t="n"/>
      <c r="L4" s="4" t="n"/>
      <c r="M4" s="4" t="n"/>
      <c r="N4" s="4" t="n"/>
    </row>
    <row r="5" ht="107" customHeight="1">
      <c r="A5" s="4" t="n"/>
      <c r="B5" s="4" t="n"/>
      <c r="C5" s="4" t="n"/>
      <c r="D5" s="19" t="inlineStr">
        <is>
          <t>СҮД: НСХ3.2а. Бусдын сэтгэл хөдлөлийн таатай, таагүй, байгааг тайлбарладаг болно.</t>
        </is>
      </c>
      <c r="E5" s="19" t="inlineStr">
        <is>
          <t>СҮД: НСХ3.3б. Бусадтай сэтгэл хөдлөл, сонирхлоороо ижил төстэйгөө мэддэг болно.</t>
        </is>
      </c>
      <c r="F5" s="19" t="inlineStr">
        <is>
          <t>СҮД: НСХ3.3в. Үйл ажиллагаанд тодорхой үүрэг хүлээж оролцдог болно.</t>
        </is>
      </c>
      <c r="G5" s="19" t="inlineStr">
        <is>
          <t>СҮД: ХЯ3.2а. Харилцан ярианд өөрийн санаачилгаар оролцож, санал бодлоо илэрхийлнэ.</t>
        </is>
      </c>
      <c r="H5" s="19" t="inlineStr">
        <is>
          <t>СҮД: БНО3.1б. Тасалгааны ургамлын гол хэсгүүд (үндэс, иш, навч, цэцэг)- ийг нэрлэж, арчлах, ургуулах үйлд оролцоно.</t>
        </is>
      </c>
      <c r="I5" s="19" t="inlineStr">
        <is>
          <t>СҮД: БНО3.2д. Гэр бүлийн орчинд уламжлалт баярыг хэрхэн тэмдэглэдэг талаар өөрийн үгээр тайлбарлаж, ардын тоглоом, наадгайгаар наадна.</t>
        </is>
      </c>
      <c r="J5" s="4" t="n"/>
      <c r="K5" s="4" t="n"/>
      <c r="L5" s="4" t="n"/>
      <c r="M5" s="4" t="n"/>
      <c r="N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4" t="n"/>
      <c r="K6" s="4" t="n"/>
      <c r="L6" s="4" t="n"/>
      <c r="M6" s="4" t="n"/>
      <c r="N6" s="4" t="n"/>
    </row>
    <row r="7" ht="16" customHeight="1">
      <c r="A7" s="12" t="n">
        <v>1</v>
      </c>
      <c r="B7" s="12">
        <f>IF(Нэгтгэл!B7="","",Нэгтгэл!B7)</f>
        <v/>
      </c>
      <c r="C7" s="4" t="n"/>
      <c r="D7" s="13" t="n">
        <v>1</v>
      </c>
      <c r="E7" s="13" t="n">
        <v>0</v>
      </c>
      <c r="F7" s="13" t="n">
        <v>1</v>
      </c>
      <c r="G7" s="13" t="n">
        <v>0</v>
      </c>
      <c r="H7" s="13" t="n">
        <v>1</v>
      </c>
      <c r="I7" s="13" t="n">
        <v>1</v>
      </c>
      <c r="J7" s="12">
        <f>COUNTIF(D7:I7,1)</f>
        <v/>
      </c>
      <c r="K7" s="12">
        <f>IF(COUNT(D7:I7)=0,"",ROUND(J7/6*100,1))</f>
        <v/>
      </c>
      <c r="L7" s="12">
        <f>COUNTIF(D7:I7,0)</f>
        <v/>
      </c>
      <c r="M7" s="12">
        <f>IF(COUNT(D7:I7)=0,"",ROUND(L7/6*100,1))</f>
        <v/>
      </c>
      <c r="N7" s="20">
        <f>IF(K7="","",IF(K7&gt;=Нэгтгэл!$K$4,"Хангалттай эзэмшиж байна",IF(K7&gt;=Нэгтгэл!$K$5,"Ахиж байна","Хөгжиж байна")))</f>
        <v/>
      </c>
    </row>
    <row r="8" ht="16" customHeight="1">
      <c r="A8" s="12" t="n">
        <v>2</v>
      </c>
      <c r="B8" s="12">
        <f>IF(Нэгтгэл!B8="","",Нэгтгэл!B8)</f>
        <v/>
      </c>
      <c r="C8" s="4" t="n"/>
      <c r="D8" s="13" t="n">
        <v>1</v>
      </c>
      <c r="E8" s="13" t="n">
        <v>1</v>
      </c>
      <c r="F8" s="13" t="n">
        <v>1</v>
      </c>
      <c r="G8" s="13" t="n">
        <v>0</v>
      </c>
      <c r="H8" s="13" t="n">
        <v>1</v>
      </c>
      <c r="I8" s="13" t="n">
        <v>1</v>
      </c>
      <c r="J8" s="12">
        <f>COUNTIF(D8:I8,1)</f>
        <v/>
      </c>
      <c r="K8" s="12">
        <f>IF(COUNT(D8:I8)=0,"",ROUND(J8/6*100,1))</f>
        <v/>
      </c>
      <c r="L8" s="12">
        <f>COUNTIF(D8:I8,0)</f>
        <v/>
      </c>
      <c r="M8" s="12">
        <f>IF(COUNT(D8:I8)=0,"",ROUND(L8/6*100,1))</f>
        <v/>
      </c>
      <c r="N8" s="20">
        <f>IF(K8="","",IF(K8&gt;=Нэгтгэл!$K$4,"Хангалттай эзэмшиж байна",IF(K8&gt;=Нэгтгэл!$K$5,"Ахиж байна","Хөгжиж байна")))</f>
        <v/>
      </c>
    </row>
    <row r="9" ht="16" customHeight="1">
      <c r="A9" s="12" t="n">
        <v>3</v>
      </c>
      <c r="B9" s="12">
        <f>IF(Нэгтгэл!B9="","",Нэгтгэл!B9)</f>
        <v/>
      </c>
      <c r="C9" s="4" t="n"/>
      <c r="D9" s="13" t="n">
        <v>1</v>
      </c>
      <c r="E9" s="13" t="n">
        <v>1</v>
      </c>
      <c r="F9" s="13" t="n">
        <v>1</v>
      </c>
      <c r="G9" s="13" t="n">
        <v>1</v>
      </c>
      <c r="H9" s="13" t="n">
        <v>1</v>
      </c>
      <c r="I9" s="13" t="n">
        <v>0</v>
      </c>
      <c r="J9" s="12">
        <f>COUNTIF(D9:I9,1)</f>
        <v/>
      </c>
      <c r="K9" s="12">
        <f>IF(COUNT(D9:I9)=0,"",ROUND(J9/6*100,1))</f>
        <v/>
      </c>
      <c r="L9" s="12">
        <f>COUNTIF(D9:I9,0)</f>
        <v/>
      </c>
      <c r="M9" s="12">
        <f>IF(COUNT(D9:I9)=0,"",ROUND(L9/6*100,1))</f>
        <v/>
      </c>
      <c r="N9" s="20">
        <f>IF(K9="","",IF(K9&gt;=Нэгтгэл!$K$4,"Хангалттай эзэмшиж байна",IF(K9&gt;=Нэгтгэл!$K$5,"Ахиж байна","Хөгжиж байна")))</f>
        <v/>
      </c>
    </row>
    <row r="10" ht="16" customHeight="1">
      <c r="A10" s="12" t="n">
        <v>4</v>
      </c>
      <c r="B10" s="12">
        <f>IF(Нэгтгэл!B10="","",Нэгтгэл!B10)</f>
        <v/>
      </c>
      <c r="C10" s="4" t="n"/>
      <c r="D10" s="13" t="n">
        <v>1</v>
      </c>
      <c r="E10" s="13" t="n">
        <v>1</v>
      </c>
      <c r="F10" s="13" t="n">
        <v>1</v>
      </c>
      <c r="G10" s="13" t="n">
        <v>1</v>
      </c>
      <c r="H10" s="13" t="n">
        <v>0</v>
      </c>
      <c r="I10" s="13" t="n">
        <v>1</v>
      </c>
      <c r="J10" s="12">
        <f>COUNTIF(D10:I10,1)</f>
        <v/>
      </c>
      <c r="K10" s="12">
        <f>IF(COUNT(D10:I10)=0,"",ROUND(J10/6*100,1))</f>
        <v/>
      </c>
      <c r="L10" s="12">
        <f>COUNTIF(D10:I10,0)</f>
        <v/>
      </c>
      <c r="M10" s="12">
        <f>IF(COUNT(D10:I10)=0,"",ROUND(L10/6*100,1))</f>
        <v/>
      </c>
      <c r="N10" s="20">
        <f>IF(K10="","",IF(K10&gt;=Нэгтгэл!$K$4,"Хангалттай эзэмшиж байна",IF(K10&gt;=Нэгтгэл!$K$5,"Ахиж байна","Хөгжиж байна")))</f>
        <v/>
      </c>
    </row>
    <row r="11" ht="16" customHeight="1">
      <c r="A11" s="12" t="n">
        <v>5</v>
      </c>
      <c r="B11" s="12">
        <f>IF(Нэгтгэл!B11="","",Нэгтгэл!B11)</f>
        <v/>
      </c>
      <c r="C11" s="4" t="n"/>
      <c r="D11" s="13" t="n">
        <v>0</v>
      </c>
      <c r="E11" s="13" t="n">
        <v>0</v>
      </c>
      <c r="F11" s="13" t="n">
        <v>1</v>
      </c>
      <c r="G11" s="13" t="n">
        <v>1</v>
      </c>
      <c r="H11" s="13" t="n">
        <v>1</v>
      </c>
      <c r="I11" s="13" t="n">
        <v>1</v>
      </c>
      <c r="J11" s="12">
        <f>COUNTIF(D11:I11,1)</f>
        <v/>
      </c>
      <c r="K11" s="12">
        <f>IF(COUNT(D11:I11)=0,"",ROUND(J11/6*100,1))</f>
        <v/>
      </c>
      <c r="L11" s="12">
        <f>COUNTIF(D11:I11,0)</f>
        <v/>
      </c>
      <c r="M11" s="12">
        <f>IF(COUNT(D11:I11)=0,"",ROUND(L11/6*100,1))</f>
        <v/>
      </c>
      <c r="N11" s="20">
        <f>IF(K11="","",IF(K11&gt;=Нэгтгэл!$K$4,"Хангалттай эзэмшиж байна",IF(K11&gt;=Нэгтгэл!$K$5,"Ахиж байна","Хөгжиж байна")))</f>
        <v/>
      </c>
    </row>
    <row r="12" ht="16" customHeight="1">
      <c r="A12" s="12" t="n">
        <v>6</v>
      </c>
      <c r="B12" s="12">
        <f>IF(Нэгтгэл!B12="","",Нэгтгэл!B12)</f>
        <v/>
      </c>
      <c r="C12" s="4" t="n"/>
      <c r="D12" s="13" t="n">
        <v>0</v>
      </c>
      <c r="E12" s="13" t="n">
        <v>1</v>
      </c>
      <c r="F12" s="13" t="n">
        <v>1</v>
      </c>
      <c r="G12" s="13" t="n">
        <v>1</v>
      </c>
      <c r="H12" s="13" t="n">
        <v>1</v>
      </c>
      <c r="I12" s="13" t="n">
        <v>1</v>
      </c>
      <c r="J12" s="12">
        <f>COUNTIF(D12:I12,1)</f>
        <v/>
      </c>
      <c r="K12" s="12">
        <f>IF(COUNT(D12:I12)=0,"",ROUND(J12/6*100,1))</f>
        <v/>
      </c>
      <c r="L12" s="12">
        <f>COUNTIF(D12:I12,0)</f>
        <v/>
      </c>
      <c r="M12" s="12">
        <f>IF(COUNT(D12:I12)=0,"",ROUND(L12/6*100,1))</f>
        <v/>
      </c>
      <c r="N12" s="20">
        <f>IF(K12="","",IF(K12&gt;=Нэгтгэл!$K$4,"Хангалттай эзэмшиж байна",IF(K12&gt;=Нэгтгэл!$K$5,"Ахиж байна","Хөгжиж байна")))</f>
        <v/>
      </c>
    </row>
    <row r="13" ht="16" customHeight="1">
      <c r="A13" s="12" t="n">
        <v>7</v>
      </c>
      <c r="B13" s="12">
        <f>IF(Нэгтгэл!B13="","",Нэгтгэл!B13)</f>
        <v/>
      </c>
      <c r="C13" s="4" t="n"/>
      <c r="D13" s="13" t="n">
        <v>1</v>
      </c>
      <c r="E13" s="13" t="n">
        <v>1</v>
      </c>
      <c r="F13" s="13" t="n">
        <v>1</v>
      </c>
      <c r="G13" s="13" t="n">
        <v>0</v>
      </c>
      <c r="H13" s="13" t="n">
        <v>1</v>
      </c>
      <c r="I13" s="13" t="n">
        <v>1</v>
      </c>
      <c r="J13" s="12">
        <f>COUNTIF(D13:I13,1)</f>
        <v/>
      </c>
      <c r="K13" s="12">
        <f>IF(COUNT(D13:I13)=0,"",ROUND(J13/6*100,1))</f>
        <v/>
      </c>
      <c r="L13" s="12">
        <f>COUNTIF(D13:I13,0)</f>
        <v/>
      </c>
      <c r="M13" s="12">
        <f>IF(COUNT(D13:I13)=0,"",ROUND(L13/6*100,1))</f>
        <v/>
      </c>
      <c r="N13" s="20">
        <f>IF(K13="","",IF(K13&gt;=Нэгтгэл!$K$4,"Хангалттай эзэмшиж байна",IF(K13&gt;=Нэгтгэл!$K$5,"Ахиж байна","Хөгжиж байна")))</f>
        <v/>
      </c>
    </row>
    <row r="14" ht="16" customHeight="1">
      <c r="A14" s="12" t="n">
        <v>8</v>
      </c>
      <c r="B14" s="12">
        <f>IF(Нэгтгэл!B14="","",Нэгтгэл!B14)</f>
        <v/>
      </c>
      <c r="C14" s="4" t="n"/>
      <c r="D14" s="13" t="n">
        <v>0</v>
      </c>
      <c r="E14" s="13" t="n">
        <v>0</v>
      </c>
      <c r="F14" s="13" t="n">
        <v>0</v>
      </c>
      <c r="G14" s="13" t="n">
        <v>0</v>
      </c>
      <c r="H14" s="13" t="n">
        <v>1</v>
      </c>
      <c r="I14" s="13" t="n">
        <v>1</v>
      </c>
      <c r="J14" s="12">
        <f>COUNTIF(D14:I14,1)</f>
        <v/>
      </c>
      <c r="K14" s="12">
        <f>IF(COUNT(D14:I14)=0,"",ROUND(J14/6*100,1))</f>
        <v/>
      </c>
      <c r="L14" s="12">
        <f>COUNTIF(D14:I14,0)</f>
        <v/>
      </c>
      <c r="M14" s="12">
        <f>IF(COUNT(D14:I14)=0,"",ROUND(L14/6*100,1))</f>
        <v/>
      </c>
      <c r="N14" s="20">
        <f>IF(K14="","",IF(K14&gt;=Нэгтгэл!$K$4,"Хангалттай эзэмшиж байна",IF(K14&gt;=Нэгтгэл!$K$5,"Ахиж байна","Хөгжиж байна")))</f>
        <v/>
      </c>
    </row>
    <row r="15" ht="16" customHeight="1">
      <c r="A15" s="12" t="n">
        <v>9</v>
      </c>
      <c r="B15" s="12">
        <f>IF(Нэгтгэл!B15="","",Нэгтгэл!B15)</f>
        <v/>
      </c>
      <c r="C15" s="4" t="n"/>
      <c r="D15" s="13" t="n">
        <v>1</v>
      </c>
      <c r="E15" s="13" t="n">
        <v>1</v>
      </c>
      <c r="F15" s="13" t="n">
        <v>1</v>
      </c>
      <c r="G15" s="13" t="n">
        <v>1</v>
      </c>
      <c r="H15" s="13" t="n">
        <v>1</v>
      </c>
      <c r="I15" s="13" t="n">
        <v>1</v>
      </c>
      <c r="J15" s="12">
        <f>COUNTIF(D15:I15,1)</f>
        <v/>
      </c>
      <c r="K15" s="12">
        <f>IF(COUNT(D15:I15)=0,"",ROUND(J15/6*100,1))</f>
        <v/>
      </c>
      <c r="L15" s="12">
        <f>COUNTIF(D15:I15,0)</f>
        <v/>
      </c>
      <c r="M15" s="12">
        <f>IF(COUNT(D15:I15)=0,"",ROUND(L15/6*100,1))</f>
        <v/>
      </c>
      <c r="N15" s="20">
        <f>IF(K15="","",IF(K15&gt;=Нэгтгэл!$K$4,"Хангалттай эзэмшиж байна",IF(K15&gt;=Нэгтгэл!$K$5,"Ахиж байна","Хөгжиж байна")))</f>
        <v/>
      </c>
    </row>
    <row r="16" ht="16" customHeight="1">
      <c r="A16" s="12" t="n">
        <v>10</v>
      </c>
      <c r="B16" s="12">
        <f>IF(Нэгтгэл!B16="","",Нэгтгэл!B16)</f>
        <v/>
      </c>
      <c r="C16" s="4" t="n"/>
      <c r="D16" s="13" t="n">
        <v>1</v>
      </c>
      <c r="E16" s="13" t="n">
        <v>1</v>
      </c>
      <c r="F16" s="13" t="n">
        <v>1</v>
      </c>
      <c r="G16" s="13" t="n">
        <v>1</v>
      </c>
      <c r="H16" s="13" t="n">
        <v>0</v>
      </c>
      <c r="I16" s="13" t="n">
        <v>0</v>
      </c>
      <c r="J16" s="12">
        <f>COUNTIF(D16:I16,1)</f>
        <v/>
      </c>
      <c r="K16" s="12">
        <f>IF(COUNT(D16:I16)=0,"",ROUND(J16/6*100,1))</f>
        <v/>
      </c>
      <c r="L16" s="12">
        <f>COUNTIF(D16:I16,0)</f>
        <v/>
      </c>
      <c r="M16" s="12">
        <f>IF(COUNT(D16:I16)=0,"",ROUND(L16/6*100,1))</f>
        <v/>
      </c>
      <c r="N16" s="20">
        <f>IF(K16="","",IF(K16&gt;=Нэгтгэл!$K$4,"Хангалттай эзэмшиж байна",IF(K16&gt;=Нэгтгэл!$K$5,"Ахиж байна","Хөгжиж байна")))</f>
        <v/>
      </c>
    </row>
    <row r="17" ht="16" customHeight="1">
      <c r="A17" s="12" t="n">
        <v>11</v>
      </c>
      <c r="B17" s="12">
        <f>IF(Нэгтгэл!B17="","",Нэгтгэл!B17)</f>
        <v/>
      </c>
      <c r="C17" s="4" t="n"/>
      <c r="D17" s="13" t="n">
        <v>1</v>
      </c>
      <c r="E17" s="13" t="n">
        <v>1</v>
      </c>
      <c r="F17" s="13" t="n">
        <v>0</v>
      </c>
      <c r="G17" s="13" t="n">
        <v>1</v>
      </c>
      <c r="H17" s="13" t="n">
        <v>1</v>
      </c>
      <c r="I17" s="13" t="n">
        <v>1</v>
      </c>
      <c r="J17" s="12">
        <f>COUNTIF(D17:I17,1)</f>
        <v/>
      </c>
      <c r="K17" s="12">
        <f>IF(COUNT(D17:I17)=0,"",ROUND(J17/6*100,1))</f>
        <v/>
      </c>
      <c r="L17" s="12">
        <f>COUNTIF(D17:I17,0)</f>
        <v/>
      </c>
      <c r="M17" s="12">
        <f>IF(COUNT(D17:I17)=0,"",ROUND(L17/6*100,1))</f>
        <v/>
      </c>
      <c r="N17" s="20">
        <f>IF(K17="","",IF(K17&gt;=Нэгтгэл!$K$4,"Хангалттай эзэмшиж байна",IF(K17&gt;=Нэгтгэл!$K$5,"Ахиж байна","Хөгжиж байна")))</f>
        <v/>
      </c>
    </row>
    <row r="18" ht="16" customHeight="1">
      <c r="A18" s="12" t="n">
        <v>12</v>
      </c>
      <c r="B18" s="12">
        <f>IF(Нэгтгэл!B18="","",Нэгтгэл!B18)</f>
        <v/>
      </c>
      <c r="C18" s="4" t="n"/>
      <c r="D18" s="13" t="n">
        <v>1</v>
      </c>
      <c r="E18" s="13" t="n">
        <v>1</v>
      </c>
      <c r="F18" s="13" t="n">
        <v>1</v>
      </c>
      <c r="G18" s="13" t="n">
        <v>1</v>
      </c>
      <c r="H18" s="13" t="n">
        <v>1</v>
      </c>
      <c r="I18" s="13" t="n">
        <v>1</v>
      </c>
      <c r="J18" s="12">
        <f>COUNTIF(D18:I18,1)</f>
        <v/>
      </c>
      <c r="K18" s="12">
        <f>IF(COUNT(D18:I18)=0,"",ROUND(J18/6*100,1))</f>
        <v/>
      </c>
      <c r="L18" s="12">
        <f>COUNTIF(D18:I18,0)</f>
        <v/>
      </c>
      <c r="M18" s="12">
        <f>IF(COUNT(D18:I18)=0,"",ROUND(L18/6*100,1))</f>
        <v/>
      </c>
      <c r="N18" s="20">
        <f>IF(K18="","",IF(K18&gt;=Нэгтгэл!$K$4,"Хангалттай эзэмшиж байна",IF(K18&gt;=Нэгтгэл!$K$5,"Ахиж байна","Хөгжиж байна")))</f>
        <v/>
      </c>
    </row>
    <row r="19" ht="16" customHeight="1">
      <c r="A19" s="12" t="n">
        <v>13</v>
      </c>
      <c r="B19" s="12">
        <f>IF(Нэгтгэл!B19="","",Нэгтгэл!B19)</f>
        <v/>
      </c>
      <c r="C19" s="4" t="n"/>
      <c r="D19" s="13" t="n">
        <v>0</v>
      </c>
      <c r="E19" s="13" t="n">
        <v>1</v>
      </c>
      <c r="F19" s="13" t="n">
        <v>1</v>
      </c>
      <c r="G19" s="13" t="n">
        <v>1</v>
      </c>
      <c r="H19" s="13" t="n">
        <v>1</v>
      </c>
      <c r="I19" s="13" t="n">
        <v>1</v>
      </c>
      <c r="J19" s="12">
        <f>COUNTIF(D19:I19,1)</f>
        <v/>
      </c>
      <c r="K19" s="12">
        <f>IF(COUNT(D19:I19)=0,"",ROUND(J19/6*100,1))</f>
        <v/>
      </c>
      <c r="L19" s="12">
        <f>COUNTIF(D19:I19,0)</f>
        <v/>
      </c>
      <c r="M19" s="12">
        <f>IF(COUNT(D19:I19)=0,"",ROUND(L19/6*100,1))</f>
        <v/>
      </c>
      <c r="N19" s="20">
        <f>IF(K19="","",IF(K19&gt;=Нэгтгэл!$K$4,"Хангалттай эзэмшиж байна",IF(K19&gt;=Нэгтгэл!$K$5,"Ахиж байна","Хөгжиж байна")))</f>
        <v/>
      </c>
    </row>
    <row r="20" ht="16" customHeight="1">
      <c r="A20" s="12" t="n">
        <v>14</v>
      </c>
      <c r="B20" s="12">
        <f>IF(Нэгтгэл!B20="","",Нэгтгэл!B20)</f>
        <v/>
      </c>
      <c r="C20" s="4" t="n"/>
      <c r="D20" s="13" t="n">
        <v>1</v>
      </c>
      <c r="E20" s="13" t="n">
        <v>0</v>
      </c>
      <c r="F20" s="13" t="n">
        <v>0</v>
      </c>
      <c r="G20" s="13" t="n">
        <v>0</v>
      </c>
      <c r="H20" s="13" t="n">
        <v>1</v>
      </c>
      <c r="I20" s="13" t="n">
        <v>1</v>
      </c>
      <c r="J20" s="12">
        <f>COUNTIF(D20:I20,1)</f>
        <v/>
      </c>
      <c r="K20" s="12">
        <f>IF(COUNT(D20:I20)=0,"",ROUND(J20/6*100,1))</f>
        <v/>
      </c>
      <c r="L20" s="12">
        <f>COUNTIF(D20:I20,0)</f>
        <v/>
      </c>
      <c r="M20" s="12">
        <f>IF(COUNT(D20:I20)=0,"",ROUND(L20/6*100,1))</f>
        <v/>
      </c>
      <c r="N20" s="20">
        <f>IF(K20="","",IF(K20&gt;=Нэгтгэл!$K$4,"Хангалттай эзэмшиж байна",IF(K20&gt;=Нэгтгэл!$K$5,"Ахиж байна","Хөгжиж байна")))</f>
        <v/>
      </c>
    </row>
    <row r="21" ht="16" customHeight="1">
      <c r="A21" s="12" t="n">
        <v>15</v>
      </c>
      <c r="B21" s="12">
        <f>IF(Нэгтгэл!B21="","",Нэгтгэл!B21)</f>
        <v/>
      </c>
      <c r="C21" s="4" t="n"/>
      <c r="D21" s="13" t="n">
        <v>1</v>
      </c>
      <c r="E21" s="13" t="n">
        <v>1</v>
      </c>
      <c r="F21" s="13" t="n">
        <v>1</v>
      </c>
      <c r="G21" s="13" t="n">
        <v>0</v>
      </c>
      <c r="H21" s="13" t="n">
        <v>0</v>
      </c>
      <c r="I21" s="13" t="n">
        <v>1</v>
      </c>
      <c r="J21" s="12">
        <f>COUNTIF(D21:I21,1)</f>
        <v/>
      </c>
      <c r="K21" s="12">
        <f>IF(COUNT(D21:I21)=0,"",ROUND(J21/6*100,1))</f>
        <v/>
      </c>
      <c r="L21" s="12">
        <f>COUNTIF(D21:I21,0)</f>
        <v/>
      </c>
      <c r="M21" s="12">
        <f>IF(COUNT(D21:I21)=0,"",ROUND(L21/6*100,1))</f>
        <v/>
      </c>
      <c r="N21" s="20">
        <f>IF(K21="","",IF(K21&gt;=Нэгтгэл!$K$4,"Хангалттай эзэмшиж байна",IF(K21&gt;=Нэгтгэл!$K$5,"Ахиж байна","Хөгжиж байна")))</f>
        <v/>
      </c>
    </row>
    <row r="22" ht="16" customHeight="1">
      <c r="A22" s="12" t="n">
        <v>16</v>
      </c>
      <c r="B22" s="12">
        <f>IF(Нэгтгэл!B22="","",Нэгтгэл!B22)</f>
        <v/>
      </c>
      <c r="C22" s="4" t="n"/>
      <c r="D22" s="13" t="n">
        <v>1</v>
      </c>
      <c r="E22" s="13" t="n">
        <v>1</v>
      </c>
      <c r="F22" s="13" t="n">
        <v>1</v>
      </c>
      <c r="G22" s="13" t="n">
        <v>1</v>
      </c>
      <c r="H22" s="13" t="n">
        <v>1</v>
      </c>
      <c r="I22" s="13" t="n">
        <v>1</v>
      </c>
      <c r="J22" s="12">
        <f>COUNTIF(D22:I22,1)</f>
        <v/>
      </c>
      <c r="K22" s="12">
        <f>IF(COUNT(D22:I22)=0,"",ROUND(J22/6*100,1))</f>
        <v/>
      </c>
      <c r="L22" s="12">
        <f>COUNTIF(D22:I22,0)</f>
        <v/>
      </c>
      <c r="M22" s="12">
        <f>IF(COUNT(D22:I22)=0,"",ROUND(L22/6*100,1))</f>
        <v/>
      </c>
      <c r="N22" s="20">
        <f>IF(K22="","",IF(K22&gt;=Нэгтгэл!$K$4,"Хангалттай эзэмшиж байна",IF(K22&gt;=Нэгтгэл!$K$5,"Ахиж байна","Хөгжиж байна")))</f>
        <v/>
      </c>
    </row>
    <row r="23" ht="16" customHeight="1">
      <c r="A23" s="12" t="n">
        <v>17</v>
      </c>
      <c r="B23" s="12">
        <f>IF(Нэгтгэл!B23="","",Нэгтгэл!B23)</f>
        <v/>
      </c>
      <c r="C23" s="4" t="n"/>
      <c r="D23" s="13" t="n">
        <v>1</v>
      </c>
      <c r="E23" s="13" t="n">
        <v>1</v>
      </c>
      <c r="F23" s="13" t="n">
        <v>1</v>
      </c>
      <c r="G23" s="13" t="n">
        <v>1</v>
      </c>
      <c r="H23" s="13" t="n">
        <v>1</v>
      </c>
      <c r="I23" s="13" t="n">
        <v>1</v>
      </c>
      <c r="J23" s="12">
        <f>COUNTIF(D23:I23,1)</f>
        <v/>
      </c>
      <c r="K23" s="12">
        <f>IF(COUNT(D23:I23)=0,"",ROUND(J23/6*100,1))</f>
        <v/>
      </c>
      <c r="L23" s="12">
        <f>COUNTIF(D23:I23,0)</f>
        <v/>
      </c>
      <c r="M23" s="12">
        <f>IF(COUNT(D23:I23)=0,"",ROUND(L23/6*100,1))</f>
        <v/>
      </c>
      <c r="N23" s="20">
        <f>IF(K23="","",IF(K23&gt;=Нэгтгэл!$K$4,"Хангалттай эзэмшиж байна",IF(K23&gt;=Нэгтгэл!$K$5,"Ахиж байна","Хөгжиж байна")))</f>
        <v/>
      </c>
    </row>
    <row r="24" ht="16" customHeight="1">
      <c r="A24" s="12" t="n">
        <v>18</v>
      </c>
      <c r="B24" s="12">
        <f>IF(Нэгтгэл!B24="","",Нэгтгэл!B24)</f>
        <v/>
      </c>
      <c r="C24" s="4" t="n"/>
      <c r="D24" s="13" t="n">
        <v>1</v>
      </c>
      <c r="E24" s="13" t="n">
        <v>0</v>
      </c>
      <c r="F24" s="13" t="n">
        <v>1</v>
      </c>
      <c r="G24" s="13" t="n">
        <v>1</v>
      </c>
      <c r="H24" s="13" t="n">
        <v>0</v>
      </c>
      <c r="I24" s="13" t="n">
        <v>0</v>
      </c>
      <c r="J24" s="12">
        <f>COUNTIF(D24:I24,1)</f>
        <v/>
      </c>
      <c r="K24" s="12">
        <f>IF(COUNT(D24:I24)=0,"",ROUND(J24/6*100,1))</f>
        <v/>
      </c>
      <c r="L24" s="12">
        <f>COUNTIF(D24:I24,0)</f>
        <v/>
      </c>
      <c r="M24" s="12">
        <f>IF(COUNT(D24:I24)=0,"",ROUND(L24/6*100,1))</f>
        <v/>
      </c>
      <c r="N24" s="20">
        <f>IF(K24="","",IF(K24&gt;=Нэгтгэл!$K$4,"Хангалттай эзэмшиж байна",IF(K24&gt;=Нэгтгэл!$K$5,"Ахиж байна","Хөгжиж байна")))</f>
        <v/>
      </c>
    </row>
    <row r="25" ht="16" customHeight="1">
      <c r="A25" s="12" t="n">
        <v>19</v>
      </c>
      <c r="B25" s="12">
        <f>IF(Нэгтгэл!B25="","",Нэгтгэл!B25)</f>
        <v/>
      </c>
      <c r="C25" s="4" t="n"/>
      <c r="D25" s="13" t="n">
        <v>1</v>
      </c>
      <c r="E25" s="13" t="n">
        <v>1</v>
      </c>
      <c r="F25" s="13" t="n">
        <v>1</v>
      </c>
      <c r="G25" s="13" t="n">
        <v>0</v>
      </c>
      <c r="H25" s="13" t="n">
        <v>1</v>
      </c>
      <c r="I25" s="13" t="n">
        <v>1</v>
      </c>
      <c r="J25" s="12">
        <f>COUNTIF(D25:I25,1)</f>
        <v/>
      </c>
      <c r="K25" s="12">
        <f>IF(COUNT(D25:I25)=0,"",ROUND(J25/6*100,1))</f>
        <v/>
      </c>
      <c r="L25" s="12">
        <f>COUNTIF(D25:I25,0)</f>
        <v/>
      </c>
      <c r="M25" s="12">
        <f>IF(COUNT(D25:I25)=0,"",ROUND(L25/6*100,1))</f>
        <v/>
      </c>
      <c r="N25" s="20">
        <f>IF(K25="","",IF(K25&gt;=Нэгтгэл!$K$4,"Хангалттай эзэмшиж байна",IF(K25&gt;=Нэгтгэл!$K$5,"Ахиж байна","Хөгжиж байна")))</f>
        <v/>
      </c>
    </row>
    <row r="26" ht="16" customHeight="1">
      <c r="A26" s="12" t="n">
        <v>20</v>
      </c>
      <c r="B26" s="12">
        <f>IF(Нэгтгэл!B26="","",Нэгтгэл!B26)</f>
        <v/>
      </c>
      <c r="C26" s="4" t="n"/>
      <c r="D26" s="13" t="n">
        <v>0</v>
      </c>
      <c r="E26" s="13" t="n">
        <v>0</v>
      </c>
      <c r="F26" s="13" t="n">
        <v>1</v>
      </c>
      <c r="G26" s="13" t="n">
        <v>0</v>
      </c>
      <c r="H26" s="13" t="n">
        <v>0</v>
      </c>
      <c r="I26" s="13" t="n">
        <v>1</v>
      </c>
      <c r="J26" s="12">
        <f>COUNTIF(D26:I26,1)</f>
        <v/>
      </c>
      <c r="K26" s="12">
        <f>IF(COUNT(D26:I26)=0,"",ROUND(J26/6*100,1))</f>
        <v/>
      </c>
      <c r="L26" s="12">
        <f>COUNTIF(D26:I26,0)</f>
        <v/>
      </c>
      <c r="M26" s="12">
        <f>IF(COUNT(D26:I26)=0,"",ROUND(L26/6*100,1))</f>
        <v/>
      </c>
      <c r="N26" s="20">
        <f>IF(K26="","",IF(K26&gt;=Нэгтгэл!$K$4,"Хангалттай эзэмшиж байна",IF(K26&gt;=Нэгтгэл!$K$5,"Ахиж байна","Хөгжиж байна")))</f>
        <v/>
      </c>
    </row>
    <row r="27" ht="16" customHeight="1">
      <c r="A27" s="12" t="n">
        <v>21</v>
      </c>
      <c r="B27" s="12">
        <f>IF(Нэгтгэл!B27="","",Нэгтгэл!B27)</f>
        <v/>
      </c>
      <c r="C27" s="4" t="n"/>
      <c r="D27" s="13" t="n">
        <v>1</v>
      </c>
      <c r="E27" s="13" t="n">
        <v>1</v>
      </c>
      <c r="F27" s="13" t="n">
        <v>1</v>
      </c>
      <c r="G27" s="13" t="n">
        <v>1</v>
      </c>
      <c r="H27" s="13" t="n">
        <v>1</v>
      </c>
      <c r="I27" s="13" t="n">
        <v>1</v>
      </c>
      <c r="J27" s="12">
        <f>COUNTIF(D27:I27,1)</f>
        <v/>
      </c>
      <c r="K27" s="12">
        <f>IF(COUNT(D27:I27)=0,"",ROUND(J27/6*100,1))</f>
        <v/>
      </c>
      <c r="L27" s="12">
        <f>COUNTIF(D27:I27,0)</f>
        <v/>
      </c>
      <c r="M27" s="12">
        <f>IF(COUNT(D27:I27)=0,"",ROUND(L27/6*100,1))</f>
        <v/>
      </c>
      <c r="N27" s="20">
        <f>IF(K27="","",IF(K27&gt;=Нэгтгэл!$K$4,"Хангалттай эзэмшиж байна",IF(K27&gt;=Нэгтгэл!$K$5,"Ахиж байна","Хөгжиж байна")))</f>
        <v/>
      </c>
    </row>
    <row r="28" ht="16" customHeight="1">
      <c r="A28" s="12" t="n">
        <v>22</v>
      </c>
      <c r="B28" s="12">
        <f>IF(Нэгтгэл!B28="","",Нэгтгэл!B28)</f>
        <v/>
      </c>
      <c r="C28" s="4" t="n"/>
      <c r="D28" s="13" t="n">
        <v>1</v>
      </c>
      <c r="E28" s="13" t="n">
        <v>1</v>
      </c>
      <c r="F28" s="13" t="n">
        <v>0</v>
      </c>
      <c r="G28" s="13" t="n">
        <v>1</v>
      </c>
      <c r="H28" s="13" t="n">
        <v>1</v>
      </c>
      <c r="I28" s="13" t="n">
        <v>1</v>
      </c>
      <c r="J28" s="12">
        <f>COUNTIF(D28:I28,1)</f>
        <v/>
      </c>
      <c r="K28" s="12">
        <f>IF(COUNT(D28:I28)=0,"",ROUND(J28/6*100,1))</f>
        <v/>
      </c>
      <c r="L28" s="12">
        <f>COUNTIF(D28:I28,0)</f>
        <v/>
      </c>
      <c r="M28" s="12">
        <f>IF(COUNT(D28:I28)=0,"",ROUND(L28/6*100,1))</f>
        <v/>
      </c>
      <c r="N28" s="20">
        <f>IF(K28="","",IF(K28&gt;=Нэгтгэл!$K$4,"Хангалттай эзэмшиж байна",IF(K28&gt;=Нэгтгэл!$K$5,"Ахиж байна","Хөгжиж байна")))</f>
        <v/>
      </c>
    </row>
    <row r="29" ht="16" customHeight="1">
      <c r="A29" s="12" t="n">
        <v>23</v>
      </c>
      <c r="B29" s="12">
        <f>IF(Нэгтгэл!B29="","",Нэгтгэл!B29)</f>
        <v/>
      </c>
      <c r="C29" s="4" t="n"/>
      <c r="D29" s="13" t="n">
        <v>1</v>
      </c>
      <c r="E29" s="13" t="n">
        <v>0</v>
      </c>
      <c r="F29" s="13" t="n">
        <v>0</v>
      </c>
      <c r="G29" s="13" t="n">
        <v>0</v>
      </c>
      <c r="H29" s="13" t="n">
        <v>1</v>
      </c>
      <c r="I29" s="13" t="n">
        <v>1</v>
      </c>
      <c r="J29" s="12">
        <f>COUNTIF(D29:I29,1)</f>
        <v/>
      </c>
      <c r="K29" s="12">
        <f>IF(COUNT(D29:I29)=0,"",ROUND(J29/6*100,1))</f>
        <v/>
      </c>
      <c r="L29" s="12">
        <f>COUNTIF(D29:I29,0)</f>
        <v/>
      </c>
      <c r="M29" s="12">
        <f>IF(COUNT(D29:I29)=0,"",ROUND(L29/6*100,1))</f>
        <v/>
      </c>
      <c r="N29" s="20">
        <f>IF(K29="","",IF(K29&gt;=Нэгтгэл!$K$4,"Хангалттай эзэмшиж байна",IF(K29&gt;=Нэгтгэл!$K$5,"Ахиж байна","Хөгжиж байна")))</f>
        <v/>
      </c>
    </row>
    <row r="30" ht="16" customHeight="1">
      <c r="A30" s="12" t="n">
        <v>24</v>
      </c>
      <c r="B30" s="12">
        <f>IF(Нэгтгэл!B30="","",Нэгтгэл!B30)</f>
        <v/>
      </c>
      <c r="C30" s="4" t="n"/>
      <c r="D30" s="13" t="n">
        <v>1</v>
      </c>
      <c r="E30" s="13" t="n">
        <v>0</v>
      </c>
      <c r="F30" s="13" t="n">
        <v>1</v>
      </c>
      <c r="G30" s="13" t="n">
        <v>0</v>
      </c>
      <c r="H30" s="13" t="n">
        <v>1</v>
      </c>
      <c r="I30" s="13" t="n">
        <v>0</v>
      </c>
      <c r="J30" s="12">
        <f>COUNTIF(D30:I30,1)</f>
        <v/>
      </c>
      <c r="K30" s="12">
        <f>IF(COUNT(D30:I30)=0,"",ROUND(J30/6*100,1))</f>
        <v/>
      </c>
      <c r="L30" s="12">
        <f>COUNTIF(D30:I30,0)</f>
        <v/>
      </c>
      <c r="M30" s="12">
        <f>IF(COUNT(D30:I30)=0,"",ROUND(L30/6*100,1))</f>
        <v/>
      </c>
      <c r="N30" s="20">
        <f>IF(K30="","",IF(K30&gt;=Нэгтгэл!$K$4,"Хангалттай эзэмшиж байна",IF(K30&gt;=Нэгтгэл!$K$5,"Ахиж байна","Хөгжиж байна")))</f>
        <v/>
      </c>
    </row>
    <row r="31" ht="16" customHeight="1">
      <c r="A31" s="12" t="n">
        <v>25</v>
      </c>
      <c r="B31" s="12">
        <f>IF(Нэгтгэл!B31="","",Нэгтгэл!B31)</f>
        <v/>
      </c>
      <c r="C31" s="4" t="n"/>
      <c r="D31" s="13" t="n">
        <v>1</v>
      </c>
      <c r="E31" s="13" t="n">
        <v>1</v>
      </c>
      <c r="F31" s="13" t="n">
        <v>0</v>
      </c>
      <c r="G31" s="13" t="n">
        <v>0</v>
      </c>
      <c r="H31" s="13" t="n">
        <v>1</v>
      </c>
      <c r="I31" s="13" t="n">
        <v>1</v>
      </c>
      <c r="J31" s="12">
        <f>COUNTIF(D31:I31,1)</f>
        <v/>
      </c>
      <c r="K31" s="12">
        <f>IF(COUNT(D31:I31)=0,"",ROUND(J31/6*100,1))</f>
        <v/>
      </c>
      <c r="L31" s="12">
        <f>COUNTIF(D31:I31,0)</f>
        <v/>
      </c>
      <c r="M31" s="12">
        <f>IF(COUNT(D31:I31)=0,"",ROUND(L31/6*100,1))</f>
        <v/>
      </c>
      <c r="N31" s="20">
        <f>IF(K31="","",IF(K31&gt;=Нэгтгэл!$K$4,"Хангалттай эзэмшиж байна",IF(K31&gt;=Нэгтгэл!$K$5,"Ахиж байна","Хөгжиж байна")))</f>
        <v/>
      </c>
    </row>
    <row r="32" ht="16" customHeight="1">
      <c r="A32" s="12" t="n">
        <v>26</v>
      </c>
      <c r="B32" s="12">
        <f>IF(Нэгтгэл!B32="","",Нэгтгэл!B32)</f>
        <v/>
      </c>
      <c r="C32" s="4" t="n"/>
      <c r="D32" s="13" t="n">
        <v>1</v>
      </c>
      <c r="E32" s="13" t="n">
        <v>1</v>
      </c>
      <c r="F32" s="13" t="n">
        <v>1</v>
      </c>
      <c r="G32" s="13" t="n">
        <v>1</v>
      </c>
      <c r="H32" s="13" t="n">
        <v>1</v>
      </c>
      <c r="I32" s="13" t="n">
        <v>0</v>
      </c>
      <c r="J32" s="12">
        <f>COUNTIF(D32:I32,1)</f>
        <v/>
      </c>
      <c r="K32" s="12">
        <f>IF(COUNT(D32:I32)=0,"",ROUND(J32/6*100,1))</f>
        <v/>
      </c>
      <c r="L32" s="12">
        <f>COUNTIF(D32:I32,0)</f>
        <v/>
      </c>
      <c r="M32" s="12">
        <f>IF(COUNT(D32:I32)=0,"",ROUND(L32/6*100,1))</f>
        <v/>
      </c>
      <c r="N32" s="20">
        <f>IF(K32="","",IF(K32&gt;=Нэгтгэл!$K$4,"Хангалттай эзэмшиж байна",IF(K32&gt;=Нэгтгэл!$K$5,"Ахиж байна","Хөгжиж байна")))</f>
        <v/>
      </c>
    </row>
    <row r="33" ht="16" customHeight="1">
      <c r="A33" s="12" t="n">
        <v>27</v>
      </c>
      <c r="B33" s="12">
        <f>IF(Нэгтгэл!B33="","",Нэгтгэл!B33)</f>
        <v/>
      </c>
      <c r="C33" s="4" t="n"/>
      <c r="D33" s="13" t="n">
        <v>1</v>
      </c>
      <c r="E33" s="13" t="n">
        <v>0</v>
      </c>
      <c r="F33" s="13" t="n">
        <v>1</v>
      </c>
      <c r="G33" s="13" t="n">
        <v>1</v>
      </c>
      <c r="H33" s="13" t="n">
        <v>0</v>
      </c>
      <c r="I33" s="13" t="n">
        <v>1</v>
      </c>
      <c r="J33" s="12">
        <f>COUNTIF(D33:I33,1)</f>
        <v/>
      </c>
      <c r="K33" s="12">
        <f>IF(COUNT(D33:I33)=0,"",ROUND(J33/6*100,1))</f>
        <v/>
      </c>
      <c r="L33" s="12">
        <f>COUNTIF(D33:I33,0)</f>
        <v/>
      </c>
      <c r="M33" s="12">
        <f>IF(COUNT(D33:I33)=0,"",ROUND(L33/6*100,1))</f>
        <v/>
      </c>
      <c r="N33" s="20">
        <f>IF(K33="","",IF(K33&gt;=Нэгтгэл!$K$4,"Хангалттай эзэмшиж байна",IF(K33&gt;=Нэгтгэл!$K$5,"Ахиж байна","Хөгжиж байна")))</f>
        <v/>
      </c>
    </row>
    <row r="34" ht="16" customHeight="1">
      <c r="A34" s="12" t="n">
        <v>28</v>
      </c>
      <c r="B34" s="12">
        <f>IF(Нэгтгэл!B34="","",Нэгтгэл!B34)</f>
        <v/>
      </c>
      <c r="C34" s="4" t="n"/>
      <c r="D34" s="13" t="n">
        <v>1</v>
      </c>
      <c r="E34" s="13" t="n">
        <v>1</v>
      </c>
      <c r="F34" s="13" t="n">
        <v>1</v>
      </c>
      <c r="G34" s="13" t="n">
        <v>1</v>
      </c>
      <c r="H34" s="13" t="n">
        <v>0</v>
      </c>
      <c r="I34" s="13" t="n">
        <v>0</v>
      </c>
      <c r="J34" s="12">
        <f>COUNTIF(D34:I34,1)</f>
        <v/>
      </c>
      <c r="K34" s="12">
        <f>IF(COUNT(D34:I34)=0,"",ROUND(J34/6*100,1))</f>
        <v/>
      </c>
      <c r="L34" s="12">
        <f>COUNTIF(D34:I34,0)</f>
        <v/>
      </c>
      <c r="M34" s="12">
        <f>IF(COUNT(D34:I34)=0,"",ROUND(L34/6*100,1))</f>
        <v/>
      </c>
      <c r="N34" s="20">
        <f>IF(K34="","",IF(K34&gt;=Нэгтгэл!$K$4,"Хангалттай эзэмшиж байна",IF(K34&gt;=Нэгтгэл!$K$5,"Ахиж байна","Хөгжиж байна")))</f>
        <v/>
      </c>
    </row>
    <row r="35" ht="16" customHeight="1">
      <c r="A35" s="12" t="n">
        <v>29</v>
      </c>
      <c r="B35" s="12">
        <f>IF(Нэгтгэл!B35="","",Нэгтгэл!B35)</f>
        <v/>
      </c>
      <c r="C35" s="4" t="n"/>
      <c r="D35" s="13" t="n">
        <v>0</v>
      </c>
      <c r="E35" s="13" t="n">
        <v>1</v>
      </c>
      <c r="F35" s="13" t="n">
        <v>1</v>
      </c>
      <c r="G35" s="13" t="n">
        <v>1</v>
      </c>
      <c r="H35" s="13" t="n">
        <v>1</v>
      </c>
      <c r="I35" s="13" t="n">
        <v>0</v>
      </c>
      <c r="J35" s="12">
        <f>COUNTIF(D35:I35,1)</f>
        <v/>
      </c>
      <c r="K35" s="12">
        <f>IF(COUNT(D35:I35)=0,"",ROUND(J35/6*100,1))</f>
        <v/>
      </c>
      <c r="L35" s="12">
        <f>COUNTIF(D35:I35,0)</f>
        <v/>
      </c>
      <c r="M35" s="12">
        <f>IF(COUNT(D35:I35)=0,"",ROUND(L35/6*100,1))</f>
        <v/>
      </c>
      <c r="N35" s="20">
        <f>IF(K35="","",IF(K35&gt;=Нэгтгэл!$K$4,"Хангалттай эзэмшиж байна",IF(K35&gt;=Нэгтгэл!$K$5,"Ахиж байна","Хөгжиж байна")))</f>
        <v/>
      </c>
    </row>
    <row r="36" ht="16" customHeight="1">
      <c r="A36" s="12" t="n">
        <v>30</v>
      </c>
      <c r="B36" s="12">
        <f>IF(Нэгтгэл!B36="","",Нэгтгэл!B36)</f>
        <v/>
      </c>
      <c r="C36" s="4" t="n"/>
      <c r="D36" s="13" t="n">
        <v>0</v>
      </c>
      <c r="E36" s="13" t="n">
        <v>1</v>
      </c>
      <c r="F36" s="13" t="n">
        <v>0</v>
      </c>
      <c r="G36" s="13" t="n">
        <v>0</v>
      </c>
      <c r="H36" s="13" t="n">
        <v>1</v>
      </c>
      <c r="I36" s="13" t="n">
        <v>1</v>
      </c>
      <c r="J36" s="12">
        <f>COUNTIF(D36:I36,1)</f>
        <v/>
      </c>
      <c r="K36" s="12">
        <f>IF(COUNT(D36:I36)=0,"",ROUND(J36/6*100,1))</f>
        <v/>
      </c>
      <c r="L36" s="12">
        <f>COUNTIF(D36:I36,0)</f>
        <v/>
      </c>
      <c r="M36" s="12">
        <f>IF(COUNT(D36:I36)=0,"",ROUND(L36/6*100,1))</f>
        <v/>
      </c>
      <c r="N36" s="20">
        <f>IF(K36="","",IF(K36&gt;=Нэгтгэл!$K$4,"Хангалттай эзэмшиж байна",IF(K36&gt;=Нэгтгэл!$K$5,"Ахиж байна","Хөгжиж байна")))</f>
        <v/>
      </c>
    </row>
    <row r="37" ht="16" customHeight="1">
      <c r="A37" s="12" t="n">
        <v>31</v>
      </c>
      <c r="B37" s="12">
        <f>IF(Нэгтгэл!B37="","",Нэгтгэл!B37)</f>
        <v/>
      </c>
      <c r="C37" s="4" t="n"/>
      <c r="D37" s="13" t="n">
        <v>1</v>
      </c>
      <c r="E37" s="13" t="n">
        <v>1</v>
      </c>
      <c r="F37" s="13" t="n">
        <v>1</v>
      </c>
      <c r="G37" s="13" t="n">
        <v>0</v>
      </c>
      <c r="H37" s="13" t="n">
        <v>1</v>
      </c>
      <c r="I37" s="13" t="n">
        <v>1</v>
      </c>
      <c r="J37" s="12">
        <f>COUNTIF(D37:I37,1)</f>
        <v/>
      </c>
      <c r="K37" s="12">
        <f>IF(COUNT(D37:I37)=0,"",ROUND(J37/6*100,1))</f>
        <v/>
      </c>
      <c r="L37" s="12">
        <f>COUNTIF(D37:I37,0)</f>
        <v/>
      </c>
      <c r="M37" s="12">
        <f>IF(COUNT(D37:I37)=0,"",ROUND(L37/6*100,1))</f>
        <v/>
      </c>
      <c r="N37" s="20">
        <f>IF(K37="","",IF(K37&gt;=Нэгтгэл!$K$4,"Хангалттай эзэмшиж байна",IF(K37&gt;=Нэгтгэл!$K$5,"Ахиж байна","Хөгжиж байна")))</f>
        <v/>
      </c>
    </row>
    <row r="38" ht="16" customHeight="1">
      <c r="A38" s="12" t="n">
        <v>32</v>
      </c>
      <c r="B38" s="12">
        <f>IF(Нэгтгэл!B38="","",Нэгтгэл!B38)</f>
        <v/>
      </c>
      <c r="C38" s="4" t="n"/>
      <c r="D38" s="13" t="n">
        <v>1</v>
      </c>
      <c r="E38" s="13" t="n">
        <v>1</v>
      </c>
      <c r="F38" s="13" t="n">
        <v>1</v>
      </c>
      <c r="G38" s="13" t="n">
        <v>0</v>
      </c>
      <c r="H38" s="13" t="n">
        <v>0</v>
      </c>
      <c r="I38" s="13" t="n">
        <v>1</v>
      </c>
      <c r="J38" s="12">
        <f>COUNTIF(D38:I38,1)</f>
        <v/>
      </c>
      <c r="K38" s="12">
        <f>IF(COUNT(D38:I38)=0,"",ROUND(J38/6*100,1))</f>
        <v/>
      </c>
      <c r="L38" s="12">
        <f>COUNTIF(D38:I38,0)</f>
        <v/>
      </c>
      <c r="M38" s="12">
        <f>IF(COUNT(D38:I38)=0,"",ROUND(L38/6*100,1))</f>
        <v/>
      </c>
      <c r="N38" s="20">
        <f>IF(K38="","",IF(K38&gt;=Нэгтгэл!$K$4,"Хангалттай эзэмшиж байна",IF(K38&gt;=Нэгтгэл!$K$5,"Ахиж байна","Хөгжиж байна")))</f>
        <v/>
      </c>
    </row>
    <row r="39" ht="16" customHeight="1">
      <c r="A39" s="12" t="n">
        <v>33</v>
      </c>
      <c r="B39" s="12">
        <f>IF(Нэгтгэл!B39="","",Нэгтгэл!B39)</f>
        <v/>
      </c>
      <c r="C39" s="4" t="n"/>
      <c r="D39" s="13" t="n">
        <v>1</v>
      </c>
      <c r="E39" s="13" t="n">
        <v>1</v>
      </c>
      <c r="F39" s="13" t="n">
        <v>0</v>
      </c>
      <c r="G39" s="13" t="n">
        <v>0</v>
      </c>
      <c r="H39" s="13" t="n">
        <v>0</v>
      </c>
      <c r="I39" s="13" t="n">
        <v>0</v>
      </c>
      <c r="J39" s="12">
        <f>COUNTIF(D39:I39,1)</f>
        <v/>
      </c>
      <c r="K39" s="12">
        <f>IF(COUNT(D39:I39)=0,"",ROUND(J39/6*100,1))</f>
        <v/>
      </c>
      <c r="L39" s="12">
        <f>COUNTIF(D39:I39,0)</f>
        <v/>
      </c>
      <c r="M39" s="12">
        <f>IF(COUNT(D39:I39)=0,"",ROUND(L39/6*100,1))</f>
        <v/>
      </c>
      <c r="N39" s="20">
        <f>IF(K39="","",IF(K39&gt;=Нэгтгэл!$K$4,"Хангалттай эзэмшиж байна",IF(K39&gt;=Нэгтгэл!$K$5,"Ахиж байна","Хөгжиж байна")))</f>
        <v/>
      </c>
    </row>
    <row r="40" ht="16" customHeight="1">
      <c r="A40" s="12" t="n">
        <v>34</v>
      </c>
      <c r="B40" s="12">
        <f>IF(Нэгтгэл!B40="","",Нэгтгэл!B40)</f>
        <v/>
      </c>
      <c r="C40" s="4" t="n"/>
      <c r="D40" s="13" t="n">
        <v>1</v>
      </c>
      <c r="E40" s="13" t="n">
        <v>1</v>
      </c>
      <c r="F40" s="13" t="n">
        <v>0</v>
      </c>
      <c r="G40" s="13" t="n">
        <v>0</v>
      </c>
      <c r="H40" s="13" t="n">
        <v>1</v>
      </c>
      <c r="I40" s="13" t="n">
        <v>0</v>
      </c>
      <c r="J40" s="12">
        <f>COUNTIF(D40:I40,1)</f>
        <v/>
      </c>
      <c r="K40" s="12">
        <f>IF(COUNT(D40:I40)=0,"",ROUND(J40/6*100,1))</f>
        <v/>
      </c>
      <c r="L40" s="12">
        <f>COUNTIF(D40:I40,0)</f>
        <v/>
      </c>
      <c r="M40" s="12">
        <f>IF(COUNT(D40:I40)=0,"",ROUND(L40/6*100,1))</f>
        <v/>
      </c>
      <c r="N40" s="20">
        <f>IF(K40="","",IF(K40&gt;=Нэгтгэл!$K$4,"Хангалттай эзэмшиж байна",IF(K40&gt;=Нэгтгэл!$K$5,"Ахиж байна","Хөгжиж байна")))</f>
        <v/>
      </c>
    </row>
    <row r="41" ht="16" customHeight="1">
      <c r="A41" s="12" t="n">
        <v>35</v>
      </c>
      <c r="B41" s="12">
        <f>IF(Нэгтгэл!B41="","",Нэгтгэл!B41)</f>
        <v/>
      </c>
      <c r="C41" s="4" t="n"/>
      <c r="D41" s="13" t="n">
        <v>0</v>
      </c>
      <c r="E41" s="13" t="n">
        <v>0</v>
      </c>
      <c r="F41" s="13" t="n">
        <v>0</v>
      </c>
      <c r="G41" s="13" t="n">
        <v>1</v>
      </c>
      <c r="H41" s="13" t="n">
        <v>1</v>
      </c>
      <c r="I41" s="13" t="n">
        <v>1</v>
      </c>
      <c r="J41" s="12">
        <f>COUNTIF(D41:I41,1)</f>
        <v/>
      </c>
      <c r="K41" s="12">
        <f>IF(COUNT(D41:I41)=0,"",ROUND(J41/6*100,1))</f>
        <v/>
      </c>
      <c r="L41" s="12">
        <f>COUNTIF(D41:I41,0)</f>
        <v/>
      </c>
      <c r="M41" s="12">
        <f>IF(COUNT(D41:I41)=0,"",ROUND(L41/6*100,1))</f>
        <v/>
      </c>
      <c r="N41" s="20">
        <f>IF(K41="","",IF(K41&gt;=Нэгтгэл!$K$4,"Хангалттай эзэмшиж байна",IF(K41&gt;=Нэгтгэл!$K$5,"Ахиж байна","Хөгжиж байна")))</f>
        <v/>
      </c>
    </row>
    <row r="42" ht="16" customHeight="1">
      <c r="A42" s="12" t="n">
        <v>36</v>
      </c>
      <c r="B42" s="12">
        <f>IF(Нэгтгэл!B42="","",Нэгтгэл!B42)</f>
        <v/>
      </c>
      <c r="C42" s="4" t="n"/>
      <c r="D42" s="13" t="n">
        <v>1</v>
      </c>
      <c r="E42" s="13" t="n">
        <v>0</v>
      </c>
      <c r="F42" s="13" t="n">
        <v>0</v>
      </c>
      <c r="G42" s="13" t="n">
        <v>1</v>
      </c>
      <c r="H42" s="13" t="n">
        <v>0</v>
      </c>
      <c r="I42" s="13" t="n">
        <v>0</v>
      </c>
      <c r="J42" s="12">
        <f>COUNTIF(D42:I42,1)</f>
        <v/>
      </c>
      <c r="K42" s="12">
        <f>IF(COUNT(D42:I42)=0,"",ROUND(J42/6*100,1))</f>
        <v/>
      </c>
      <c r="L42" s="12">
        <f>COUNTIF(D42:I42,0)</f>
        <v/>
      </c>
      <c r="M42" s="12">
        <f>IF(COUNT(D42:I42)=0,"",ROUND(L42/6*100,1))</f>
        <v/>
      </c>
      <c r="N42" s="20">
        <f>IF(K42="","",IF(K42&gt;=Нэгтгэл!$K$4,"Хангалттай эзэмшиж байна",IF(K42&gt;=Нэгтгэл!$K$5,"Ахиж байна","Хөгжиж байна")))</f>
        <v/>
      </c>
    </row>
    <row r="43" ht="16" customHeight="1">
      <c r="A43" s="12" t="n">
        <v>37</v>
      </c>
      <c r="B43" s="12">
        <f>IF(Нэгтгэл!B43="","",Нэгтгэл!B43)</f>
        <v/>
      </c>
      <c r="C43" s="4" t="n"/>
      <c r="D43" s="13" t="n">
        <v>1</v>
      </c>
      <c r="E43" s="13" t="n">
        <v>1</v>
      </c>
      <c r="F43" s="13" t="n">
        <v>1</v>
      </c>
      <c r="G43" s="13" t="n">
        <v>0</v>
      </c>
      <c r="H43" s="13" t="n">
        <v>1</v>
      </c>
      <c r="I43" s="13" t="n">
        <v>1</v>
      </c>
      <c r="J43" s="12">
        <f>COUNTIF(D43:I43,1)</f>
        <v/>
      </c>
      <c r="K43" s="12">
        <f>IF(COUNT(D43:I43)=0,"",ROUND(J43/6*100,1))</f>
        <v/>
      </c>
      <c r="L43" s="12">
        <f>COUNTIF(D43:I43,0)</f>
        <v/>
      </c>
      <c r="M43" s="12">
        <f>IF(COUNT(D43:I43)=0,"",ROUND(L43/6*100,1))</f>
        <v/>
      </c>
      <c r="N43" s="20">
        <f>IF(K43="","",IF(K43&gt;=Нэгтгэл!$K$4,"Хангалттай эзэмшиж байна",IF(K43&gt;=Нэгтгэл!$K$5,"Ахиж байна","Хөгжиж байна")))</f>
        <v/>
      </c>
    </row>
    <row r="44" ht="16" customHeight="1">
      <c r="A44" s="12" t="n">
        <v>38</v>
      </c>
      <c r="B44" s="12">
        <f>IF(Нэгтгэл!B44="","",Нэгтгэл!B44)</f>
        <v/>
      </c>
      <c r="C44" s="4" t="n"/>
      <c r="D44" s="13" t="n">
        <v>1</v>
      </c>
      <c r="E44" s="13" t="n">
        <v>1</v>
      </c>
      <c r="F44" s="13" t="n">
        <v>1</v>
      </c>
      <c r="G44" s="13" t="n">
        <v>0</v>
      </c>
      <c r="H44" s="13" t="n">
        <v>0</v>
      </c>
      <c r="I44" s="13" t="n">
        <v>1</v>
      </c>
      <c r="J44" s="12">
        <f>COUNTIF(D44:I44,1)</f>
        <v/>
      </c>
      <c r="K44" s="12">
        <f>IF(COUNT(D44:I44)=0,"",ROUND(J44/6*100,1))</f>
        <v/>
      </c>
      <c r="L44" s="12">
        <f>COUNTIF(D44:I44,0)</f>
        <v/>
      </c>
      <c r="M44" s="12">
        <f>IF(COUNT(D44:I44)=0,"",ROUND(L44/6*100,1))</f>
        <v/>
      </c>
      <c r="N44" s="20">
        <f>IF(K44="","",IF(K44&gt;=Нэгтгэл!$K$4,"Хангалттай эзэмшиж байна",IF(K44&gt;=Нэгтгэл!$K$5,"Ахиж байна","Хөгжиж байна")))</f>
        <v/>
      </c>
    </row>
    <row r="45" ht="16" customHeight="1">
      <c r="A45" s="12" t="n">
        <v>39</v>
      </c>
      <c r="B45" s="12">
        <f>IF(Нэгтгэл!B45="","",Нэгтгэл!B45)</f>
        <v/>
      </c>
      <c r="C45" s="4" t="n"/>
      <c r="D45" s="13" t="n">
        <v>1</v>
      </c>
      <c r="E45" s="13" t="n">
        <v>1</v>
      </c>
      <c r="F45" s="13" t="n">
        <v>1</v>
      </c>
      <c r="G45" s="13" t="n">
        <v>1</v>
      </c>
      <c r="H45" s="13" t="n">
        <v>1</v>
      </c>
      <c r="I45" s="13" t="n">
        <v>1</v>
      </c>
      <c r="J45" s="12">
        <f>COUNTIF(D45:I45,1)</f>
        <v/>
      </c>
      <c r="K45" s="12">
        <f>IF(COUNT(D45:I45)=0,"",ROUND(J45/6*100,1))</f>
        <v/>
      </c>
      <c r="L45" s="12">
        <f>COUNTIF(D45:I45,0)</f>
        <v/>
      </c>
      <c r="M45" s="12">
        <f>IF(COUNT(D45:I45)=0,"",ROUND(L45/6*100,1))</f>
        <v/>
      </c>
      <c r="N45" s="20">
        <f>IF(K45="","",IF(K45&gt;=Нэгтгэл!$K$4,"Хангалттай эзэмшиж байна",IF(K45&gt;=Нэгтгэл!$K$5,"Ахиж байна","Хөгжиж байна")))</f>
        <v/>
      </c>
    </row>
    <row r="46" ht="16" customHeight="1">
      <c r="A46" s="12" t="n">
        <v>40</v>
      </c>
      <c r="B46" s="12">
        <f>IF(Нэгтгэл!B46="","",Нэгтгэл!B46)</f>
        <v/>
      </c>
      <c r="C46" s="4" t="n"/>
      <c r="D46" s="13" t="n">
        <v>1</v>
      </c>
      <c r="E46" s="13" t="n">
        <v>1</v>
      </c>
      <c r="F46" s="13" t="n">
        <v>1</v>
      </c>
      <c r="G46" s="13" t="n">
        <v>1</v>
      </c>
      <c r="H46" s="13" t="n">
        <v>0</v>
      </c>
      <c r="I46" s="13" t="n">
        <v>1</v>
      </c>
      <c r="J46" s="12">
        <f>COUNTIF(D46:I46,1)</f>
        <v/>
      </c>
      <c r="K46" s="12">
        <f>IF(COUNT(D46:I46)=0,"",ROUND(J46/6*100,1))</f>
        <v/>
      </c>
      <c r="L46" s="12">
        <f>COUNTIF(D46:I46,0)</f>
        <v/>
      </c>
      <c r="M46" s="12">
        <f>IF(COUNT(D46:I46)=0,"",ROUND(L46/6*100,1))</f>
        <v/>
      </c>
      <c r="N46" s="20">
        <f>IF(K46="","",IF(K46&gt;=Нэгтгэл!$K$4,"Хангалттай эзэмшиж байна",IF(K46&gt;=Нэгтгэл!$K$5,"Ахиж байна","Хөгжиж байна")))</f>
        <v/>
      </c>
    </row>
    <row r="47" ht="16" customHeight="1">
      <c r="A47" s="12" t="n">
        <v>41</v>
      </c>
      <c r="B47" s="12">
        <f>IF(Нэгтгэл!B47="","",Нэгтгэл!B47)</f>
        <v/>
      </c>
      <c r="C47" s="4" t="n"/>
      <c r="D47" s="13" t="n">
        <v>1</v>
      </c>
      <c r="E47" s="13" t="n">
        <v>0</v>
      </c>
      <c r="F47" s="13" t="n">
        <v>1</v>
      </c>
      <c r="G47" s="13" t="n">
        <v>1</v>
      </c>
      <c r="H47" s="13" t="n">
        <v>1</v>
      </c>
      <c r="I47" s="13" t="n">
        <v>0</v>
      </c>
      <c r="J47" s="12">
        <f>COUNTIF(D47:I47,1)</f>
        <v/>
      </c>
      <c r="K47" s="12">
        <f>IF(COUNT(D47:I47)=0,"",ROUND(J47/6*100,1))</f>
        <v/>
      </c>
      <c r="L47" s="12">
        <f>COUNTIF(D47:I47,0)</f>
        <v/>
      </c>
      <c r="M47" s="12">
        <f>IF(COUNT(D47:I47)=0,"",ROUND(L47/6*100,1))</f>
        <v/>
      </c>
      <c r="N47" s="20">
        <f>IF(K47="","",IF(K47&gt;=Нэгтгэл!$K$4,"Хангалттай эзэмшиж байна",IF(K47&gt;=Нэгтгэл!$K$5,"Ахиж байна","Хөгжиж байна")))</f>
        <v/>
      </c>
    </row>
    <row r="48" ht="16" customHeight="1">
      <c r="A48" s="12" t="n">
        <v>42</v>
      </c>
      <c r="B48" s="12">
        <f>IF(Нэгтгэл!B48="","",Нэгтгэл!B48)</f>
        <v/>
      </c>
      <c r="C48" s="4" t="n"/>
      <c r="D48" s="13" t="n">
        <v>0</v>
      </c>
      <c r="E48" s="13" t="n">
        <v>0</v>
      </c>
      <c r="F48" s="13" t="n">
        <v>1</v>
      </c>
      <c r="G48" s="13" t="n">
        <v>1</v>
      </c>
      <c r="H48" s="13" t="n">
        <v>1</v>
      </c>
      <c r="I48" s="13" t="n">
        <v>1</v>
      </c>
      <c r="J48" s="12">
        <f>COUNTIF(D48:I48,1)</f>
        <v/>
      </c>
      <c r="K48" s="12">
        <f>IF(COUNT(D48:I48)=0,"",ROUND(J48/6*100,1))</f>
        <v/>
      </c>
      <c r="L48" s="12">
        <f>COUNTIF(D48:I48,0)</f>
        <v/>
      </c>
      <c r="M48" s="12">
        <f>IF(COUNT(D48:I48)=0,"",ROUND(L48/6*100,1))</f>
        <v/>
      </c>
      <c r="N48" s="20">
        <f>IF(K48="","",IF(K48&gt;=Нэгтгэл!$K$4,"Хангалттай эзэмшиж байна",IF(K48&gt;=Нэгтгэл!$K$5,"Ахиж байна","Хөгжиж байна")))</f>
        <v/>
      </c>
    </row>
    <row r="49" ht="16" customHeight="1">
      <c r="A49" s="12" t="n">
        <v>43</v>
      </c>
      <c r="B49" s="12">
        <f>IF(Нэгтгэл!B49="","",Нэгтгэл!B49)</f>
        <v/>
      </c>
      <c r="C49" s="4" t="n"/>
      <c r="D49" s="13" t="n">
        <v>1</v>
      </c>
      <c r="E49" s="13" t="n">
        <v>1</v>
      </c>
      <c r="F49" s="13" t="n">
        <v>1</v>
      </c>
      <c r="G49" s="13" t="n">
        <v>0</v>
      </c>
      <c r="H49" s="13" t="n">
        <v>0</v>
      </c>
      <c r="I49" s="13" t="n">
        <v>0</v>
      </c>
      <c r="J49" s="12">
        <f>COUNTIF(D49:I49,1)</f>
        <v/>
      </c>
      <c r="K49" s="12">
        <f>IF(COUNT(D49:I49)=0,"",ROUND(J49/6*100,1))</f>
        <v/>
      </c>
      <c r="L49" s="12">
        <f>COUNTIF(D49:I49,0)</f>
        <v/>
      </c>
      <c r="M49" s="12">
        <f>IF(COUNT(D49:I49)=0,"",ROUND(L49/6*100,1))</f>
        <v/>
      </c>
      <c r="N49" s="20">
        <f>IF(K49="","",IF(K49&gt;=Нэгтгэл!$K$4,"Хангалттай эзэмшиж байна",IF(K49&gt;=Нэгтгэл!$K$5,"Ахиж байна","Хөгжиж байна")))</f>
        <v/>
      </c>
    </row>
    <row r="50" ht="16" customHeight="1">
      <c r="A50" s="12" t="n">
        <v>44</v>
      </c>
      <c r="B50" s="12">
        <f>IF(Нэгтгэл!B50="","",Нэгтгэл!B50)</f>
        <v/>
      </c>
      <c r="C50" s="4" t="n"/>
      <c r="D50" s="13" t="n">
        <v>1</v>
      </c>
      <c r="E50" s="13" t="n">
        <v>1</v>
      </c>
      <c r="F50" s="13" t="n">
        <v>1</v>
      </c>
      <c r="G50" s="13" t="n">
        <v>1</v>
      </c>
      <c r="H50" s="13" t="n">
        <v>1</v>
      </c>
      <c r="I50" s="13" t="n">
        <v>1</v>
      </c>
      <c r="J50" s="12">
        <f>COUNTIF(D50:I50,1)</f>
        <v/>
      </c>
      <c r="K50" s="12">
        <f>IF(COUNT(D50:I50)=0,"",ROUND(J50/6*100,1))</f>
        <v/>
      </c>
      <c r="L50" s="12">
        <f>COUNTIF(D50:I50,0)</f>
        <v/>
      </c>
      <c r="M50" s="12">
        <f>IF(COUNT(D50:I50)=0,"",ROUND(L50/6*100,1))</f>
        <v/>
      </c>
      <c r="N50" s="20">
        <f>IF(K50="","",IF(K50&gt;=Нэгтгэл!$K$4,"Хангалттай эзэмшиж байна",IF(K50&gt;=Нэгтгэл!$K$5,"Ахиж байна","Хөгжиж байна")))</f>
        <v/>
      </c>
    </row>
    <row r="51" ht="17" customHeight="1">
      <c r="A51" s="5" t="inlineStr">
        <is>
          <t>Чадна (1)</t>
        </is>
      </c>
      <c r="B51" s="15" t="n"/>
      <c r="C51" s="15" t="n"/>
      <c r="D51" s="5">
        <f>COUNTIF(D7:D50,1)</f>
        <v/>
      </c>
      <c r="E51" s="5">
        <f>COUNTIF(E7:E50,1)</f>
        <v/>
      </c>
      <c r="F51" s="5">
        <f>COUNTIF(F7:F50,1)</f>
        <v/>
      </c>
      <c r="G51" s="5">
        <f>COUNTIF(G7:G50,1)</f>
        <v/>
      </c>
      <c r="H51" s="5">
        <f>COUNTIF(H7:H50,1)</f>
        <v/>
      </c>
      <c r="I51" s="5">
        <f>COUNTIF(I7:I50,1)</f>
        <v/>
      </c>
      <c r="J51" s="21" t="inlineStr">
        <is>
          <t>Хангалттай эзэмшиж байна</t>
        </is>
      </c>
      <c r="K51" s="22" t="n"/>
      <c r="L51" s="22" t="n"/>
      <c r="M51" s="23" t="n"/>
      <c r="N51" s="5">
        <f>COUNTIF(N7:N50,"Хангалттай эзэмшиж байна")</f>
        <v/>
      </c>
    </row>
    <row r="52" ht="17" customHeight="1">
      <c r="A52" s="5" t="inlineStr">
        <is>
          <t>Хувь</t>
        </is>
      </c>
      <c r="B52" s="15" t="n"/>
      <c r="C52" s="15" t="n"/>
      <c r="D52" s="5">
        <f>IF(COUNT(D7:D50)=0,"",ROUND(COUNTIF(D7:D50,1)/COUNT(D7:D50)*100,1))</f>
        <v/>
      </c>
      <c r="E52" s="5">
        <f>IF(COUNT(E7:E50)=0,"",ROUND(COUNTIF(E7:E50,1)/COUNT(E7:E50)*100,1))</f>
        <v/>
      </c>
      <c r="F52" s="5">
        <f>IF(COUNT(F7:F50)=0,"",ROUND(COUNTIF(F7:F50,1)/COUNT(F7:F50)*100,1))</f>
        <v/>
      </c>
      <c r="G52" s="5">
        <f>IF(COUNT(G7:G50)=0,"",ROUND(COUNTIF(G7:G50,1)/COUNT(G7:G50)*100,1))</f>
        <v/>
      </c>
      <c r="H52" s="5">
        <f>IF(COUNT(H7:H50)=0,"",ROUND(COUNTIF(H7:H50,1)/COUNT(H7:H50)*100,1))</f>
        <v/>
      </c>
      <c r="I52" s="5">
        <f>IF(COUNT(I7:I50)=0,"",ROUND(COUNTIF(I7:I50,1)/COUNT(I7:I50)*100,1))</f>
        <v/>
      </c>
      <c r="J52" s="21" t="inlineStr">
        <is>
          <t>Ахиж байна</t>
        </is>
      </c>
      <c r="K52" s="22" t="n"/>
      <c r="L52" s="22" t="n"/>
      <c r="M52" s="23" t="n"/>
      <c r="N52" s="5">
        <f>COUNTIF(N7:N50,"Ахиж байна")</f>
        <v/>
      </c>
    </row>
    <row r="53" ht="17" customHeight="1">
      <c r="A53" s="5" t="inlineStr">
        <is>
          <t>Чадахгүй (0)</t>
        </is>
      </c>
      <c r="B53" s="15" t="n"/>
      <c r="C53" s="15" t="n"/>
      <c r="D53" s="5">
        <f>COUNTIF(D7:D50,0)</f>
        <v/>
      </c>
      <c r="E53" s="5">
        <f>COUNTIF(E7:E50,0)</f>
        <v/>
      </c>
      <c r="F53" s="5">
        <f>COUNTIF(F7:F50,0)</f>
        <v/>
      </c>
      <c r="G53" s="5">
        <f>COUNTIF(G7:G50,0)</f>
        <v/>
      </c>
      <c r="H53" s="5">
        <f>COUNTIF(H7:H50,0)</f>
        <v/>
      </c>
      <c r="I53" s="5">
        <f>COUNTIF(I7:I50,0)</f>
        <v/>
      </c>
      <c r="J53" s="21" t="inlineStr">
        <is>
          <t>Хөгжиж байна</t>
        </is>
      </c>
      <c r="K53" s="22" t="n"/>
      <c r="L53" s="22" t="n"/>
      <c r="M53" s="23" t="n"/>
      <c r="N53" s="5">
        <f>COUNTIF(N7:N50,"Хөгжиж байна")</f>
        <v/>
      </c>
    </row>
    <row r="54" ht="17" customHeight="1">
      <c r="A54" s="5" t="inlineStr">
        <is>
          <t>Хувь</t>
        </is>
      </c>
      <c r="B54" s="15" t="n"/>
      <c r="C54" s="15" t="n"/>
      <c r="D54" s="5">
        <f>IF(COUNT(D7:D50)=0,"",ROUND(COUNTIF(D7:D50,0)/COUNT(D7:D50)*100,1))</f>
        <v/>
      </c>
      <c r="E54" s="5">
        <f>IF(COUNT(E7:E50)=0,"",ROUND(COUNTIF(E7:E50,0)/COUNT(E7:E50)*100,1))</f>
        <v/>
      </c>
      <c r="F54" s="5">
        <f>IF(COUNT(F7:F50)=0,"",ROUND(COUNTIF(F7:F50,0)/COUNT(F7:F50)*100,1))</f>
        <v/>
      </c>
      <c r="G54" s="5">
        <f>IF(COUNT(G7:G50)=0,"",ROUND(COUNTIF(G7:G50,0)/COUNT(G7:G50)*100,1))</f>
        <v/>
      </c>
      <c r="H54" s="5">
        <f>IF(COUNT(H7:H50)=0,"",ROUND(COUNTIF(H7:H50,0)/COUNT(H7:H50)*100,1))</f>
        <v/>
      </c>
      <c r="I54" s="5">
        <f>IF(COUNT(I7:I50)=0,"",ROUND(COUNTIF(I7:I50,0)/COUNT(I7:I50)*100,1))</f>
        <v/>
      </c>
      <c r="J54" s="15" t="n"/>
      <c r="K54" s="15" t="n"/>
      <c r="L54" s="15" t="n"/>
      <c r="M54" s="15" t="n"/>
      <c r="N54" s="15" t="n"/>
    </row>
  </sheetData>
  <mergeCells count="61">
    <mergeCell ref="B47:C47"/>
    <mergeCell ref="B16:C16"/>
    <mergeCell ref="B7:C7"/>
    <mergeCell ref="B25:C25"/>
    <mergeCell ref="L3:L6"/>
    <mergeCell ref="B46:C46"/>
    <mergeCell ref="B22:C22"/>
    <mergeCell ref="B31:C31"/>
    <mergeCell ref="B18:C18"/>
    <mergeCell ref="B27:C27"/>
    <mergeCell ref="J51:M51"/>
    <mergeCell ref="B43:C43"/>
    <mergeCell ref="B12:C12"/>
    <mergeCell ref="A1:N1"/>
    <mergeCell ref="B39:C39"/>
    <mergeCell ref="B21:C21"/>
    <mergeCell ref="B48:C48"/>
    <mergeCell ref="J52:M52"/>
    <mergeCell ref="B11:C11"/>
    <mergeCell ref="N3:N6"/>
    <mergeCell ref="B42:C42"/>
    <mergeCell ref="B23:C23"/>
    <mergeCell ref="A3:A6"/>
    <mergeCell ref="B14:C14"/>
    <mergeCell ref="A53:C53"/>
    <mergeCell ref="D3:I3"/>
    <mergeCell ref="B17:C17"/>
    <mergeCell ref="B8:C8"/>
    <mergeCell ref="A52:C52"/>
    <mergeCell ref="B13:C13"/>
    <mergeCell ref="B38:C38"/>
    <mergeCell ref="B44:C44"/>
    <mergeCell ref="B29:C29"/>
    <mergeCell ref="B19:C19"/>
    <mergeCell ref="M3:M6"/>
    <mergeCell ref="A2:N2"/>
    <mergeCell ref="B10:C10"/>
    <mergeCell ref="B28:C28"/>
    <mergeCell ref="B34:C34"/>
    <mergeCell ref="B37:C37"/>
    <mergeCell ref="B40:C40"/>
    <mergeCell ref="B9:C9"/>
    <mergeCell ref="J53:M53"/>
    <mergeCell ref="B49:C49"/>
    <mergeCell ref="A51:C51"/>
    <mergeCell ref="B3:C6"/>
    <mergeCell ref="B24:C24"/>
    <mergeCell ref="B30:C30"/>
    <mergeCell ref="B15:C15"/>
    <mergeCell ref="B33:C33"/>
    <mergeCell ref="J3:J6"/>
    <mergeCell ref="B20:C20"/>
    <mergeCell ref="K3:K6"/>
    <mergeCell ref="B45:C45"/>
    <mergeCell ref="B36:C36"/>
    <mergeCell ref="B32:C32"/>
    <mergeCell ref="B50:C50"/>
    <mergeCell ref="B26:C26"/>
    <mergeCell ref="B41:C41"/>
    <mergeCell ref="B35:C35"/>
    <mergeCell ref="A54:C54"/>
  </mergeCells>
  <conditionalFormatting sqref="D7:I50">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E7 E8 E9 E10 E11 E12 E13 E14 E15 E16 E17 E18 E19 E20 E21 E22 E23 E24 E25 E26 E27 E28 E29 E30 E31 E32 E33 E34 E35 E36 E37 E38 E39 E40 E41 E42 E43 E44 E45 E46 E47 E48 E49 E50 F7 F8 F9 F10 F11 F12 F13 F14 F15 F16 F17 F18 F19 F20 F21 F22 F23 F24 F25 F26 F27 F28 F29 F30 F31 F32 F33 F34 F35 F36 F37 F38 F39 F40 F41 F42 F43 F44 F45 F46 F47 F48 F49 F50 G7 G8 G9 G10 G11 G12 G13 G14 G15 G16 G17 G18 G19 G20 G21 G22 G23 G24 G25 G26 G27 G28 G29 G30 G31 G32 G33 G34 G35 G36 G37 G38 G39 G40 G41 G42 G43 G44 G45 G46 G47 G48 G49 G50 H7 H8 H9 H10 H11 H12 H13 H14 H15 H16 H17 H18 H19 H20 H21 H22 H23 H24 H25 H26 H27 H28 H29 H30 H31 H32 H33 H34 H35 H36 H37 H38 H39 H40 H41 H42 H43 H44 H45 H46 H47 H48 H49 H50 I7 I8 I9 I10 I11 I12 I13 I14 I15 I16 I17 I18 I19 I20 I21 I22 I23 I24 I25 I26 I27 I28 I29 I30 I31 I32 I33 I34 I35 I36 I37 I38 I39 I40 I41 I42 I43 I44 I45 I46 I47 I48 I49 I50"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2026-10-19T05:45:30Z</dcterms:created>
  <dcterms:modified xmlns:dcterms="http://purl.org/dc/terms/" xmlns:xsi="http://www.w3.org/2001/XMLSchema-instance" xsi:type="dcterms:W3CDTF">2026-10-19T05:45:30Z</dcterms:modified>
</cp:coreProperties>
</file>
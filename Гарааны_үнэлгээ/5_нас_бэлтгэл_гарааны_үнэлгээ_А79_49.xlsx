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Мэдлэг" sheetId="2" state="visible" r:id="rId2"/>
    <sheet xmlns:r="http://schemas.openxmlformats.org/officeDocument/2006/relationships" name="Чадвар" sheetId="3" state="visible" r:id="rId3"/>
    <sheet xmlns:r="http://schemas.openxmlformats.org/officeDocument/2006/relationships" name="Төлөвшил" sheetId="4" state="visible" r:id="rId4"/>
  </sheets>
  <definedNames>
    <definedName name="_xlnm.Print_Titles" localSheetId="0">'Нэгтгэл'!$3:$6</definedName>
    <definedName name="_xlnm.Print_Area" localSheetId="0">'Нэгтгэл'!$A$1:$H$59</definedName>
    <definedName name="_xlnm.Print_Titles" localSheetId="1">'Мэдлэг'!$3:$6</definedName>
    <definedName name="_xlnm.Print_Area" localSheetId="1">'Мэдлэг'!$A$1:$P$59</definedName>
    <definedName name="_xlnm.Print_Titles" localSheetId="2">'Чадвар'!$3:$6</definedName>
    <definedName name="_xlnm.Print_Area" localSheetId="2">'Чадвар'!$A$1:$AJ$59</definedName>
    <definedName name="_xlnm.Print_Titles" localSheetId="3">'Төлөвшил'!$3:$6</definedName>
    <definedName name="_xlnm.Print_Area" localSheetId="3">'Төлөвшил'!$A$1:$U$59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9"/>
  <sheetViews>
    <sheetView workbookViewId="0">
      <selection activeCell="A1" sqref="A1"/>
    </sheetView>
  </sheetViews>
  <sheetFormatPr baseColWidth="8" defaultRowHeight="15"/>
  <cols>
    <col width="5" customWidth="1" min="1" max="1"/>
    <col width="14" customWidth="1" min="2" max="2"/>
    <col width="16" customWidth="1" min="3" max="3"/>
    <col width="16" customWidth="1" min="4" max="4"/>
    <col width="16" customWidth="1" min="5" max="5"/>
    <col width="14" customWidth="1" min="6" max="6"/>
    <col width="12" customWidth="1" min="7" max="7"/>
    <col width="30" customWidth="1" min="8" max="8"/>
    <col width="2" customWidth="1" min="9" max="9"/>
    <col width="26" customWidth="1" min="10" max="10"/>
    <col width="8" customWidth="1" min="11" max="11"/>
  </cols>
  <sheetData>
    <row r="1">
      <c r="A1" s="1" t="inlineStr">
        <is>
          <t>................ ЦЭЦЭРЛЭГИЙН БЭЛТГЭЛ БҮЛГИЙН (5 НАС) ГАРААНЫ (ОНОШЛОХ) ҮНЭЛГЭЭНИЙ НЭГТГЭЛ</t>
        </is>
      </c>
    </row>
    <row r="2">
      <c r="A2" s="2" t="inlineStr">
        <is>
          <t>Огноо: 20.... оны .... сар     Багш: ....................     Хүүхдийн кодыг B баганад бичнэ.</t>
        </is>
      </c>
    </row>
    <row r="3">
      <c r="A3" s="3" t="inlineStr">
        <is>
          <t>№</t>
        </is>
      </c>
      <c r="B3" s="3" t="inlineStr">
        <is>
          <t>Хүүхдийн код</t>
        </is>
      </c>
      <c r="C3" s="3" t="inlineStr">
        <is>
          <t>«Чадна» хувь (%)</t>
        </is>
      </c>
      <c r="D3" s="4" t="n"/>
      <c r="E3" s="4" t="n"/>
      <c r="F3" s="5" t="inlineStr">
        <is>
          <t>Нийт чадна (49-аас)</t>
        </is>
      </c>
      <c r="G3" s="5" t="inlineStr">
        <is>
          <t>Нийт хувь</t>
        </is>
      </c>
      <c r="H3" s="5" t="inlineStr">
        <is>
          <t>Түвшин</t>
        </is>
      </c>
      <c r="J3" s="6" t="inlineStr">
        <is>
          <t>Түвшний босго (%) — өөрчилж болно</t>
        </is>
      </c>
      <c r="K3" s="7" t="n"/>
    </row>
    <row r="4">
      <c r="A4" s="4" t="n"/>
      <c r="B4" s="4" t="n"/>
      <c r="C4" s="6" t="inlineStr">
        <is>
          <t>Үнэлгээний хүрээ</t>
        </is>
      </c>
      <c r="D4" s="4" t="n"/>
      <c r="E4" s="4" t="n"/>
      <c r="F4" s="4" t="n"/>
      <c r="G4" s="4" t="n"/>
      <c r="H4" s="4" t="n"/>
      <c r="J4" s="8" t="inlineStr">
        <is>
          <t>Хангалттай эзэмшиж байна ≥</t>
        </is>
      </c>
      <c r="K4" s="9" t="n">
        <v>80</v>
      </c>
    </row>
    <row r="5" ht="18" customHeight="1">
      <c r="A5" s="4" t="n"/>
      <c r="B5" s="4" t="n"/>
      <c r="C5" s="6" t="inlineStr">
        <is>
          <t>Мэдлэг</t>
        </is>
      </c>
      <c r="D5" s="6" t="inlineStr">
        <is>
          <t>Чадвар</t>
        </is>
      </c>
      <c r="E5" s="6" t="inlineStr">
        <is>
          <t>Төлөвшил</t>
        </is>
      </c>
      <c r="F5" s="4" t="n"/>
      <c r="G5" s="4" t="n"/>
      <c r="H5" s="4" t="n"/>
      <c r="J5" s="8" t="inlineStr">
        <is>
          <t>Ахиж байна ≥</t>
        </is>
      </c>
      <c r="K5" s="9" t="n">
        <v>50</v>
      </c>
    </row>
    <row r="6">
      <c r="A6" s="4" t="n"/>
      <c r="B6" s="4" t="n"/>
      <c r="C6" s="10" t="n">
        <v>8</v>
      </c>
      <c r="D6" s="10" t="n">
        <v>28</v>
      </c>
      <c r="E6" s="10" t="n">
        <v>13</v>
      </c>
      <c r="F6" s="4" t="n"/>
      <c r="G6" s="4" t="n"/>
      <c r="H6" s="4" t="n"/>
      <c r="J6" s="11" t="inlineStr">
        <is>
          <t>Бусад нь «Хөгжиж байна» (А/79, 2.10)</t>
        </is>
      </c>
    </row>
    <row r="7" ht="16" customHeight="1">
      <c r="A7" s="12" t="n">
        <v>1</v>
      </c>
      <c r="B7" s="13" t="inlineStr">
        <is>
          <t>Х-01</t>
        </is>
      </c>
      <c r="C7" s="12">
        <f>IF(COUNT('Мэдлэг'!D7:K7)=0,"",ROUND(COUNTIF('Мэдлэг'!D7:K7,1)/8*100,1))</f>
        <v/>
      </c>
      <c r="D7" s="12">
        <f>IF(COUNT('Чадвар'!D7:AE7)=0,"",ROUND(COUNTIF('Чадвар'!D7:AE7,1)/28*100,1))</f>
        <v/>
      </c>
      <c r="E7" s="12">
        <f>IF(COUNT('Төлөвшил'!D7:P7)=0,"",ROUND(COUNTIF('Төлөвшил'!D7:P7,1)/13*100,1))</f>
        <v/>
      </c>
      <c r="F7" s="12">
        <f>COUNTIF('Мэдлэг'!D7:K7,1)+COUNTIF('Чадвар'!D7:AE7,1)+COUNTIF('Төлөвшил'!D7:P7,1)</f>
        <v/>
      </c>
      <c r="G7" s="12">
        <f>IF((COUNT('Мэдлэг'!D7:K7)+COUNT('Чадвар'!D7:AE7)+COUNT('Төлөвшил'!D7:P7))=0,"",ROUND(F7/49*100,1))</f>
        <v/>
      </c>
      <c r="H7" s="14">
        <f>IF(G7="","",IF(G7&gt;=Нэгтгэл!$K$4,"Хангалттай эзэмшиж байна",IF(G7&gt;=Нэгтгэл!$K$5,"Ахиж байна","Хөгжиж байна")))</f>
        <v/>
      </c>
    </row>
    <row r="8" ht="16" customHeight="1">
      <c r="A8" s="12" t="n">
        <v>2</v>
      </c>
      <c r="B8" s="13" t="inlineStr">
        <is>
          <t>Х-02</t>
        </is>
      </c>
      <c r="C8" s="12">
        <f>IF(COUNT('Мэдлэг'!D8:K8)=0,"",ROUND(COUNTIF('Мэдлэг'!D8:K8,1)/8*100,1))</f>
        <v/>
      </c>
      <c r="D8" s="12">
        <f>IF(COUNT('Чадвар'!D8:AE8)=0,"",ROUND(COUNTIF('Чадвар'!D8:AE8,1)/28*100,1))</f>
        <v/>
      </c>
      <c r="E8" s="12">
        <f>IF(COUNT('Төлөвшил'!D8:P8)=0,"",ROUND(COUNTIF('Төлөвшил'!D8:P8,1)/13*100,1))</f>
        <v/>
      </c>
      <c r="F8" s="12">
        <f>COUNTIF('Мэдлэг'!D8:K8,1)+COUNTIF('Чадвар'!D8:AE8,1)+COUNTIF('Төлөвшил'!D8:P8,1)</f>
        <v/>
      </c>
      <c r="G8" s="12">
        <f>IF((COUNT('Мэдлэг'!D8:K8)+COUNT('Чадвар'!D8:AE8)+COUNT('Төлөвшил'!D8:P8))=0,"",ROUND(F8/49*100,1))</f>
        <v/>
      </c>
      <c r="H8" s="14">
        <f>IF(G8="","",IF(G8&gt;=Нэгтгэл!$K$4,"Хангалттай эзэмшиж байна",IF(G8&gt;=Нэгтгэл!$K$5,"Ахиж байна","Хөгжиж байна")))</f>
        <v/>
      </c>
    </row>
    <row r="9" ht="16" customHeight="1">
      <c r="A9" s="12" t="n">
        <v>3</v>
      </c>
      <c r="B9" s="13" t="inlineStr">
        <is>
          <t>Х-03</t>
        </is>
      </c>
      <c r="C9" s="12">
        <f>IF(COUNT('Мэдлэг'!D9:K9)=0,"",ROUND(COUNTIF('Мэдлэг'!D9:K9,1)/8*100,1))</f>
        <v/>
      </c>
      <c r="D9" s="12">
        <f>IF(COUNT('Чадвар'!D9:AE9)=0,"",ROUND(COUNTIF('Чадвар'!D9:AE9,1)/28*100,1))</f>
        <v/>
      </c>
      <c r="E9" s="12">
        <f>IF(COUNT('Төлөвшил'!D9:P9)=0,"",ROUND(COUNTIF('Төлөвшил'!D9:P9,1)/13*100,1))</f>
        <v/>
      </c>
      <c r="F9" s="12">
        <f>COUNTIF('Мэдлэг'!D9:K9,1)+COUNTIF('Чадвар'!D9:AE9,1)+COUNTIF('Төлөвшил'!D9:P9,1)</f>
        <v/>
      </c>
      <c r="G9" s="12">
        <f>IF((COUNT('Мэдлэг'!D9:K9)+COUNT('Чадвар'!D9:AE9)+COUNT('Төлөвшил'!D9:P9))=0,"",ROUND(F9/49*100,1))</f>
        <v/>
      </c>
      <c r="H9" s="14">
        <f>IF(G9="","",IF(G9&gt;=Нэгтгэл!$K$4,"Хангалттай эзэмшиж байна",IF(G9&gt;=Нэгтгэл!$K$5,"Ахиж байна","Хөгжиж байна")))</f>
        <v/>
      </c>
    </row>
    <row r="10" ht="16" customHeight="1">
      <c r="A10" s="12" t="n">
        <v>4</v>
      </c>
      <c r="B10" s="13" t="inlineStr">
        <is>
          <t>Х-04</t>
        </is>
      </c>
      <c r="C10" s="12">
        <f>IF(COUNT('Мэдлэг'!D10:K10)=0,"",ROUND(COUNTIF('Мэдлэг'!D10:K10,1)/8*100,1))</f>
        <v/>
      </c>
      <c r="D10" s="12">
        <f>IF(COUNT('Чадвар'!D10:AE10)=0,"",ROUND(COUNTIF('Чадвар'!D10:AE10,1)/28*100,1))</f>
        <v/>
      </c>
      <c r="E10" s="12">
        <f>IF(COUNT('Төлөвшил'!D10:P10)=0,"",ROUND(COUNTIF('Төлөвшил'!D10:P10,1)/13*100,1))</f>
        <v/>
      </c>
      <c r="F10" s="12">
        <f>COUNTIF('Мэдлэг'!D10:K10,1)+COUNTIF('Чадвар'!D10:AE10,1)+COUNTIF('Төлөвшил'!D10:P10,1)</f>
        <v/>
      </c>
      <c r="G10" s="12">
        <f>IF((COUNT('Мэдлэг'!D10:K10)+COUNT('Чадвар'!D10:AE10)+COUNT('Төлөвшил'!D10:P10))=0,"",ROUND(F10/49*100,1))</f>
        <v/>
      </c>
      <c r="H10" s="14">
        <f>IF(G10="","",IF(G10&gt;=Нэгтгэл!$K$4,"Хангалттай эзэмшиж байна",IF(G10&gt;=Нэгтгэл!$K$5,"Ахиж байна","Хөгжиж байна")))</f>
        <v/>
      </c>
    </row>
    <row r="11" ht="16" customHeight="1">
      <c r="A11" s="12" t="n">
        <v>5</v>
      </c>
      <c r="B11" s="13" t="inlineStr">
        <is>
          <t>Х-05</t>
        </is>
      </c>
      <c r="C11" s="12">
        <f>IF(COUNT('Мэдлэг'!D11:K11)=0,"",ROUND(COUNTIF('Мэдлэг'!D11:K11,1)/8*100,1))</f>
        <v/>
      </c>
      <c r="D11" s="12">
        <f>IF(COUNT('Чадвар'!D11:AE11)=0,"",ROUND(COUNTIF('Чадвар'!D11:AE11,1)/28*100,1))</f>
        <v/>
      </c>
      <c r="E11" s="12">
        <f>IF(COUNT('Төлөвшил'!D11:P11)=0,"",ROUND(COUNTIF('Төлөвшил'!D11:P11,1)/13*100,1))</f>
        <v/>
      </c>
      <c r="F11" s="12">
        <f>COUNTIF('Мэдлэг'!D11:K11,1)+COUNTIF('Чадвар'!D11:AE11,1)+COUNTIF('Төлөвшил'!D11:P11,1)</f>
        <v/>
      </c>
      <c r="G11" s="12">
        <f>IF((COUNT('Мэдлэг'!D11:K11)+COUNT('Чадвар'!D11:AE11)+COUNT('Төлөвшил'!D11:P11))=0,"",ROUND(F11/49*100,1))</f>
        <v/>
      </c>
      <c r="H11" s="14">
        <f>IF(G11="","",IF(G11&gt;=Нэгтгэл!$K$4,"Хангалттай эзэмшиж байна",IF(G11&gt;=Нэгтгэл!$K$5,"Ахиж байна","Хөгжиж байна")))</f>
        <v/>
      </c>
    </row>
    <row r="12" ht="16" customHeight="1">
      <c r="A12" s="12" t="n">
        <v>6</v>
      </c>
      <c r="B12" s="13" t="inlineStr">
        <is>
          <t>Х-06</t>
        </is>
      </c>
      <c r="C12" s="12">
        <f>IF(COUNT('Мэдлэг'!D12:K12)=0,"",ROUND(COUNTIF('Мэдлэг'!D12:K12,1)/8*100,1))</f>
        <v/>
      </c>
      <c r="D12" s="12">
        <f>IF(COUNT('Чадвар'!D12:AE12)=0,"",ROUND(COUNTIF('Чадвар'!D12:AE12,1)/28*100,1))</f>
        <v/>
      </c>
      <c r="E12" s="12">
        <f>IF(COUNT('Төлөвшил'!D12:P12)=0,"",ROUND(COUNTIF('Төлөвшил'!D12:P12,1)/13*100,1))</f>
        <v/>
      </c>
      <c r="F12" s="12">
        <f>COUNTIF('Мэдлэг'!D12:K12,1)+COUNTIF('Чадвар'!D12:AE12,1)+COUNTIF('Төлөвшил'!D12:P12,1)</f>
        <v/>
      </c>
      <c r="G12" s="12">
        <f>IF((COUNT('Мэдлэг'!D12:K12)+COUNT('Чадвар'!D12:AE12)+COUNT('Төлөвшил'!D12:P12))=0,"",ROUND(F12/49*100,1))</f>
        <v/>
      </c>
      <c r="H12" s="14">
        <f>IF(G12="","",IF(G12&gt;=Нэгтгэл!$K$4,"Хангалттай эзэмшиж байна",IF(G12&gt;=Нэгтгэл!$K$5,"Ахиж байна","Хөгжиж байна")))</f>
        <v/>
      </c>
    </row>
    <row r="13" ht="16" customHeight="1">
      <c r="A13" s="12" t="n">
        <v>7</v>
      </c>
      <c r="B13" s="13" t="inlineStr">
        <is>
          <t>Х-07</t>
        </is>
      </c>
      <c r="C13" s="12">
        <f>IF(COUNT('Мэдлэг'!D13:K13)=0,"",ROUND(COUNTIF('Мэдлэг'!D13:K13,1)/8*100,1))</f>
        <v/>
      </c>
      <c r="D13" s="12">
        <f>IF(COUNT('Чадвар'!D13:AE13)=0,"",ROUND(COUNTIF('Чадвар'!D13:AE13,1)/28*100,1))</f>
        <v/>
      </c>
      <c r="E13" s="12">
        <f>IF(COUNT('Төлөвшил'!D13:P13)=0,"",ROUND(COUNTIF('Төлөвшил'!D13:P13,1)/13*100,1))</f>
        <v/>
      </c>
      <c r="F13" s="12">
        <f>COUNTIF('Мэдлэг'!D13:K13,1)+COUNTIF('Чадвар'!D13:AE13,1)+COUNTIF('Төлөвшил'!D13:P13,1)</f>
        <v/>
      </c>
      <c r="G13" s="12">
        <f>IF((COUNT('Мэдлэг'!D13:K13)+COUNT('Чадвар'!D13:AE13)+COUNT('Төлөвшил'!D13:P13))=0,"",ROUND(F13/49*100,1))</f>
        <v/>
      </c>
      <c r="H13" s="14">
        <f>IF(G13="","",IF(G13&gt;=Нэгтгэл!$K$4,"Хангалттай эзэмшиж байна",IF(G13&gt;=Нэгтгэл!$K$5,"Ахиж байна","Хөгжиж байна")))</f>
        <v/>
      </c>
    </row>
    <row r="14" ht="16" customHeight="1">
      <c r="A14" s="12" t="n">
        <v>8</v>
      </c>
      <c r="B14" s="13" t="inlineStr">
        <is>
          <t>Х-08</t>
        </is>
      </c>
      <c r="C14" s="12">
        <f>IF(COUNT('Мэдлэг'!D14:K14)=0,"",ROUND(COUNTIF('Мэдлэг'!D14:K14,1)/8*100,1))</f>
        <v/>
      </c>
      <c r="D14" s="12">
        <f>IF(COUNT('Чадвар'!D14:AE14)=0,"",ROUND(COUNTIF('Чадвар'!D14:AE14,1)/28*100,1))</f>
        <v/>
      </c>
      <c r="E14" s="12">
        <f>IF(COUNT('Төлөвшил'!D14:P14)=0,"",ROUND(COUNTIF('Төлөвшил'!D14:P14,1)/13*100,1))</f>
        <v/>
      </c>
      <c r="F14" s="12">
        <f>COUNTIF('Мэдлэг'!D14:K14,1)+COUNTIF('Чадвар'!D14:AE14,1)+COUNTIF('Төлөвшил'!D14:P14,1)</f>
        <v/>
      </c>
      <c r="G14" s="12">
        <f>IF((COUNT('Мэдлэг'!D14:K14)+COUNT('Чадвар'!D14:AE14)+COUNT('Төлөвшил'!D14:P14))=0,"",ROUND(F14/49*100,1))</f>
        <v/>
      </c>
      <c r="H14" s="14">
        <f>IF(G14="","",IF(G14&gt;=Нэгтгэл!$K$4,"Хангалттай эзэмшиж байна",IF(G14&gt;=Нэгтгэл!$K$5,"Ахиж байна","Хөгжиж байна")))</f>
        <v/>
      </c>
    </row>
    <row r="15" ht="16" customHeight="1">
      <c r="A15" s="12" t="n">
        <v>9</v>
      </c>
      <c r="B15" s="13" t="inlineStr">
        <is>
          <t>Х-09</t>
        </is>
      </c>
      <c r="C15" s="12">
        <f>IF(COUNT('Мэдлэг'!D15:K15)=0,"",ROUND(COUNTIF('Мэдлэг'!D15:K15,1)/8*100,1))</f>
        <v/>
      </c>
      <c r="D15" s="12">
        <f>IF(COUNT('Чадвар'!D15:AE15)=0,"",ROUND(COUNTIF('Чадвар'!D15:AE15,1)/28*100,1))</f>
        <v/>
      </c>
      <c r="E15" s="12">
        <f>IF(COUNT('Төлөвшил'!D15:P15)=0,"",ROUND(COUNTIF('Төлөвшил'!D15:P15,1)/13*100,1))</f>
        <v/>
      </c>
      <c r="F15" s="12">
        <f>COUNTIF('Мэдлэг'!D15:K15,1)+COUNTIF('Чадвар'!D15:AE15,1)+COUNTIF('Төлөвшил'!D15:P15,1)</f>
        <v/>
      </c>
      <c r="G15" s="12">
        <f>IF((COUNT('Мэдлэг'!D15:K15)+COUNT('Чадвар'!D15:AE15)+COUNT('Төлөвшил'!D15:P15))=0,"",ROUND(F15/49*100,1))</f>
        <v/>
      </c>
      <c r="H15" s="14">
        <f>IF(G15="","",IF(G15&gt;=Нэгтгэл!$K$4,"Хангалттай эзэмшиж байна",IF(G15&gt;=Нэгтгэл!$K$5,"Ахиж байна","Хөгжиж байна")))</f>
        <v/>
      </c>
    </row>
    <row r="16" ht="16" customHeight="1">
      <c r="A16" s="12" t="n">
        <v>10</v>
      </c>
      <c r="B16" s="13" t="inlineStr">
        <is>
          <t>Х-10</t>
        </is>
      </c>
      <c r="C16" s="12">
        <f>IF(COUNT('Мэдлэг'!D16:K16)=0,"",ROUND(COUNTIF('Мэдлэг'!D16:K16,1)/8*100,1))</f>
        <v/>
      </c>
      <c r="D16" s="12">
        <f>IF(COUNT('Чадвар'!D16:AE16)=0,"",ROUND(COUNTIF('Чадвар'!D16:AE16,1)/28*100,1))</f>
        <v/>
      </c>
      <c r="E16" s="12">
        <f>IF(COUNT('Төлөвшил'!D16:P16)=0,"",ROUND(COUNTIF('Төлөвшил'!D16:P16,1)/13*100,1))</f>
        <v/>
      </c>
      <c r="F16" s="12">
        <f>COUNTIF('Мэдлэг'!D16:K16,1)+COUNTIF('Чадвар'!D16:AE16,1)+COUNTIF('Төлөвшил'!D16:P16,1)</f>
        <v/>
      </c>
      <c r="G16" s="12">
        <f>IF((COUNT('Мэдлэг'!D16:K16)+COUNT('Чадвар'!D16:AE16)+COUNT('Төлөвшил'!D16:P16))=0,"",ROUND(F16/49*100,1))</f>
        <v/>
      </c>
      <c r="H16" s="14">
        <f>IF(G16="","",IF(G16&gt;=Нэгтгэл!$K$4,"Хангалттай эзэмшиж байна",IF(G16&gt;=Нэгтгэл!$K$5,"Ахиж байна","Хөгжиж байна")))</f>
        <v/>
      </c>
    </row>
    <row r="17" ht="16" customHeight="1">
      <c r="A17" s="12" t="n">
        <v>11</v>
      </c>
      <c r="B17" s="13" t="inlineStr">
        <is>
          <t>Х-11</t>
        </is>
      </c>
      <c r="C17" s="12">
        <f>IF(COUNT('Мэдлэг'!D17:K17)=0,"",ROUND(COUNTIF('Мэдлэг'!D17:K17,1)/8*100,1))</f>
        <v/>
      </c>
      <c r="D17" s="12">
        <f>IF(COUNT('Чадвар'!D17:AE17)=0,"",ROUND(COUNTIF('Чадвар'!D17:AE17,1)/28*100,1))</f>
        <v/>
      </c>
      <c r="E17" s="12">
        <f>IF(COUNT('Төлөвшил'!D17:P17)=0,"",ROUND(COUNTIF('Төлөвшил'!D17:P17,1)/13*100,1))</f>
        <v/>
      </c>
      <c r="F17" s="12">
        <f>COUNTIF('Мэдлэг'!D17:K17,1)+COUNTIF('Чадвар'!D17:AE17,1)+COUNTIF('Төлөвшил'!D17:P17,1)</f>
        <v/>
      </c>
      <c r="G17" s="12">
        <f>IF((COUNT('Мэдлэг'!D17:K17)+COUNT('Чадвар'!D17:AE17)+COUNT('Төлөвшил'!D17:P17))=0,"",ROUND(F17/49*100,1))</f>
        <v/>
      </c>
      <c r="H17" s="14">
        <f>IF(G17="","",IF(G17&gt;=Нэгтгэл!$K$4,"Хангалттай эзэмшиж байна",IF(G17&gt;=Нэгтгэл!$K$5,"Ахиж байна","Хөгжиж байна")))</f>
        <v/>
      </c>
    </row>
    <row r="18" ht="16" customHeight="1">
      <c r="A18" s="12" t="n">
        <v>12</v>
      </c>
      <c r="B18" s="13" t="inlineStr">
        <is>
          <t>Х-12</t>
        </is>
      </c>
      <c r="C18" s="12">
        <f>IF(COUNT('Мэдлэг'!D18:K18)=0,"",ROUND(COUNTIF('Мэдлэг'!D18:K18,1)/8*100,1))</f>
        <v/>
      </c>
      <c r="D18" s="12">
        <f>IF(COUNT('Чадвар'!D18:AE18)=0,"",ROUND(COUNTIF('Чадвар'!D18:AE18,1)/28*100,1))</f>
        <v/>
      </c>
      <c r="E18" s="12">
        <f>IF(COUNT('Төлөвшил'!D18:P18)=0,"",ROUND(COUNTIF('Төлөвшил'!D18:P18,1)/13*100,1))</f>
        <v/>
      </c>
      <c r="F18" s="12">
        <f>COUNTIF('Мэдлэг'!D18:K18,1)+COUNTIF('Чадвар'!D18:AE18,1)+COUNTIF('Төлөвшил'!D18:P18,1)</f>
        <v/>
      </c>
      <c r="G18" s="12">
        <f>IF((COUNT('Мэдлэг'!D18:K18)+COUNT('Чадвар'!D18:AE18)+COUNT('Төлөвшил'!D18:P18))=0,"",ROUND(F18/49*100,1))</f>
        <v/>
      </c>
      <c r="H18" s="14">
        <f>IF(G18="","",IF(G18&gt;=Нэгтгэл!$K$4,"Хангалттай эзэмшиж байна",IF(G18&gt;=Нэгтгэл!$K$5,"Ахиж байна","Хөгжиж байна")))</f>
        <v/>
      </c>
    </row>
    <row r="19" ht="16" customHeight="1">
      <c r="A19" s="12" t="n">
        <v>13</v>
      </c>
      <c r="B19" s="13" t="inlineStr">
        <is>
          <t>Х-13</t>
        </is>
      </c>
      <c r="C19" s="12">
        <f>IF(COUNT('Мэдлэг'!D19:K19)=0,"",ROUND(COUNTIF('Мэдлэг'!D19:K19,1)/8*100,1))</f>
        <v/>
      </c>
      <c r="D19" s="12">
        <f>IF(COUNT('Чадвар'!D19:AE19)=0,"",ROUND(COUNTIF('Чадвар'!D19:AE19,1)/28*100,1))</f>
        <v/>
      </c>
      <c r="E19" s="12">
        <f>IF(COUNT('Төлөвшил'!D19:P19)=0,"",ROUND(COUNTIF('Төлөвшил'!D19:P19,1)/13*100,1))</f>
        <v/>
      </c>
      <c r="F19" s="12">
        <f>COUNTIF('Мэдлэг'!D19:K19,1)+COUNTIF('Чадвар'!D19:AE19,1)+COUNTIF('Төлөвшил'!D19:P19,1)</f>
        <v/>
      </c>
      <c r="G19" s="12">
        <f>IF((COUNT('Мэдлэг'!D19:K19)+COUNT('Чадвар'!D19:AE19)+COUNT('Төлөвшил'!D19:P19))=0,"",ROUND(F19/49*100,1))</f>
        <v/>
      </c>
      <c r="H19" s="14">
        <f>IF(G19="","",IF(G19&gt;=Нэгтгэл!$K$4,"Хангалттай эзэмшиж байна",IF(G19&gt;=Нэгтгэл!$K$5,"Ахиж байна","Хөгжиж байна")))</f>
        <v/>
      </c>
    </row>
    <row r="20" ht="16" customHeight="1">
      <c r="A20" s="12" t="n">
        <v>14</v>
      </c>
      <c r="B20" s="13" t="inlineStr">
        <is>
          <t>Х-14</t>
        </is>
      </c>
      <c r="C20" s="12">
        <f>IF(COUNT('Мэдлэг'!D20:K20)=0,"",ROUND(COUNTIF('Мэдлэг'!D20:K20,1)/8*100,1))</f>
        <v/>
      </c>
      <c r="D20" s="12">
        <f>IF(COUNT('Чадвар'!D20:AE20)=0,"",ROUND(COUNTIF('Чадвар'!D20:AE20,1)/28*100,1))</f>
        <v/>
      </c>
      <c r="E20" s="12">
        <f>IF(COUNT('Төлөвшил'!D20:P20)=0,"",ROUND(COUNTIF('Төлөвшил'!D20:P20,1)/13*100,1))</f>
        <v/>
      </c>
      <c r="F20" s="12">
        <f>COUNTIF('Мэдлэг'!D20:K20,1)+COUNTIF('Чадвар'!D20:AE20,1)+COUNTIF('Төлөвшил'!D20:P20,1)</f>
        <v/>
      </c>
      <c r="G20" s="12">
        <f>IF((COUNT('Мэдлэг'!D20:K20)+COUNT('Чадвар'!D20:AE20)+COUNT('Төлөвшил'!D20:P20))=0,"",ROUND(F20/49*100,1))</f>
        <v/>
      </c>
      <c r="H20" s="14">
        <f>IF(G20="","",IF(G20&gt;=Нэгтгэл!$K$4,"Хангалттай эзэмшиж байна",IF(G20&gt;=Нэгтгэл!$K$5,"Ахиж байна","Хөгжиж байна")))</f>
        <v/>
      </c>
    </row>
    <row r="21" ht="16" customHeight="1">
      <c r="A21" s="12" t="n">
        <v>15</v>
      </c>
      <c r="B21" s="13" t="inlineStr">
        <is>
          <t>Х-15</t>
        </is>
      </c>
      <c r="C21" s="12">
        <f>IF(COUNT('Мэдлэг'!D21:K21)=0,"",ROUND(COUNTIF('Мэдлэг'!D21:K21,1)/8*100,1))</f>
        <v/>
      </c>
      <c r="D21" s="12">
        <f>IF(COUNT('Чадвар'!D21:AE21)=0,"",ROUND(COUNTIF('Чадвар'!D21:AE21,1)/28*100,1))</f>
        <v/>
      </c>
      <c r="E21" s="12">
        <f>IF(COUNT('Төлөвшил'!D21:P21)=0,"",ROUND(COUNTIF('Төлөвшил'!D21:P21,1)/13*100,1))</f>
        <v/>
      </c>
      <c r="F21" s="12">
        <f>COUNTIF('Мэдлэг'!D21:K21,1)+COUNTIF('Чадвар'!D21:AE21,1)+COUNTIF('Төлөвшил'!D21:P21,1)</f>
        <v/>
      </c>
      <c r="G21" s="12">
        <f>IF((COUNT('Мэдлэг'!D21:K21)+COUNT('Чадвар'!D21:AE21)+COUNT('Төлөвшил'!D21:P21))=0,"",ROUND(F21/49*100,1))</f>
        <v/>
      </c>
      <c r="H21" s="14">
        <f>IF(G21="","",IF(G21&gt;=Нэгтгэл!$K$4,"Хангалттай эзэмшиж байна",IF(G21&gt;=Нэгтгэл!$K$5,"Ахиж байна","Хөгжиж байна")))</f>
        <v/>
      </c>
    </row>
    <row r="22" ht="16" customHeight="1">
      <c r="A22" s="12" t="n">
        <v>16</v>
      </c>
      <c r="B22" s="13" t="inlineStr">
        <is>
          <t>Х-16</t>
        </is>
      </c>
      <c r="C22" s="12">
        <f>IF(COUNT('Мэдлэг'!D22:K22)=0,"",ROUND(COUNTIF('Мэдлэг'!D22:K22,1)/8*100,1))</f>
        <v/>
      </c>
      <c r="D22" s="12">
        <f>IF(COUNT('Чадвар'!D22:AE22)=0,"",ROUND(COUNTIF('Чадвар'!D22:AE22,1)/28*100,1))</f>
        <v/>
      </c>
      <c r="E22" s="12">
        <f>IF(COUNT('Төлөвшил'!D22:P22)=0,"",ROUND(COUNTIF('Төлөвшил'!D22:P22,1)/13*100,1))</f>
        <v/>
      </c>
      <c r="F22" s="12">
        <f>COUNTIF('Мэдлэг'!D22:K22,1)+COUNTIF('Чадвар'!D22:AE22,1)+COUNTIF('Төлөвшил'!D22:P22,1)</f>
        <v/>
      </c>
      <c r="G22" s="12">
        <f>IF((COUNT('Мэдлэг'!D22:K22)+COUNT('Чадвар'!D22:AE22)+COUNT('Төлөвшил'!D22:P22))=0,"",ROUND(F22/49*100,1))</f>
        <v/>
      </c>
      <c r="H22" s="14">
        <f>IF(G22="","",IF(G22&gt;=Нэгтгэл!$K$4,"Хангалттай эзэмшиж байна",IF(G22&gt;=Нэгтгэл!$K$5,"Ахиж байна","Хөгжиж байна")))</f>
        <v/>
      </c>
    </row>
    <row r="23" ht="16" customHeight="1">
      <c r="A23" s="12" t="n">
        <v>17</v>
      </c>
      <c r="B23" s="13" t="inlineStr">
        <is>
          <t>Х-17</t>
        </is>
      </c>
      <c r="C23" s="12">
        <f>IF(COUNT('Мэдлэг'!D23:K23)=0,"",ROUND(COUNTIF('Мэдлэг'!D23:K23,1)/8*100,1))</f>
        <v/>
      </c>
      <c r="D23" s="12">
        <f>IF(COUNT('Чадвар'!D23:AE23)=0,"",ROUND(COUNTIF('Чадвар'!D23:AE23,1)/28*100,1))</f>
        <v/>
      </c>
      <c r="E23" s="12">
        <f>IF(COUNT('Төлөвшил'!D23:P23)=0,"",ROUND(COUNTIF('Төлөвшил'!D23:P23,1)/13*100,1))</f>
        <v/>
      </c>
      <c r="F23" s="12">
        <f>COUNTIF('Мэдлэг'!D23:K23,1)+COUNTIF('Чадвар'!D23:AE23,1)+COUNTIF('Төлөвшил'!D23:P23,1)</f>
        <v/>
      </c>
      <c r="G23" s="12">
        <f>IF((COUNT('Мэдлэг'!D23:K23)+COUNT('Чадвар'!D23:AE23)+COUNT('Төлөвшил'!D23:P23))=0,"",ROUND(F23/49*100,1))</f>
        <v/>
      </c>
      <c r="H23" s="14">
        <f>IF(G23="","",IF(G23&gt;=Нэгтгэл!$K$4,"Хангалттай эзэмшиж байна",IF(G23&gt;=Нэгтгэл!$K$5,"Ахиж байна","Хөгжиж байна")))</f>
        <v/>
      </c>
    </row>
    <row r="24" ht="16" customHeight="1">
      <c r="A24" s="12" t="n">
        <v>18</v>
      </c>
      <c r="B24" s="13" t="inlineStr">
        <is>
          <t>Х-18</t>
        </is>
      </c>
      <c r="C24" s="12">
        <f>IF(COUNT('Мэдлэг'!D24:K24)=0,"",ROUND(COUNTIF('Мэдлэг'!D24:K24,1)/8*100,1))</f>
        <v/>
      </c>
      <c r="D24" s="12">
        <f>IF(COUNT('Чадвар'!D24:AE24)=0,"",ROUND(COUNTIF('Чадвар'!D24:AE24,1)/28*100,1))</f>
        <v/>
      </c>
      <c r="E24" s="12">
        <f>IF(COUNT('Төлөвшил'!D24:P24)=0,"",ROUND(COUNTIF('Төлөвшил'!D24:P24,1)/13*100,1))</f>
        <v/>
      </c>
      <c r="F24" s="12">
        <f>COUNTIF('Мэдлэг'!D24:K24,1)+COUNTIF('Чадвар'!D24:AE24,1)+COUNTIF('Төлөвшил'!D24:P24,1)</f>
        <v/>
      </c>
      <c r="G24" s="12">
        <f>IF((COUNT('Мэдлэг'!D24:K24)+COUNT('Чадвар'!D24:AE24)+COUNT('Төлөвшил'!D24:P24))=0,"",ROUND(F24/49*100,1))</f>
        <v/>
      </c>
      <c r="H24" s="14">
        <f>IF(G24="","",IF(G24&gt;=Нэгтгэл!$K$4,"Хангалттай эзэмшиж байна",IF(G24&gt;=Нэгтгэл!$K$5,"Ахиж байна","Хөгжиж байна")))</f>
        <v/>
      </c>
    </row>
    <row r="25" ht="16" customHeight="1">
      <c r="A25" s="12" t="n">
        <v>19</v>
      </c>
      <c r="B25" s="13" t="inlineStr">
        <is>
          <t>Х-19</t>
        </is>
      </c>
      <c r="C25" s="12">
        <f>IF(COUNT('Мэдлэг'!D25:K25)=0,"",ROUND(COUNTIF('Мэдлэг'!D25:K25,1)/8*100,1))</f>
        <v/>
      </c>
      <c r="D25" s="12">
        <f>IF(COUNT('Чадвар'!D25:AE25)=0,"",ROUND(COUNTIF('Чадвар'!D25:AE25,1)/28*100,1))</f>
        <v/>
      </c>
      <c r="E25" s="12">
        <f>IF(COUNT('Төлөвшил'!D25:P25)=0,"",ROUND(COUNTIF('Төлөвшил'!D25:P25,1)/13*100,1))</f>
        <v/>
      </c>
      <c r="F25" s="12">
        <f>COUNTIF('Мэдлэг'!D25:K25,1)+COUNTIF('Чадвар'!D25:AE25,1)+COUNTIF('Төлөвшил'!D25:P25,1)</f>
        <v/>
      </c>
      <c r="G25" s="12">
        <f>IF((COUNT('Мэдлэг'!D25:K25)+COUNT('Чадвар'!D25:AE25)+COUNT('Төлөвшил'!D25:P25))=0,"",ROUND(F25/49*100,1))</f>
        <v/>
      </c>
      <c r="H25" s="14">
        <f>IF(G25="","",IF(G25&gt;=Нэгтгэл!$K$4,"Хангалттай эзэмшиж байна",IF(G25&gt;=Нэгтгэл!$K$5,"Ахиж байна","Хөгжиж байна")))</f>
        <v/>
      </c>
    </row>
    <row r="26" ht="16" customHeight="1">
      <c r="A26" s="12" t="n">
        <v>20</v>
      </c>
      <c r="B26" s="13" t="inlineStr">
        <is>
          <t>Х-20</t>
        </is>
      </c>
      <c r="C26" s="12">
        <f>IF(COUNT('Мэдлэг'!D26:K26)=0,"",ROUND(COUNTIF('Мэдлэг'!D26:K26,1)/8*100,1))</f>
        <v/>
      </c>
      <c r="D26" s="12">
        <f>IF(COUNT('Чадвар'!D26:AE26)=0,"",ROUND(COUNTIF('Чадвар'!D26:AE26,1)/28*100,1))</f>
        <v/>
      </c>
      <c r="E26" s="12">
        <f>IF(COUNT('Төлөвшил'!D26:P26)=0,"",ROUND(COUNTIF('Төлөвшил'!D26:P26,1)/13*100,1))</f>
        <v/>
      </c>
      <c r="F26" s="12">
        <f>COUNTIF('Мэдлэг'!D26:K26,1)+COUNTIF('Чадвар'!D26:AE26,1)+COUNTIF('Төлөвшил'!D26:P26,1)</f>
        <v/>
      </c>
      <c r="G26" s="12">
        <f>IF((COUNT('Мэдлэг'!D26:K26)+COUNT('Чадвар'!D26:AE26)+COUNT('Төлөвшил'!D26:P26))=0,"",ROUND(F26/49*100,1))</f>
        <v/>
      </c>
      <c r="H26" s="14">
        <f>IF(G26="","",IF(G26&gt;=Нэгтгэл!$K$4,"Хангалттай эзэмшиж байна",IF(G26&gt;=Нэгтгэл!$K$5,"Ахиж байна","Хөгжиж байна")))</f>
        <v/>
      </c>
    </row>
    <row r="27" ht="16" customHeight="1">
      <c r="A27" s="12" t="n">
        <v>21</v>
      </c>
      <c r="B27" s="13" t="inlineStr">
        <is>
          <t>Х-21</t>
        </is>
      </c>
      <c r="C27" s="12">
        <f>IF(COUNT('Мэдлэг'!D27:K27)=0,"",ROUND(COUNTIF('Мэдлэг'!D27:K27,1)/8*100,1))</f>
        <v/>
      </c>
      <c r="D27" s="12">
        <f>IF(COUNT('Чадвар'!D27:AE27)=0,"",ROUND(COUNTIF('Чадвар'!D27:AE27,1)/28*100,1))</f>
        <v/>
      </c>
      <c r="E27" s="12">
        <f>IF(COUNT('Төлөвшил'!D27:P27)=0,"",ROUND(COUNTIF('Төлөвшил'!D27:P27,1)/13*100,1))</f>
        <v/>
      </c>
      <c r="F27" s="12">
        <f>COUNTIF('Мэдлэг'!D27:K27,1)+COUNTIF('Чадвар'!D27:AE27,1)+COUNTIF('Төлөвшил'!D27:P27,1)</f>
        <v/>
      </c>
      <c r="G27" s="12">
        <f>IF((COUNT('Мэдлэг'!D27:K27)+COUNT('Чадвар'!D27:AE27)+COUNT('Төлөвшил'!D27:P27))=0,"",ROUND(F27/49*100,1))</f>
        <v/>
      </c>
      <c r="H27" s="14">
        <f>IF(G27="","",IF(G27&gt;=Нэгтгэл!$K$4,"Хангалттай эзэмшиж байна",IF(G27&gt;=Нэгтгэл!$K$5,"Ахиж байна","Хөгжиж байна")))</f>
        <v/>
      </c>
    </row>
    <row r="28" ht="16" customHeight="1">
      <c r="A28" s="12" t="n">
        <v>22</v>
      </c>
      <c r="B28" s="13" t="inlineStr">
        <is>
          <t>Х-22</t>
        </is>
      </c>
      <c r="C28" s="12">
        <f>IF(COUNT('Мэдлэг'!D28:K28)=0,"",ROUND(COUNTIF('Мэдлэг'!D28:K28,1)/8*100,1))</f>
        <v/>
      </c>
      <c r="D28" s="12">
        <f>IF(COUNT('Чадвар'!D28:AE28)=0,"",ROUND(COUNTIF('Чадвар'!D28:AE28,1)/28*100,1))</f>
        <v/>
      </c>
      <c r="E28" s="12">
        <f>IF(COUNT('Төлөвшил'!D28:P28)=0,"",ROUND(COUNTIF('Төлөвшил'!D28:P28,1)/13*100,1))</f>
        <v/>
      </c>
      <c r="F28" s="12">
        <f>COUNTIF('Мэдлэг'!D28:K28,1)+COUNTIF('Чадвар'!D28:AE28,1)+COUNTIF('Төлөвшил'!D28:P28,1)</f>
        <v/>
      </c>
      <c r="G28" s="12">
        <f>IF((COUNT('Мэдлэг'!D28:K28)+COUNT('Чадвар'!D28:AE28)+COUNT('Төлөвшил'!D28:P28))=0,"",ROUND(F28/49*100,1))</f>
        <v/>
      </c>
      <c r="H28" s="14">
        <f>IF(G28="","",IF(G28&gt;=Нэгтгэл!$K$4,"Хангалттай эзэмшиж байна",IF(G28&gt;=Нэгтгэл!$K$5,"Ахиж байна","Хөгжиж байна")))</f>
        <v/>
      </c>
    </row>
    <row r="29" ht="16" customHeight="1">
      <c r="A29" s="12" t="n">
        <v>23</v>
      </c>
      <c r="B29" s="13" t="inlineStr">
        <is>
          <t>Х-23</t>
        </is>
      </c>
      <c r="C29" s="12">
        <f>IF(COUNT('Мэдлэг'!D29:K29)=0,"",ROUND(COUNTIF('Мэдлэг'!D29:K29,1)/8*100,1))</f>
        <v/>
      </c>
      <c r="D29" s="12">
        <f>IF(COUNT('Чадвар'!D29:AE29)=0,"",ROUND(COUNTIF('Чадвар'!D29:AE29,1)/28*100,1))</f>
        <v/>
      </c>
      <c r="E29" s="12">
        <f>IF(COUNT('Төлөвшил'!D29:P29)=0,"",ROUND(COUNTIF('Төлөвшил'!D29:P29,1)/13*100,1))</f>
        <v/>
      </c>
      <c r="F29" s="12">
        <f>COUNTIF('Мэдлэг'!D29:K29,1)+COUNTIF('Чадвар'!D29:AE29,1)+COUNTIF('Төлөвшил'!D29:P29,1)</f>
        <v/>
      </c>
      <c r="G29" s="12">
        <f>IF((COUNT('Мэдлэг'!D29:K29)+COUNT('Чадвар'!D29:AE29)+COUNT('Төлөвшил'!D29:P29))=0,"",ROUND(F29/49*100,1))</f>
        <v/>
      </c>
      <c r="H29" s="14">
        <f>IF(G29="","",IF(G29&gt;=Нэгтгэл!$K$4,"Хангалттай эзэмшиж байна",IF(G29&gt;=Нэгтгэл!$K$5,"Ахиж байна","Хөгжиж байна")))</f>
        <v/>
      </c>
    </row>
    <row r="30" ht="16" customHeight="1">
      <c r="A30" s="12" t="n">
        <v>24</v>
      </c>
      <c r="B30" s="13" t="inlineStr">
        <is>
          <t>Х-24</t>
        </is>
      </c>
      <c r="C30" s="12">
        <f>IF(COUNT('Мэдлэг'!D30:K30)=0,"",ROUND(COUNTIF('Мэдлэг'!D30:K30,1)/8*100,1))</f>
        <v/>
      </c>
      <c r="D30" s="12">
        <f>IF(COUNT('Чадвар'!D30:AE30)=0,"",ROUND(COUNTIF('Чадвар'!D30:AE30,1)/28*100,1))</f>
        <v/>
      </c>
      <c r="E30" s="12">
        <f>IF(COUNT('Төлөвшил'!D30:P30)=0,"",ROUND(COUNTIF('Төлөвшил'!D30:P30,1)/13*100,1))</f>
        <v/>
      </c>
      <c r="F30" s="12">
        <f>COUNTIF('Мэдлэг'!D30:K30,1)+COUNTIF('Чадвар'!D30:AE30,1)+COUNTIF('Төлөвшил'!D30:P30,1)</f>
        <v/>
      </c>
      <c r="G30" s="12">
        <f>IF((COUNT('Мэдлэг'!D30:K30)+COUNT('Чадвар'!D30:AE30)+COUNT('Төлөвшил'!D30:P30))=0,"",ROUND(F30/49*100,1))</f>
        <v/>
      </c>
      <c r="H30" s="14">
        <f>IF(G30="","",IF(G30&gt;=Нэгтгэл!$K$4,"Хангалттай эзэмшиж байна",IF(G30&gt;=Нэгтгэл!$K$5,"Ахиж байна","Хөгжиж байна")))</f>
        <v/>
      </c>
    </row>
    <row r="31" ht="16" customHeight="1">
      <c r="A31" s="12" t="n">
        <v>25</v>
      </c>
      <c r="B31" s="13" t="inlineStr">
        <is>
          <t>Х-25</t>
        </is>
      </c>
      <c r="C31" s="12">
        <f>IF(COUNT('Мэдлэг'!D31:K31)=0,"",ROUND(COUNTIF('Мэдлэг'!D31:K31,1)/8*100,1))</f>
        <v/>
      </c>
      <c r="D31" s="12">
        <f>IF(COUNT('Чадвар'!D31:AE31)=0,"",ROUND(COUNTIF('Чадвар'!D31:AE31,1)/28*100,1))</f>
        <v/>
      </c>
      <c r="E31" s="12">
        <f>IF(COUNT('Төлөвшил'!D31:P31)=0,"",ROUND(COUNTIF('Төлөвшил'!D31:P31,1)/13*100,1))</f>
        <v/>
      </c>
      <c r="F31" s="12">
        <f>COUNTIF('Мэдлэг'!D31:K31,1)+COUNTIF('Чадвар'!D31:AE31,1)+COUNTIF('Төлөвшил'!D31:P31,1)</f>
        <v/>
      </c>
      <c r="G31" s="12">
        <f>IF((COUNT('Мэдлэг'!D31:K31)+COUNT('Чадвар'!D31:AE31)+COUNT('Төлөвшил'!D31:P31))=0,"",ROUND(F31/49*100,1))</f>
        <v/>
      </c>
      <c r="H31" s="14">
        <f>IF(G31="","",IF(G31&gt;=Нэгтгэл!$K$4,"Хангалттай эзэмшиж байна",IF(G31&gt;=Нэгтгэл!$K$5,"Ахиж байна","Хөгжиж байна")))</f>
        <v/>
      </c>
    </row>
    <row r="32" ht="16" customHeight="1">
      <c r="A32" s="12" t="n">
        <v>26</v>
      </c>
      <c r="B32" s="13" t="inlineStr">
        <is>
          <t>Х-26</t>
        </is>
      </c>
      <c r="C32" s="12">
        <f>IF(COUNT('Мэдлэг'!D32:K32)=0,"",ROUND(COUNTIF('Мэдлэг'!D32:K32,1)/8*100,1))</f>
        <v/>
      </c>
      <c r="D32" s="12">
        <f>IF(COUNT('Чадвар'!D32:AE32)=0,"",ROUND(COUNTIF('Чадвар'!D32:AE32,1)/28*100,1))</f>
        <v/>
      </c>
      <c r="E32" s="12">
        <f>IF(COUNT('Төлөвшил'!D32:P32)=0,"",ROUND(COUNTIF('Төлөвшил'!D32:P32,1)/13*100,1))</f>
        <v/>
      </c>
      <c r="F32" s="12">
        <f>COUNTIF('Мэдлэг'!D32:K32,1)+COUNTIF('Чадвар'!D32:AE32,1)+COUNTIF('Төлөвшил'!D32:P32,1)</f>
        <v/>
      </c>
      <c r="G32" s="12">
        <f>IF((COUNT('Мэдлэг'!D32:K32)+COUNT('Чадвар'!D32:AE32)+COUNT('Төлөвшил'!D32:P32))=0,"",ROUND(F32/49*100,1))</f>
        <v/>
      </c>
      <c r="H32" s="14">
        <f>IF(G32="","",IF(G32&gt;=Нэгтгэл!$K$4,"Хангалттай эзэмшиж байна",IF(G32&gt;=Нэгтгэл!$K$5,"Ахиж байна","Хөгжиж байна")))</f>
        <v/>
      </c>
    </row>
    <row r="33" ht="16" customHeight="1">
      <c r="A33" s="12" t="n">
        <v>27</v>
      </c>
      <c r="B33" s="13" t="inlineStr">
        <is>
          <t>Х-27</t>
        </is>
      </c>
      <c r="C33" s="12">
        <f>IF(COUNT('Мэдлэг'!D33:K33)=0,"",ROUND(COUNTIF('Мэдлэг'!D33:K33,1)/8*100,1))</f>
        <v/>
      </c>
      <c r="D33" s="12">
        <f>IF(COUNT('Чадвар'!D33:AE33)=0,"",ROUND(COUNTIF('Чадвар'!D33:AE33,1)/28*100,1))</f>
        <v/>
      </c>
      <c r="E33" s="12">
        <f>IF(COUNT('Төлөвшил'!D33:P33)=0,"",ROUND(COUNTIF('Төлөвшил'!D33:P33,1)/13*100,1))</f>
        <v/>
      </c>
      <c r="F33" s="12">
        <f>COUNTIF('Мэдлэг'!D33:K33,1)+COUNTIF('Чадвар'!D33:AE33,1)+COUNTIF('Төлөвшил'!D33:P33,1)</f>
        <v/>
      </c>
      <c r="G33" s="12">
        <f>IF((COUNT('Мэдлэг'!D33:K33)+COUNT('Чадвар'!D33:AE33)+COUNT('Төлөвшил'!D33:P33))=0,"",ROUND(F33/49*100,1))</f>
        <v/>
      </c>
      <c r="H33" s="14">
        <f>IF(G33="","",IF(G33&gt;=Нэгтгэл!$K$4,"Хангалттай эзэмшиж байна",IF(G33&gt;=Нэгтгэл!$K$5,"Ахиж байна","Хөгжиж байна")))</f>
        <v/>
      </c>
    </row>
    <row r="34" ht="16" customHeight="1">
      <c r="A34" s="12" t="n">
        <v>28</v>
      </c>
      <c r="B34" s="13" t="inlineStr">
        <is>
          <t>Х-28</t>
        </is>
      </c>
      <c r="C34" s="12">
        <f>IF(COUNT('Мэдлэг'!D34:K34)=0,"",ROUND(COUNTIF('Мэдлэг'!D34:K34,1)/8*100,1))</f>
        <v/>
      </c>
      <c r="D34" s="12">
        <f>IF(COUNT('Чадвар'!D34:AE34)=0,"",ROUND(COUNTIF('Чадвар'!D34:AE34,1)/28*100,1))</f>
        <v/>
      </c>
      <c r="E34" s="12">
        <f>IF(COUNT('Төлөвшил'!D34:P34)=0,"",ROUND(COUNTIF('Төлөвшил'!D34:P34,1)/13*100,1))</f>
        <v/>
      </c>
      <c r="F34" s="12">
        <f>COUNTIF('Мэдлэг'!D34:K34,1)+COUNTIF('Чадвар'!D34:AE34,1)+COUNTIF('Төлөвшил'!D34:P34,1)</f>
        <v/>
      </c>
      <c r="G34" s="12">
        <f>IF((COUNT('Мэдлэг'!D34:K34)+COUNT('Чадвар'!D34:AE34)+COUNT('Төлөвшил'!D34:P34))=0,"",ROUND(F34/49*100,1))</f>
        <v/>
      </c>
      <c r="H34" s="14">
        <f>IF(G34="","",IF(G34&gt;=Нэгтгэл!$K$4,"Хангалттай эзэмшиж байна",IF(G34&gt;=Нэгтгэл!$K$5,"Ахиж байна","Хөгжиж байна")))</f>
        <v/>
      </c>
    </row>
    <row r="35" ht="16" customHeight="1">
      <c r="A35" s="12" t="n">
        <v>29</v>
      </c>
      <c r="B35" s="13" t="inlineStr">
        <is>
          <t>Х-29</t>
        </is>
      </c>
      <c r="C35" s="12">
        <f>IF(COUNT('Мэдлэг'!D35:K35)=0,"",ROUND(COUNTIF('Мэдлэг'!D35:K35,1)/8*100,1))</f>
        <v/>
      </c>
      <c r="D35" s="12">
        <f>IF(COUNT('Чадвар'!D35:AE35)=0,"",ROUND(COUNTIF('Чадвар'!D35:AE35,1)/28*100,1))</f>
        <v/>
      </c>
      <c r="E35" s="12">
        <f>IF(COUNT('Төлөвшил'!D35:P35)=0,"",ROUND(COUNTIF('Төлөвшил'!D35:P35,1)/13*100,1))</f>
        <v/>
      </c>
      <c r="F35" s="12">
        <f>COUNTIF('Мэдлэг'!D35:K35,1)+COUNTIF('Чадвар'!D35:AE35,1)+COUNTIF('Төлөвшил'!D35:P35,1)</f>
        <v/>
      </c>
      <c r="G35" s="12">
        <f>IF((COUNT('Мэдлэг'!D35:K35)+COUNT('Чадвар'!D35:AE35)+COUNT('Төлөвшил'!D35:P35))=0,"",ROUND(F35/49*100,1))</f>
        <v/>
      </c>
      <c r="H35" s="14">
        <f>IF(G35="","",IF(G35&gt;=Нэгтгэл!$K$4,"Хангалттай эзэмшиж байна",IF(G35&gt;=Нэгтгэл!$K$5,"Ахиж байна","Хөгжиж байна")))</f>
        <v/>
      </c>
    </row>
    <row r="36" ht="16" customHeight="1">
      <c r="A36" s="12" t="n">
        <v>30</v>
      </c>
      <c r="B36" s="13" t="inlineStr">
        <is>
          <t>Х-30</t>
        </is>
      </c>
      <c r="C36" s="12">
        <f>IF(COUNT('Мэдлэг'!D36:K36)=0,"",ROUND(COUNTIF('Мэдлэг'!D36:K36,1)/8*100,1))</f>
        <v/>
      </c>
      <c r="D36" s="12">
        <f>IF(COUNT('Чадвар'!D36:AE36)=0,"",ROUND(COUNTIF('Чадвар'!D36:AE36,1)/28*100,1))</f>
        <v/>
      </c>
      <c r="E36" s="12">
        <f>IF(COUNT('Төлөвшил'!D36:P36)=0,"",ROUND(COUNTIF('Төлөвшил'!D36:P36,1)/13*100,1))</f>
        <v/>
      </c>
      <c r="F36" s="12">
        <f>COUNTIF('Мэдлэг'!D36:K36,1)+COUNTIF('Чадвар'!D36:AE36,1)+COUNTIF('Төлөвшил'!D36:P36,1)</f>
        <v/>
      </c>
      <c r="G36" s="12">
        <f>IF((COUNT('Мэдлэг'!D36:K36)+COUNT('Чадвар'!D36:AE36)+COUNT('Төлөвшил'!D36:P36))=0,"",ROUND(F36/49*100,1))</f>
        <v/>
      </c>
      <c r="H36" s="14">
        <f>IF(G36="","",IF(G36&gt;=Нэгтгэл!$K$4,"Хангалттай эзэмшиж байна",IF(G36&gt;=Нэгтгэл!$K$5,"Ахиж байна","Хөгжиж байна")))</f>
        <v/>
      </c>
    </row>
    <row r="37" ht="16" customHeight="1">
      <c r="A37" s="12" t="n">
        <v>31</v>
      </c>
      <c r="B37" s="13" t="inlineStr">
        <is>
          <t>Х-31</t>
        </is>
      </c>
      <c r="C37" s="12">
        <f>IF(COUNT('Мэдлэг'!D37:K37)=0,"",ROUND(COUNTIF('Мэдлэг'!D37:K37,1)/8*100,1))</f>
        <v/>
      </c>
      <c r="D37" s="12">
        <f>IF(COUNT('Чадвар'!D37:AE37)=0,"",ROUND(COUNTIF('Чадвар'!D37:AE37,1)/28*100,1))</f>
        <v/>
      </c>
      <c r="E37" s="12">
        <f>IF(COUNT('Төлөвшил'!D37:P37)=0,"",ROUND(COUNTIF('Төлөвшил'!D37:P37,1)/13*100,1))</f>
        <v/>
      </c>
      <c r="F37" s="12">
        <f>COUNTIF('Мэдлэг'!D37:K37,1)+COUNTIF('Чадвар'!D37:AE37,1)+COUNTIF('Төлөвшил'!D37:P37,1)</f>
        <v/>
      </c>
      <c r="G37" s="12">
        <f>IF((COUNT('Мэдлэг'!D37:K37)+COUNT('Чадвар'!D37:AE37)+COUNT('Төлөвшил'!D37:P37))=0,"",ROUND(F37/49*100,1))</f>
        <v/>
      </c>
      <c r="H37" s="14">
        <f>IF(G37="","",IF(G37&gt;=Нэгтгэл!$K$4,"Хангалттай эзэмшиж байна",IF(G37&gt;=Нэгтгэл!$K$5,"Ахиж байна","Хөгжиж байна")))</f>
        <v/>
      </c>
    </row>
    <row r="38" ht="16" customHeight="1">
      <c r="A38" s="12" t="n">
        <v>32</v>
      </c>
      <c r="B38" s="13" t="inlineStr">
        <is>
          <t>Х-32</t>
        </is>
      </c>
      <c r="C38" s="12">
        <f>IF(COUNT('Мэдлэг'!D38:K38)=0,"",ROUND(COUNTIF('Мэдлэг'!D38:K38,1)/8*100,1))</f>
        <v/>
      </c>
      <c r="D38" s="12">
        <f>IF(COUNT('Чадвар'!D38:AE38)=0,"",ROUND(COUNTIF('Чадвар'!D38:AE38,1)/28*100,1))</f>
        <v/>
      </c>
      <c r="E38" s="12">
        <f>IF(COUNT('Төлөвшил'!D38:P38)=0,"",ROUND(COUNTIF('Төлөвшил'!D38:P38,1)/13*100,1))</f>
        <v/>
      </c>
      <c r="F38" s="12">
        <f>COUNTIF('Мэдлэг'!D38:K38,1)+COUNTIF('Чадвар'!D38:AE38,1)+COUNTIF('Төлөвшил'!D38:P38,1)</f>
        <v/>
      </c>
      <c r="G38" s="12">
        <f>IF((COUNT('Мэдлэг'!D38:K38)+COUNT('Чадвар'!D38:AE38)+COUNT('Төлөвшил'!D38:P38))=0,"",ROUND(F38/49*100,1))</f>
        <v/>
      </c>
      <c r="H38" s="14">
        <f>IF(G38="","",IF(G38&gt;=Нэгтгэл!$K$4,"Хангалттай эзэмшиж байна",IF(G38&gt;=Нэгтгэл!$K$5,"Ахиж байна","Хөгжиж байна")))</f>
        <v/>
      </c>
    </row>
    <row r="39" ht="16" customHeight="1">
      <c r="A39" s="12" t="n">
        <v>33</v>
      </c>
      <c r="B39" s="13" t="inlineStr">
        <is>
          <t>Х-33</t>
        </is>
      </c>
      <c r="C39" s="12">
        <f>IF(COUNT('Мэдлэг'!D39:K39)=0,"",ROUND(COUNTIF('Мэдлэг'!D39:K39,1)/8*100,1))</f>
        <v/>
      </c>
      <c r="D39" s="12">
        <f>IF(COUNT('Чадвар'!D39:AE39)=0,"",ROUND(COUNTIF('Чадвар'!D39:AE39,1)/28*100,1))</f>
        <v/>
      </c>
      <c r="E39" s="12">
        <f>IF(COUNT('Төлөвшил'!D39:P39)=0,"",ROUND(COUNTIF('Төлөвшил'!D39:P39,1)/13*100,1))</f>
        <v/>
      </c>
      <c r="F39" s="12">
        <f>COUNTIF('Мэдлэг'!D39:K39,1)+COUNTIF('Чадвар'!D39:AE39,1)+COUNTIF('Төлөвшил'!D39:P39,1)</f>
        <v/>
      </c>
      <c r="G39" s="12">
        <f>IF((COUNT('Мэдлэг'!D39:K39)+COUNT('Чадвар'!D39:AE39)+COUNT('Төлөвшил'!D39:P39))=0,"",ROUND(F39/49*100,1))</f>
        <v/>
      </c>
      <c r="H39" s="14">
        <f>IF(G39="","",IF(G39&gt;=Нэгтгэл!$K$4,"Хангалттай эзэмшиж байна",IF(G39&gt;=Нэгтгэл!$K$5,"Ахиж байна","Хөгжиж байна")))</f>
        <v/>
      </c>
    </row>
    <row r="40" ht="16" customHeight="1">
      <c r="A40" s="12" t="n">
        <v>34</v>
      </c>
      <c r="B40" s="13" t="inlineStr">
        <is>
          <t>Х-34</t>
        </is>
      </c>
      <c r="C40" s="12">
        <f>IF(COUNT('Мэдлэг'!D40:K40)=0,"",ROUND(COUNTIF('Мэдлэг'!D40:K40,1)/8*100,1))</f>
        <v/>
      </c>
      <c r="D40" s="12">
        <f>IF(COUNT('Чадвар'!D40:AE40)=0,"",ROUND(COUNTIF('Чадвар'!D40:AE40,1)/28*100,1))</f>
        <v/>
      </c>
      <c r="E40" s="12">
        <f>IF(COUNT('Төлөвшил'!D40:P40)=0,"",ROUND(COUNTIF('Төлөвшил'!D40:P40,1)/13*100,1))</f>
        <v/>
      </c>
      <c r="F40" s="12">
        <f>COUNTIF('Мэдлэг'!D40:K40,1)+COUNTIF('Чадвар'!D40:AE40,1)+COUNTIF('Төлөвшил'!D40:P40,1)</f>
        <v/>
      </c>
      <c r="G40" s="12">
        <f>IF((COUNT('Мэдлэг'!D40:K40)+COUNT('Чадвар'!D40:AE40)+COUNT('Төлөвшил'!D40:P40))=0,"",ROUND(F40/49*100,1))</f>
        <v/>
      </c>
      <c r="H40" s="14">
        <f>IF(G40="","",IF(G40&gt;=Нэгтгэл!$K$4,"Хангалттай эзэмшиж байна",IF(G40&gt;=Нэгтгэл!$K$5,"Ахиж байна","Хөгжиж байна")))</f>
        <v/>
      </c>
    </row>
    <row r="41" ht="16" customHeight="1">
      <c r="A41" s="12" t="n">
        <v>35</v>
      </c>
      <c r="B41" s="13" t="inlineStr">
        <is>
          <t>Х-35</t>
        </is>
      </c>
      <c r="C41" s="12">
        <f>IF(COUNT('Мэдлэг'!D41:K41)=0,"",ROUND(COUNTIF('Мэдлэг'!D41:K41,1)/8*100,1))</f>
        <v/>
      </c>
      <c r="D41" s="12">
        <f>IF(COUNT('Чадвар'!D41:AE41)=0,"",ROUND(COUNTIF('Чадвар'!D41:AE41,1)/28*100,1))</f>
        <v/>
      </c>
      <c r="E41" s="12">
        <f>IF(COUNT('Төлөвшил'!D41:P41)=0,"",ROUND(COUNTIF('Төлөвшил'!D41:P41,1)/13*100,1))</f>
        <v/>
      </c>
      <c r="F41" s="12">
        <f>COUNTIF('Мэдлэг'!D41:K41,1)+COUNTIF('Чадвар'!D41:AE41,1)+COUNTIF('Төлөвшил'!D41:P41,1)</f>
        <v/>
      </c>
      <c r="G41" s="12">
        <f>IF((COUNT('Мэдлэг'!D41:K41)+COUNT('Чадвар'!D41:AE41)+COUNT('Төлөвшил'!D41:P41))=0,"",ROUND(F41/49*100,1))</f>
        <v/>
      </c>
      <c r="H41" s="14">
        <f>IF(G41="","",IF(G41&gt;=Нэгтгэл!$K$4,"Хангалттай эзэмшиж байна",IF(G41&gt;=Нэгтгэл!$K$5,"Ахиж байна","Хөгжиж байна")))</f>
        <v/>
      </c>
    </row>
    <row r="42" ht="16" customHeight="1">
      <c r="A42" s="12" t="n">
        <v>36</v>
      </c>
      <c r="B42" s="13" t="inlineStr">
        <is>
          <t>Х-36</t>
        </is>
      </c>
      <c r="C42" s="12">
        <f>IF(COUNT('Мэдлэг'!D42:K42)=0,"",ROUND(COUNTIF('Мэдлэг'!D42:K42,1)/8*100,1))</f>
        <v/>
      </c>
      <c r="D42" s="12">
        <f>IF(COUNT('Чадвар'!D42:AE42)=0,"",ROUND(COUNTIF('Чадвар'!D42:AE42,1)/28*100,1))</f>
        <v/>
      </c>
      <c r="E42" s="12">
        <f>IF(COUNT('Төлөвшил'!D42:P42)=0,"",ROUND(COUNTIF('Төлөвшил'!D42:P42,1)/13*100,1))</f>
        <v/>
      </c>
      <c r="F42" s="12">
        <f>COUNTIF('Мэдлэг'!D42:K42,1)+COUNTIF('Чадвар'!D42:AE42,1)+COUNTIF('Төлөвшил'!D42:P42,1)</f>
        <v/>
      </c>
      <c r="G42" s="12">
        <f>IF((COUNT('Мэдлэг'!D42:K42)+COUNT('Чадвар'!D42:AE42)+COUNT('Төлөвшил'!D42:P42))=0,"",ROUND(F42/49*100,1))</f>
        <v/>
      </c>
      <c r="H42" s="14">
        <f>IF(G42="","",IF(G42&gt;=Нэгтгэл!$K$4,"Хангалттай эзэмшиж байна",IF(G42&gt;=Нэгтгэл!$K$5,"Ахиж байна","Хөгжиж байна")))</f>
        <v/>
      </c>
    </row>
    <row r="43" ht="16" customHeight="1">
      <c r="A43" s="12" t="n">
        <v>37</v>
      </c>
      <c r="B43" s="13" t="inlineStr">
        <is>
          <t>Х-37</t>
        </is>
      </c>
      <c r="C43" s="12">
        <f>IF(COUNT('Мэдлэг'!D43:K43)=0,"",ROUND(COUNTIF('Мэдлэг'!D43:K43,1)/8*100,1))</f>
        <v/>
      </c>
      <c r="D43" s="12">
        <f>IF(COUNT('Чадвар'!D43:AE43)=0,"",ROUND(COUNTIF('Чадвар'!D43:AE43,1)/28*100,1))</f>
        <v/>
      </c>
      <c r="E43" s="12">
        <f>IF(COUNT('Төлөвшил'!D43:P43)=0,"",ROUND(COUNTIF('Төлөвшил'!D43:P43,1)/13*100,1))</f>
        <v/>
      </c>
      <c r="F43" s="12">
        <f>COUNTIF('Мэдлэг'!D43:K43,1)+COUNTIF('Чадвар'!D43:AE43,1)+COUNTIF('Төлөвшил'!D43:P43,1)</f>
        <v/>
      </c>
      <c r="G43" s="12">
        <f>IF((COUNT('Мэдлэг'!D43:K43)+COUNT('Чадвар'!D43:AE43)+COUNT('Төлөвшил'!D43:P43))=0,"",ROUND(F43/49*100,1))</f>
        <v/>
      </c>
      <c r="H43" s="14">
        <f>IF(G43="","",IF(G43&gt;=Нэгтгэл!$K$4,"Хангалттай эзэмшиж байна",IF(G43&gt;=Нэгтгэл!$K$5,"Ахиж байна","Хөгжиж байна")))</f>
        <v/>
      </c>
    </row>
    <row r="44" ht="16" customHeight="1">
      <c r="A44" s="12" t="n">
        <v>38</v>
      </c>
      <c r="B44" s="13" t="inlineStr">
        <is>
          <t>Х-38</t>
        </is>
      </c>
      <c r="C44" s="12">
        <f>IF(COUNT('Мэдлэг'!D44:K44)=0,"",ROUND(COUNTIF('Мэдлэг'!D44:K44,1)/8*100,1))</f>
        <v/>
      </c>
      <c r="D44" s="12">
        <f>IF(COUNT('Чадвар'!D44:AE44)=0,"",ROUND(COUNTIF('Чадвар'!D44:AE44,1)/28*100,1))</f>
        <v/>
      </c>
      <c r="E44" s="12">
        <f>IF(COUNT('Төлөвшил'!D44:P44)=0,"",ROUND(COUNTIF('Төлөвшил'!D44:P44,1)/13*100,1))</f>
        <v/>
      </c>
      <c r="F44" s="12">
        <f>COUNTIF('Мэдлэг'!D44:K44,1)+COUNTIF('Чадвар'!D44:AE44,1)+COUNTIF('Төлөвшил'!D44:P44,1)</f>
        <v/>
      </c>
      <c r="G44" s="12">
        <f>IF((COUNT('Мэдлэг'!D44:K44)+COUNT('Чадвар'!D44:AE44)+COUNT('Төлөвшил'!D44:P44))=0,"",ROUND(F44/49*100,1))</f>
        <v/>
      </c>
      <c r="H44" s="14">
        <f>IF(G44="","",IF(G44&gt;=Нэгтгэл!$K$4,"Хангалттай эзэмшиж байна",IF(G44&gt;=Нэгтгэл!$K$5,"Ахиж байна","Хөгжиж байна")))</f>
        <v/>
      </c>
    </row>
    <row r="45" ht="16" customHeight="1">
      <c r="A45" s="12" t="n">
        <v>39</v>
      </c>
      <c r="B45" s="13" t="inlineStr">
        <is>
          <t>Х-39</t>
        </is>
      </c>
      <c r="C45" s="12">
        <f>IF(COUNT('Мэдлэг'!D45:K45)=0,"",ROUND(COUNTIF('Мэдлэг'!D45:K45,1)/8*100,1))</f>
        <v/>
      </c>
      <c r="D45" s="12">
        <f>IF(COUNT('Чадвар'!D45:AE45)=0,"",ROUND(COUNTIF('Чадвар'!D45:AE45,1)/28*100,1))</f>
        <v/>
      </c>
      <c r="E45" s="12">
        <f>IF(COUNT('Төлөвшил'!D45:P45)=0,"",ROUND(COUNTIF('Төлөвшил'!D45:P45,1)/13*100,1))</f>
        <v/>
      </c>
      <c r="F45" s="12">
        <f>COUNTIF('Мэдлэг'!D45:K45,1)+COUNTIF('Чадвар'!D45:AE45,1)+COUNTIF('Төлөвшил'!D45:P45,1)</f>
        <v/>
      </c>
      <c r="G45" s="12">
        <f>IF((COUNT('Мэдлэг'!D45:K45)+COUNT('Чадвар'!D45:AE45)+COUNT('Төлөвшил'!D45:P45))=0,"",ROUND(F45/49*100,1))</f>
        <v/>
      </c>
      <c r="H45" s="14">
        <f>IF(G45="","",IF(G45&gt;=Нэгтгэл!$K$4,"Хангалттай эзэмшиж байна",IF(G45&gt;=Нэгтгэл!$K$5,"Ахиж байна","Хөгжиж байна")))</f>
        <v/>
      </c>
    </row>
    <row r="46" ht="16" customHeight="1">
      <c r="A46" s="12" t="n">
        <v>40</v>
      </c>
      <c r="B46" s="13" t="inlineStr">
        <is>
          <t>Х-40</t>
        </is>
      </c>
      <c r="C46" s="12">
        <f>IF(COUNT('Мэдлэг'!D46:K46)=0,"",ROUND(COUNTIF('Мэдлэг'!D46:K46,1)/8*100,1))</f>
        <v/>
      </c>
      <c r="D46" s="12">
        <f>IF(COUNT('Чадвар'!D46:AE46)=0,"",ROUND(COUNTIF('Чадвар'!D46:AE46,1)/28*100,1))</f>
        <v/>
      </c>
      <c r="E46" s="12">
        <f>IF(COUNT('Төлөвшил'!D46:P46)=0,"",ROUND(COUNTIF('Төлөвшил'!D46:P46,1)/13*100,1))</f>
        <v/>
      </c>
      <c r="F46" s="12">
        <f>COUNTIF('Мэдлэг'!D46:K46,1)+COUNTIF('Чадвар'!D46:AE46,1)+COUNTIF('Төлөвшил'!D46:P46,1)</f>
        <v/>
      </c>
      <c r="G46" s="12">
        <f>IF((COUNT('Мэдлэг'!D46:K46)+COUNT('Чадвар'!D46:AE46)+COUNT('Төлөвшил'!D46:P46))=0,"",ROUND(F46/49*100,1))</f>
        <v/>
      </c>
      <c r="H46" s="14">
        <f>IF(G46="","",IF(G46&gt;=Нэгтгэл!$K$4,"Хангалттай эзэмшиж байна",IF(G46&gt;=Нэгтгэл!$K$5,"Ахиж байна","Хөгжиж байна")))</f>
        <v/>
      </c>
    </row>
    <row r="47" ht="16" customHeight="1">
      <c r="A47" s="12" t="n">
        <v>41</v>
      </c>
      <c r="B47" s="13" t="inlineStr">
        <is>
          <t>Х-41</t>
        </is>
      </c>
      <c r="C47" s="12">
        <f>IF(COUNT('Мэдлэг'!D47:K47)=0,"",ROUND(COUNTIF('Мэдлэг'!D47:K47,1)/8*100,1))</f>
        <v/>
      </c>
      <c r="D47" s="12">
        <f>IF(COUNT('Чадвар'!D47:AE47)=0,"",ROUND(COUNTIF('Чадвар'!D47:AE47,1)/28*100,1))</f>
        <v/>
      </c>
      <c r="E47" s="12">
        <f>IF(COUNT('Төлөвшил'!D47:P47)=0,"",ROUND(COUNTIF('Төлөвшил'!D47:P47,1)/13*100,1))</f>
        <v/>
      </c>
      <c r="F47" s="12">
        <f>COUNTIF('Мэдлэг'!D47:K47,1)+COUNTIF('Чадвар'!D47:AE47,1)+COUNTIF('Төлөвшил'!D47:P47,1)</f>
        <v/>
      </c>
      <c r="G47" s="12">
        <f>IF((COUNT('Мэдлэг'!D47:K47)+COUNT('Чадвар'!D47:AE47)+COUNT('Төлөвшил'!D47:P47))=0,"",ROUND(F47/49*100,1))</f>
        <v/>
      </c>
      <c r="H47" s="14">
        <f>IF(G47="","",IF(G47&gt;=Нэгтгэл!$K$4,"Хангалттай эзэмшиж байна",IF(G47&gt;=Нэгтгэл!$K$5,"Ахиж байна","Хөгжиж байна")))</f>
        <v/>
      </c>
    </row>
    <row r="48" ht="16" customHeight="1">
      <c r="A48" s="12" t="n">
        <v>42</v>
      </c>
      <c r="B48" s="13" t="inlineStr">
        <is>
          <t>Х-42</t>
        </is>
      </c>
      <c r="C48" s="12">
        <f>IF(COUNT('Мэдлэг'!D48:K48)=0,"",ROUND(COUNTIF('Мэдлэг'!D48:K48,1)/8*100,1))</f>
        <v/>
      </c>
      <c r="D48" s="12">
        <f>IF(COUNT('Чадвар'!D48:AE48)=0,"",ROUND(COUNTIF('Чадвар'!D48:AE48,1)/28*100,1))</f>
        <v/>
      </c>
      <c r="E48" s="12">
        <f>IF(COUNT('Төлөвшил'!D48:P48)=0,"",ROUND(COUNTIF('Төлөвшил'!D48:P48,1)/13*100,1))</f>
        <v/>
      </c>
      <c r="F48" s="12">
        <f>COUNTIF('Мэдлэг'!D48:K48,1)+COUNTIF('Чадвар'!D48:AE48,1)+COUNTIF('Төлөвшил'!D48:P48,1)</f>
        <v/>
      </c>
      <c r="G48" s="12">
        <f>IF((COUNT('Мэдлэг'!D48:K48)+COUNT('Чадвар'!D48:AE48)+COUNT('Төлөвшил'!D48:P48))=0,"",ROUND(F48/49*100,1))</f>
        <v/>
      </c>
      <c r="H48" s="14">
        <f>IF(G48="","",IF(G48&gt;=Нэгтгэл!$K$4,"Хангалттай эзэмшиж байна",IF(G48&gt;=Нэгтгэл!$K$5,"Ахиж байна","Хөгжиж байна")))</f>
        <v/>
      </c>
    </row>
    <row r="49" ht="16" customHeight="1">
      <c r="A49" s="12" t="n">
        <v>43</v>
      </c>
      <c r="B49" s="13" t="inlineStr">
        <is>
          <t>Х-43</t>
        </is>
      </c>
      <c r="C49" s="12">
        <f>IF(COUNT('Мэдлэг'!D49:K49)=0,"",ROUND(COUNTIF('Мэдлэг'!D49:K49,1)/8*100,1))</f>
        <v/>
      </c>
      <c r="D49" s="12">
        <f>IF(COUNT('Чадвар'!D49:AE49)=0,"",ROUND(COUNTIF('Чадвар'!D49:AE49,1)/28*100,1))</f>
        <v/>
      </c>
      <c r="E49" s="12">
        <f>IF(COUNT('Төлөвшил'!D49:P49)=0,"",ROUND(COUNTIF('Төлөвшил'!D49:P49,1)/13*100,1))</f>
        <v/>
      </c>
      <c r="F49" s="12">
        <f>COUNTIF('Мэдлэг'!D49:K49,1)+COUNTIF('Чадвар'!D49:AE49,1)+COUNTIF('Төлөвшил'!D49:P49,1)</f>
        <v/>
      </c>
      <c r="G49" s="12">
        <f>IF((COUNT('Мэдлэг'!D49:K49)+COUNT('Чадвар'!D49:AE49)+COUNT('Төлөвшил'!D49:P49))=0,"",ROUND(F49/49*100,1))</f>
        <v/>
      </c>
      <c r="H49" s="14">
        <f>IF(G49="","",IF(G49&gt;=Нэгтгэл!$K$4,"Хангалттай эзэмшиж байна",IF(G49&gt;=Нэгтгэл!$K$5,"Ахиж байна","Хөгжиж байна")))</f>
        <v/>
      </c>
    </row>
    <row r="50" ht="16" customHeight="1">
      <c r="A50" s="12" t="n">
        <v>44</v>
      </c>
      <c r="B50" s="13" t="inlineStr">
        <is>
          <t>Х-44</t>
        </is>
      </c>
      <c r="C50" s="12">
        <f>IF(COUNT('Мэдлэг'!D50:K50)=0,"",ROUND(COUNTIF('Мэдлэг'!D50:K50,1)/8*100,1))</f>
        <v/>
      </c>
      <c r="D50" s="12">
        <f>IF(COUNT('Чадвар'!D50:AE50)=0,"",ROUND(COUNTIF('Чадвар'!D50:AE50,1)/28*100,1))</f>
        <v/>
      </c>
      <c r="E50" s="12">
        <f>IF(COUNT('Төлөвшил'!D50:P50)=0,"",ROUND(COUNTIF('Төлөвшил'!D50:P50,1)/13*100,1))</f>
        <v/>
      </c>
      <c r="F50" s="12">
        <f>COUNTIF('Мэдлэг'!D50:K50,1)+COUNTIF('Чадвар'!D50:AE50,1)+COUNTIF('Төлөвшил'!D50:P50,1)</f>
        <v/>
      </c>
      <c r="G50" s="12">
        <f>IF((COUNT('Мэдлэг'!D50:K50)+COUNT('Чадвар'!D50:AE50)+COUNT('Төлөвшил'!D50:P50))=0,"",ROUND(F50/49*100,1))</f>
        <v/>
      </c>
      <c r="H50" s="14">
        <f>IF(G50="","",IF(G50&gt;=Нэгтгэл!$K$4,"Хангалттай эзэмшиж байна",IF(G50&gt;=Нэгтгэл!$K$5,"Ахиж байна","Хөгжиж байна")))</f>
        <v/>
      </c>
    </row>
    <row r="51" ht="16" customHeight="1">
      <c r="A51" s="12" t="n">
        <v>45</v>
      </c>
      <c r="B51" s="13" t="inlineStr">
        <is>
          <t>Х-45</t>
        </is>
      </c>
      <c r="C51" s="12">
        <f>IF(COUNT('Мэдлэг'!D51:K51)=0,"",ROUND(COUNTIF('Мэдлэг'!D51:K51,1)/8*100,1))</f>
        <v/>
      </c>
      <c r="D51" s="12">
        <f>IF(COUNT('Чадвар'!D51:AE51)=0,"",ROUND(COUNTIF('Чадвар'!D51:AE51,1)/28*100,1))</f>
        <v/>
      </c>
      <c r="E51" s="12">
        <f>IF(COUNT('Төлөвшил'!D51:P51)=0,"",ROUND(COUNTIF('Төлөвшил'!D51:P51,1)/13*100,1))</f>
        <v/>
      </c>
      <c r="F51" s="12">
        <f>COUNTIF('Мэдлэг'!D51:K51,1)+COUNTIF('Чадвар'!D51:AE51,1)+COUNTIF('Төлөвшил'!D51:P51,1)</f>
        <v/>
      </c>
      <c r="G51" s="12">
        <f>IF((COUNT('Мэдлэг'!D51:K51)+COUNT('Чадвар'!D51:AE51)+COUNT('Төлөвшил'!D51:P51))=0,"",ROUND(F51/49*100,1))</f>
        <v/>
      </c>
      <c r="H51" s="14">
        <f>IF(G51="","",IF(G51&gt;=Нэгтгэл!$K$4,"Хангалттай эзэмшиж байна",IF(G51&gt;=Нэгтгэл!$K$5,"Ахиж байна","Хөгжиж байна")))</f>
        <v/>
      </c>
    </row>
    <row r="52" ht="16" customHeight="1">
      <c r="A52" s="12" t="n">
        <v>46</v>
      </c>
      <c r="B52" s="13" t="inlineStr">
        <is>
          <t>Х-46</t>
        </is>
      </c>
      <c r="C52" s="12">
        <f>IF(COUNT('Мэдлэг'!D52:K52)=0,"",ROUND(COUNTIF('Мэдлэг'!D52:K52,1)/8*100,1))</f>
        <v/>
      </c>
      <c r="D52" s="12">
        <f>IF(COUNT('Чадвар'!D52:AE52)=0,"",ROUND(COUNTIF('Чадвар'!D52:AE52,1)/28*100,1))</f>
        <v/>
      </c>
      <c r="E52" s="12">
        <f>IF(COUNT('Төлөвшил'!D52:P52)=0,"",ROUND(COUNTIF('Төлөвшил'!D52:P52,1)/13*100,1))</f>
        <v/>
      </c>
      <c r="F52" s="12">
        <f>COUNTIF('Мэдлэг'!D52:K52,1)+COUNTIF('Чадвар'!D52:AE52,1)+COUNTIF('Төлөвшил'!D52:P52,1)</f>
        <v/>
      </c>
      <c r="G52" s="12">
        <f>IF((COUNT('Мэдлэг'!D52:K52)+COUNT('Чадвар'!D52:AE52)+COUNT('Төлөвшил'!D52:P52))=0,"",ROUND(F52/49*100,1))</f>
        <v/>
      </c>
      <c r="H52" s="14">
        <f>IF(G52="","",IF(G52&gt;=Нэгтгэл!$K$4,"Хангалттай эзэмшиж байна",IF(G52&gt;=Нэгтгэл!$K$5,"Ахиж байна","Хөгжиж байна")))</f>
        <v/>
      </c>
    </row>
    <row r="53" ht="16" customHeight="1">
      <c r="A53" s="12" t="n">
        <v>47</v>
      </c>
      <c r="B53" s="13" t="inlineStr">
        <is>
          <t>Х-47</t>
        </is>
      </c>
      <c r="C53" s="12">
        <f>IF(COUNT('Мэдлэг'!D53:K53)=0,"",ROUND(COUNTIF('Мэдлэг'!D53:K53,1)/8*100,1))</f>
        <v/>
      </c>
      <c r="D53" s="12">
        <f>IF(COUNT('Чадвар'!D53:AE53)=0,"",ROUND(COUNTIF('Чадвар'!D53:AE53,1)/28*100,1))</f>
        <v/>
      </c>
      <c r="E53" s="12">
        <f>IF(COUNT('Төлөвшил'!D53:P53)=0,"",ROUND(COUNTIF('Төлөвшил'!D53:P53,1)/13*100,1))</f>
        <v/>
      </c>
      <c r="F53" s="12">
        <f>COUNTIF('Мэдлэг'!D53:K53,1)+COUNTIF('Чадвар'!D53:AE53,1)+COUNTIF('Төлөвшил'!D53:P53,1)</f>
        <v/>
      </c>
      <c r="G53" s="12">
        <f>IF((COUNT('Мэдлэг'!D53:K53)+COUNT('Чадвар'!D53:AE53)+COUNT('Төлөвшил'!D53:P53))=0,"",ROUND(F53/49*100,1))</f>
        <v/>
      </c>
      <c r="H53" s="14">
        <f>IF(G53="","",IF(G53&gt;=Нэгтгэл!$K$4,"Хангалттай эзэмшиж байна",IF(G53&gt;=Нэгтгэл!$K$5,"Ахиж байна","Хөгжиж байна")))</f>
        <v/>
      </c>
    </row>
    <row r="54" ht="16" customHeight="1">
      <c r="A54" s="12" t="n">
        <v>48</v>
      </c>
      <c r="B54" s="13" t="inlineStr">
        <is>
          <t>Х-48</t>
        </is>
      </c>
      <c r="C54" s="12">
        <f>IF(COUNT('Мэдлэг'!D54:K54)=0,"",ROUND(COUNTIF('Мэдлэг'!D54:K54,1)/8*100,1))</f>
        <v/>
      </c>
      <c r="D54" s="12">
        <f>IF(COUNT('Чадвар'!D54:AE54)=0,"",ROUND(COUNTIF('Чадвар'!D54:AE54,1)/28*100,1))</f>
        <v/>
      </c>
      <c r="E54" s="12">
        <f>IF(COUNT('Төлөвшил'!D54:P54)=0,"",ROUND(COUNTIF('Төлөвшил'!D54:P54,1)/13*100,1))</f>
        <v/>
      </c>
      <c r="F54" s="12">
        <f>COUNTIF('Мэдлэг'!D54:K54,1)+COUNTIF('Чадвар'!D54:AE54,1)+COUNTIF('Төлөвшил'!D54:P54,1)</f>
        <v/>
      </c>
      <c r="G54" s="12">
        <f>IF((COUNT('Мэдлэг'!D54:K54)+COUNT('Чадвар'!D54:AE54)+COUNT('Төлөвшил'!D54:P54))=0,"",ROUND(F54/49*100,1))</f>
        <v/>
      </c>
      <c r="H54" s="14">
        <f>IF(G54="","",IF(G54&gt;=Нэгтгэл!$K$4,"Хангалттай эзэмшиж байна",IF(G54&gt;=Нэгтгэл!$K$5,"Ахиж байна","Хөгжиж байна")))</f>
        <v/>
      </c>
    </row>
    <row r="55" ht="16" customHeight="1">
      <c r="A55" s="12" t="n">
        <v>49</v>
      </c>
      <c r="B55" s="13" t="inlineStr">
        <is>
          <t>Х-49</t>
        </is>
      </c>
      <c r="C55" s="12">
        <f>IF(COUNT('Мэдлэг'!D55:K55)=0,"",ROUND(COUNTIF('Мэдлэг'!D55:K55,1)/8*100,1))</f>
        <v/>
      </c>
      <c r="D55" s="12">
        <f>IF(COUNT('Чадвар'!D55:AE55)=0,"",ROUND(COUNTIF('Чадвар'!D55:AE55,1)/28*100,1))</f>
        <v/>
      </c>
      <c r="E55" s="12">
        <f>IF(COUNT('Төлөвшил'!D55:P55)=0,"",ROUND(COUNTIF('Төлөвшил'!D55:P55,1)/13*100,1))</f>
        <v/>
      </c>
      <c r="F55" s="12">
        <f>COUNTIF('Мэдлэг'!D55:K55,1)+COUNTIF('Чадвар'!D55:AE55,1)+COUNTIF('Төлөвшил'!D55:P55,1)</f>
        <v/>
      </c>
      <c r="G55" s="12">
        <f>IF((COUNT('Мэдлэг'!D55:K55)+COUNT('Чадвар'!D55:AE55)+COUNT('Төлөвшил'!D55:P55))=0,"",ROUND(F55/49*100,1))</f>
        <v/>
      </c>
      <c r="H55" s="14">
        <f>IF(G55="","",IF(G55&gt;=Нэгтгэл!$K$4,"Хангалттай эзэмшиж байна",IF(G55&gt;=Нэгтгэл!$K$5,"Ахиж байна","Хөгжиж байна")))</f>
        <v/>
      </c>
    </row>
    <row r="56">
      <c r="A56" s="5" t="inlineStr">
        <is>
          <t>Бүлгийн дундаж хувь</t>
        </is>
      </c>
      <c r="B56" s="15" t="n"/>
      <c r="C56" s="5">
        <f>IFERROR(ROUND(AVERAGE(C7:C55),1),"")</f>
        <v/>
      </c>
      <c r="D56" s="5">
        <f>IFERROR(ROUND(AVERAGE(D7:D55),1),"")</f>
        <v/>
      </c>
      <c r="E56" s="5">
        <f>IFERROR(ROUND(AVERAGE(E7:E55),1),"")</f>
        <v/>
      </c>
      <c r="F56" s="16" t="inlineStr"/>
      <c r="G56" s="5">
        <f>IFERROR(ROUND(AVERAGE(G7:G55),1),"")</f>
        <v/>
      </c>
      <c r="H56" s="16" t="inlineStr"/>
    </row>
    <row r="57">
      <c r="A57" s="17" t="inlineStr">
        <is>
          <t>Хангалттай эзэмшиж байна (тоо)</t>
        </is>
      </c>
      <c r="B57" s="15" t="n"/>
      <c r="C57" s="5">
        <f>COUNTIFS(C7:C55,"&gt;="&amp;Нэгтгэл!$K$4)</f>
        <v/>
      </c>
      <c r="D57" s="5">
        <f>COUNTIFS(D7:D55,"&gt;="&amp;Нэгтгэл!$K$4)</f>
        <v/>
      </c>
      <c r="E57" s="5">
        <f>COUNTIFS(E7:E55,"&gt;="&amp;Нэгтгэл!$K$4)</f>
        <v/>
      </c>
      <c r="F57" s="16" t="inlineStr"/>
      <c r="G57" s="5">
        <f>COUNTIFS(G7:G55,"&gt;="&amp;Нэгтгэл!$K$4)</f>
        <v/>
      </c>
      <c r="H57" s="5">
        <f>COUNTIF(H7:H55,"Хангалттай эзэмшиж байна")</f>
        <v/>
      </c>
    </row>
    <row r="58">
      <c r="A58" s="17" t="inlineStr">
        <is>
          <t>Ахиж байна (тоо)</t>
        </is>
      </c>
      <c r="B58" s="15" t="n"/>
      <c r="C58" s="5">
        <f>COUNTIFS(C7:C55,"&gt;="&amp;Нэгтгэл!$K$5,C7:C55,"&lt;"&amp;Нэгтгэл!$K$4)</f>
        <v/>
      </c>
      <c r="D58" s="5">
        <f>COUNTIFS(D7:D55,"&gt;="&amp;Нэгтгэл!$K$5,D7:D55,"&lt;"&amp;Нэгтгэл!$K$4)</f>
        <v/>
      </c>
      <c r="E58" s="5">
        <f>COUNTIFS(E7:E55,"&gt;="&amp;Нэгтгэл!$K$5,E7:E55,"&lt;"&amp;Нэгтгэл!$K$4)</f>
        <v/>
      </c>
      <c r="F58" s="16" t="inlineStr"/>
      <c r="G58" s="5">
        <f>COUNTIFS(G7:G55,"&gt;="&amp;Нэгтгэл!$K$5,G7:G55,"&lt;"&amp;Нэгтгэл!$K$4)</f>
        <v/>
      </c>
      <c r="H58" s="5">
        <f>COUNTIF(H7:H55,"Ахиж байна")</f>
        <v/>
      </c>
    </row>
    <row r="59">
      <c r="A59" s="17" t="inlineStr">
        <is>
          <t>Хөгжиж байна (тоо)</t>
        </is>
      </c>
      <c r="B59" s="15" t="n"/>
      <c r="C59" s="5">
        <f>COUNTIFS(C7:C55,"&lt;"&amp;Нэгтгэл!$K$5)</f>
        <v/>
      </c>
      <c r="D59" s="5">
        <f>COUNTIFS(D7:D55,"&lt;"&amp;Нэгтгэл!$K$5)</f>
        <v/>
      </c>
      <c r="E59" s="5">
        <f>COUNTIFS(E7:E55,"&lt;"&amp;Нэгтгэл!$K$5)</f>
        <v/>
      </c>
      <c r="F59" s="16" t="inlineStr"/>
      <c r="G59" s="5">
        <f>COUNTIFS(G7:G55,"&lt;"&amp;Нэгтгэл!$K$5)</f>
        <v/>
      </c>
      <c r="H59" s="5">
        <f>COUNTIF(H7:H55,"Хөгжиж байна")</f>
        <v/>
      </c>
    </row>
  </sheetData>
  <mergeCells count="14">
    <mergeCell ref="J3:K3"/>
    <mergeCell ref="H3:H6"/>
    <mergeCell ref="F3:F6"/>
    <mergeCell ref="A57:B57"/>
    <mergeCell ref="A59:B59"/>
    <mergeCell ref="G3:G6"/>
    <mergeCell ref="A2:H2"/>
    <mergeCell ref="A3:A6"/>
    <mergeCell ref="B3:B6"/>
    <mergeCell ref="C3:E3"/>
    <mergeCell ref="C4:E4"/>
    <mergeCell ref="A1:H1"/>
    <mergeCell ref="A56:B56"/>
    <mergeCell ref="A58:B58"/>
  </mergeCell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2.xml><?xml version="1.0" encoding="utf-8"?>
<worksheet xmlns="http://schemas.openxmlformats.org/spreadsheetml/2006/main">
  <sheetPr>
    <outlinePr summaryBelow="1" summaryRight="1"/>
    <pageSetUpPr fitToPage="1"/>
  </sheetPr>
  <dimension ref="A1:P59"/>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7" customWidth="1" min="12" max="12"/>
    <col width="7" customWidth="1" min="13" max="13"/>
    <col width="8" customWidth="1" min="14" max="14"/>
    <col width="7" customWidth="1" min="15" max="15"/>
    <col width="14" customWidth="1" min="16" max="16"/>
  </cols>
  <sheetData>
    <row r="1">
      <c r="A1" s="1" t="inlineStr">
        <is>
          <t>................ ЦЭЦЭРЛЭГИЙН БЭЛТГЭЛ БҮЛГИЙН (5 НАС) ГАРААНЫ (ОНОШЛОХ) ҮНЭЛГЭЭ</t>
        </is>
      </c>
    </row>
    <row r="2">
      <c r="A2" s="18" t="inlineStr">
        <is>
          <t>Үнэлгээний хүрээ: Мэдлэг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Мэдлэг</t>
        </is>
      </c>
      <c r="E3" s="4" t="n"/>
      <c r="F3" s="4" t="n"/>
      <c r="G3" s="4" t="n"/>
      <c r="H3" s="4" t="n"/>
      <c r="I3" s="4" t="n"/>
      <c r="J3" s="4" t="n"/>
      <c r="K3" s="4" t="n"/>
      <c r="L3" s="5" t="inlineStr">
        <is>
          <t>Чадна (1)</t>
        </is>
      </c>
      <c r="M3" s="5" t="inlineStr">
        <is>
          <t>Хувь</t>
        </is>
      </c>
      <c r="N3" s="5" t="inlineStr">
        <is>
          <t>Чадахгүй (0)</t>
        </is>
      </c>
      <c r="O3" s="5" t="inlineStr">
        <is>
          <t>Хувь</t>
        </is>
      </c>
      <c r="P3" s="5" t="inlineStr">
        <is>
          <t>Түвшин</t>
        </is>
      </c>
    </row>
    <row r="4" ht="104" customHeight="1">
      <c r="A4" s="4" t="n"/>
      <c r="B4" s="4" t="n"/>
      <c r="C4" s="4" t="n"/>
      <c r="D4" s="6" t="inlineStr">
        <is>
          <t>Аюултай нөхцөлд (галаас хол байх, шатаар болгоомжтой явах гэх мэт) юу хийхийг мэддэг.</t>
        </is>
      </c>
      <c r="E4" s="6" t="inlineStr">
        <is>
          <t>Хүмүүсийн хоорондын харилцаа хэрхэн өрнөж байгааг ойлгодог.</t>
        </is>
      </c>
      <c r="F4" s="6" t="inlineStr">
        <is>
          <t>20 хүртэл цээжээр тоолдог.</t>
        </is>
      </c>
      <c r="G4" s="6" t="inlineStr">
        <is>
          <t>Долоо хоногийн гарагийг дарааллаар нь нэрлэдэг.</t>
        </is>
      </c>
      <c r="H4" s="6" t="inlineStr">
        <is>
          <t>Тоглоом, юмсын ижил ба ялгаатай шинжийг нэрлэдэг.</t>
        </is>
      </c>
      <c r="I4" s="6" t="inlineStr">
        <is>
          <t>Ургамлын ургалтад хэрэгтэй зүйлийг нэрлэдэг.</t>
        </is>
      </c>
      <c r="J4" s="6" t="inlineStr">
        <is>
          <t>Улирлын онцлог хүмүүсийн амьдралд хэрхэн нөлөөлж байгааг тайлбарладаг.</t>
        </is>
      </c>
      <c r="K4" s="6" t="inlineStr">
        <is>
          <t>Уран зураг, уран баримлын бүтээлийг хайрлан хамгаалахыг мэддэг.</t>
        </is>
      </c>
      <c r="L4" s="4" t="n"/>
      <c r="M4" s="4" t="n"/>
      <c r="N4" s="4" t="n"/>
      <c r="O4" s="4" t="n"/>
      <c r="P4" s="4" t="n"/>
    </row>
    <row r="5" ht="173" customHeight="1">
      <c r="A5" s="4" t="n"/>
      <c r="B5" s="4" t="n"/>
      <c r="C5" s="4" t="n"/>
      <c r="D5" s="19" t="inlineStr">
        <is>
          <t>СҮД: ХЭМ4.2д. Хувийн аюулгүй байдлаа хамгаалах дүрмийг өдөр тутмын амьдралд дагаж мөрдөнө.</t>
        </is>
      </c>
      <c r="E5" s="19" t="inlineStr">
        <is>
          <t>СҮД: НСХ4.3а. Хүмүүс хоорондоо хэрхэн харилцан хамааралтай байдгийг тайлбарладаг болно.</t>
        </is>
      </c>
      <c r="F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G5" s="19" t="inlineStr">
        <is>
          <t>СҮД: МАТ4.2б. Долоо хоногийн өдрийг дарааллаар нь нэрлэж, тухайн өдрүүдэд хийдэг танил үйл явдалтай холбож танилцуулна.</t>
        </is>
      </c>
      <c r="H5" s="19" t="inlineStr">
        <is>
          <t>СҮД: МАТ4.3а. Тоглоом юмсын ижил ялгаатай шинжийг нэрлэж, ангилж, тайлбарлана.</t>
        </is>
      </c>
      <c r="I5" s="19" t="inlineStr">
        <is>
          <t>СҮД: БНО4.1б. Ургамлын ургалтад юу хэрэгтэй болохыг тодорхойлж, тарьж ургуулах үйлд оролцоно.</t>
        </is>
      </c>
      <c r="J5" s="19" t="inlineStr">
        <is>
          <t>СҮД: БНО4.1г. Улирлын онцлогоос хамаарч амьтан, ургамал, хүмүүсийн амьдралд гарч буй өөрчлөлтийг тайлбарлаж, өөрийн хийх үйлийг тохируулан сонгоно.</t>
        </is>
      </c>
      <c r="K5" s="19" t="inlineStr">
        <is>
          <t>СҮД: ЗУ4.1а. Уран зургийн үйл явдал, баримлын дүрийн талаарх ойлголтоо бусдад тайлбарлана.</t>
        </is>
      </c>
      <c r="L5" s="4" t="n"/>
      <c r="M5" s="4" t="n"/>
      <c r="N5" s="4" t="n"/>
      <c r="O5" s="4" t="n"/>
      <c r="P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4" t="n"/>
      <c r="M6" s="4" t="n"/>
      <c r="N6" s="4" t="n"/>
      <c r="O6" s="4" t="n"/>
      <c r="P6" s="4" t="n"/>
    </row>
    <row r="7" ht="16" customHeight="1">
      <c r="A7" s="12" t="n">
        <v>1</v>
      </c>
      <c r="B7" s="12">
        <f>IF(Нэгтгэл!B7="","",Нэгтгэл!B7)</f>
        <v/>
      </c>
      <c r="C7" s="4" t="n"/>
      <c r="D7" s="13" t="n">
        <v>1</v>
      </c>
      <c r="E7" s="13" t="n">
        <v>1</v>
      </c>
      <c r="F7" s="13" t="n">
        <v>1</v>
      </c>
      <c r="G7" s="13" t="n">
        <v>1</v>
      </c>
      <c r="H7" s="13" t="n">
        <v>0</v>
      </c>
      <c r="I7" s="13" t="n">
        <v>1</v>
      </c>
      <c r="J7" s="13" t="n">
        <v>1</v>
      </c>
      <c r="K7" s="13" t="n">
        <v>1</v>
      </c>
      <c r="L7" s="12">
        <f>COUNTIF(D7:K7,1)</f>
        <v/>
      </c>
      <c r="M7" s="12">
        <f>IF(COUNT(D7:K7)=0,"",ROUND(L7/8*100,1))</f>
        <v/>
      </c>
      <c r="N7" s="12">
        <f>COUNTIF(D7:K7,0)</f>
        <v/>
      </c>
      <c r="O7" s="12">
        <f>IF(COUNT(D7:K7)=0,"",ROUND(N7/8*100,1))</f>
        <v/>
      </c>
      <c r="P7" s="20">
        <f>IF(M7="","",IF(M7&gt;=Нэгтгэл!$K$4,"Хангалттай эзэмшиж байна",IF(M7&gt;=Нэгтгэл!$K$5,"Ахиж байна","Хөгжиж байна")))</f>
        <v/>
      </c>
    </row>
    <row r="8" ht="16" customHeight="1">
      <c r="A8" s="12" t="n">
        <v>2</v>
      </c>
      <c r="B8" s="12">
        <f>IF(Нэгтгэл!B8="","",Нэгтгэл!B8)</f>
        <v/>
      </c>
      <c r="C8" s="4" t="n"/>
      <c r="D8" s="13" t="n">
        <v>1</v>
      </c>
      <c r="E8" s="13" t="n">
        <v>1</v>
      </c>
      <c r="F8" s="13" t="n">
        <v>0</v>
      </c>
      <c r="G8" s="13" t="n">
        <v>1</v>
      </c>
      <c r="H8" s="13" t="n">
        <v>1</v>
      </c>
      <c r="I8" s="13" t="n">
        <v>0</v>
      </c>
      <c r="J8" s="13" t="n">
        <v>0</v>
      </c>
      <c r="K8" s="13" t="n">
        <v>1</v>
      </c>
      <c r="L8" s="12">
        <f>COUNTIF(D8:K8,1)</f>
        <v/>
      </c>
      <c r="M8" s="12">
        <f>IF(COUNT(D8:K8)=0,"",ROUND(L8/8*100,1))</f>
        <v/>
      </c>
      <c r="N8" s="12">
        <f>COUNTIF(D8:K8,0)</f>
        <v/>
      </c>
      <c r="O8" s="12">
        <f>IF(COUNT(D8:K8)=0,"",ROUND(N8/8*100,1))</f>
        <v/>
      </c>
      <c r="P8" s="20">
        <f>IF(M8="","",IF(M8&gt;=Нэгтгэл!$K$4,"Хангалттай эзэмшиж байна",IF(M8&gt;=Нэгтгэл!$K$5,"Ахиж байна","Хөгжиж байна")))</f>
        <v/>
      </c>
    </row>
    <row r="9" ht="16" customHeight="1">
      <c r="A9" s="12" t="n">
        <v>3</v>
      </c>
      <c r="B9" s="12">
        <f>IF(Нэгтгэл!B9="","",Нэгтгэл!B9)</f>
        <v/>
      </c>
      <c r="C9" s="4" t="n"/>
      <c r="D9" s="13" t="n">
        <v>1</v>
      </c>
      <c r="E9" s="13" t="n">
        <v>1</v>
      </c>
      <c r="F9" s="13" t="n">
        <v>1</v>
      </c>
      <c r="G9" s="13" t="n">
        <v>0</v>
      </c>
      <c r="H9" s="13" t="n">
        <v>1</v>
      </c>
      <c r="I9" s="13" t="n">
        <v>1</v>
      </c>
      <c r="J9" s="13" t="n">
        <v>1</v>
      </c>
      <c r="K9" s="13" t="n">
        <v>0</v>
      </c>
      <c r="L9" s="12">
        <f>COUNTIF(D9:K9,1)</f>
        <v/>
      </c>
      <c r="M9" s="12">
        <f>IF(COUNT(D9:K9)=0,"",ROUND(L9/8*100,1))</f>
        <v/>
      </c>
      <c r="N9" s="12">
        <f>COUNTIF(D9:K9,0)</f>
        <v/>
      </c>
      <c r="O9" s="12">
        <f>IF(COUNT(D9:K9)=0,"",ROUND(N9/8*100,1))</f>
        <v/>
      </c>
      <c r="P9" s="20">
        <f>IF(M9="","",IF(M9&gt;=Нэгтгэл!$K$4,"Хангалттай эзэмшиж байна",IF(M9&gt;=Нэгтгэл!$K$5,"Ахиж байна","Хөгжиж байна")))</f>
        <v/>
      </c>
    </row>
    <row r="10" ht="16" customHeight="1">
      <c r="A10" s="12" t="n">
        <v>4</v>
      </c>
      <c r="B10" s="12">
        <f>IF(Нэгтгэл!B10="","",Нэгтгэл!B10)</f>
        <v/>
      </c>
      <c r="C10" s="4" t="n"/>
      <c r="D10" s="13" t="n">
        <v>1</v>
      </c>
      <c r="E10" s="13" t="n">
        <v>1</v>
      </c>
      <c r="F10" s="13" t="n">
        <v>0</v>
      </c>
      <c r="G10" s="13" t="n">
        <v>1</v>
      </c>
      <c r="H10" s="13" t="n">
        <v>1</v>
      </c>
      <c r="I10" s="13" t="n">
        <v>1</v>
      </c>
      <c r="J10" s="13" t="n">
        <v>1</v>
      </c>
      <c r="K10" s="13" t="n">
        <v>0</v>
      </c>
      <c r="L10" s="12">
        <f>COUNTIF(D10:K10,1)</f>
        <v/>
      </c>
      <c r="M10" s="12">
        <f>IF(COUNT(D10:K10)=0,"",ROUND(L10/8*100,1))</f>
        <v/>
      </c>
      <c r="N10" s="12">
        <f>COUNTIF(D10:K10,0)</f>
        <v/>
      </c>
      <c r="O10" s="12">
        <f>IF(COUNT(D10:K10)=0,"",ROUND(N10/8*100,1))</f>
        <v/>
      </c>
      <c r="P10" s="20">
        <f>IF(M10="","",IF(M10&gt;=Нэгтгэл!$K$4,"Хангалттай эзэмшиж байна",IF(M10&gt;=Нэгтгэл!$K$5,"Ахиж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0</v>
      </c>
      <c r="I11" s="13" t="n">
        <v>1</v>
      </c>
      <c r="J11" s="13" t="n">
        <v>1</v>
      </c>
      <c r="K11" s="13" t="n">
        <v>1</v>
      </c>
      <c r="L11" s="12">
        <f>COUNTIF(D11:K11,1)</f>
        <v/>
      </c>
      <c r="M11" s="12">
        <f>IF(COUNT(D11:K11)=0,"",ROUND(L11/8*100,1))</f>
        <v/>
      </c>
      <c r="N11" s="12">
        <f>COUNTIF(D11:K11,0)</f>
        <v/>
      </c>
      <c r="O11" s="12">
        <f>IF(COUNT(D11:K11)=0,"",ROUND(N11/8*100,1))</f>
        <v/>
      </c>
      <c r="P11" s="20">
        <f>IF(M11="","",IF(M11&gt;=Нэгтгэл!$K$4,"Хангалттай эзэмшиж байна",IF(M11&gt;=Нэгтгэл!$K$5,"Ахиж байна","Хөгжиж байна")))</f>
        <v/>
      </c>
    </row>
    <row r="12" ht="16" customHeight="1">
      <c r="A12" s="12" t="n">
        <v>6</v>
      </c>
      <c r="B12" s="12">
        <f>IF(Нэгтгэл!B12="","",Нэгтгэл!B12)</f>
        <v/>
      </c>
      <c r="C12" s="4" t="n"/>
      <c r="D12" s="13" t="n">
        <v>1</v>
      </c>
      <c r="E12" s="13" t="n">
        <v>0</v>
      </c>
      <c r="F12" s="13" t="n">
        <v>1</v>
      </c>
      <c r="G12" s="13" t="n">
        <v>0</v>
      </c>
      <c r="H12" s="13" t="n">
        <v>1</v>
      </c>
      <c r="I12" s="13" t="n">
        <v>1</v>
      </c>
      <c r="J12" s="13" t="n">
        <v>0</v>
      </c>
      <c r="K12" s="13" t="n">
        <v>1</v>
      </c>
      <c r="L12" s="12">
        <f>COUNTIF(D12:K12,1)</f>
        <v/>
      </c>
      <c r="M12" s="12">
        <f>IF(COUNT(D12:K12)=0,"",ROUND(L12/8*100,1))</f>
        <v/>
      </c>
      <c r="N12" s="12">
        <f>COUNTIF(D12:K12,0)</f>
        <v/>
      </c>
      <c r="O12" s="12">
        <f>IF(COUNT(D12:K12)=0,"",ROUND(N12/8*100,1))</f>
        <v/>
      </c>
      <c r="P12" s="20">
        <f>IF(M12="","",IF(M12&gt;=Нэгтгэл!$K$4,"Хангалттай эзэмшиж байна",IF(M12&gt;=Нэгтгэл!$K$5,"Ахиж байна","Хөгжиж байна")))</f>
        <v/>
      </c>
    </row>
    <row r="13" ht="16" customHeight="1">
      <c r="A13" s="12" t="n">
        <v>7</v>
      </c>
      <c r="B13" s="12">
        <f>IF(Нэгтгэл!B13="","",Нэгтгэл!B13)</f>
        <v/>
      </c>
      <c r="C13" s="4" t="n"/>
      <c r="D13" s="13" t="n">
        <v>0</v>
      </c>
      <c r="E13" s="13" t="n">
        <v>1</v>
      </c>
      <c r="F13" s="13" t="n">
        <v>0</v>
      </c>
      <c r="G13" s="13" t="n">
        <v>1</v>
      </c>
      <c r="H13" s="13" t="n">
        <v>0</v>
      </c>
      <c r="I13" s="13" t="n">
        <v>1</v>
      </c>
      <c r="J13" s="13" t="n">
        <v>1</v>
      </c>
      <c r="K13" s="13" t="n">
        <v>0</v>
      </c>
      <c r="L13" s="12">
        <f>COUNTIF(D13:K13,1)</f>
        <v/>
      </c>
      <c r="M13" s="12">
        <f>IF(COUNT(D13:K13)=0,"",ROUND(L13/8*100,1))</f>
        <v/>
      </c>
      <c r="N13" s="12">
        <f>COUNTIF(D13:K13,0)</f>
        <v/>
      </c>
      <c r="O13" s="12">
        <f>IF(COUNT(D13:K13)=0,"",ROUND(N13/8*100,1))</f>
        <v/>
      </c>
      <c r="P13" s="20">
        <f>IF(M13="","",IF(M13&gt;=Нэгтгэл!$K$4,"Хангалттай эзэмшиж байна",IF(M13&gt;=Нэгтгэл!$K$5,"Ахиж байна","Хөгжиж байна")))</f>
        <v/>
      </c>
    </row>
    <row r="14" ht="16" customHeight="1">
      <c r="A14" s="12" t="n">
        <v>8</v>
      </c>
      <c r="B14" s="12">
        <f>IF(Нэгтгэл!B14="","",Нэгтгэл!B14)</f>
        <v/>
      </c>
      <c r="C14" s="4" t="n"/>
      <c r="D14" s="13" t="n">
        <v>0</v>
      </c>
      <c r="E14" s="13" t="n">
        <v>1</v>
      </c>
      <c r="F14" s="13" t="n">
        <v>0</v>
      </c>
      <c r="G14" s="13" t="n">
        <v>1</v>
      </c>
      <c r="H14" s="13" t="n">
        <v>0</v>
      </c>
      <c r="I14" s="13" t="n">
        <v>1</v>
      </c>
      <c r="J14" s="13" t="n">
        <v>0</v>
      </c>
      <c r="K14" s="13" t="n">
        <v>0</v>
      </c>
      <c r="L14" s="12">
        <f>COUNTIF(D14:K14,1)</f>
        <v/>
      </c>
      <c r="M14" s="12">
        <f>IF(COUNT(D14:K14)=0,"",ROUND(L14/8*100,1))</f>
        <v/>
      </c>
      <c r="N14" s="12">
        <f>COUNTIF(D14:K14,0)</f>
        <v/>
      </c>
      <c r="O14" s="12">
        <f>IF(COUNT(D14:K14)=0,"",ROUND(N14/8*100,1))</f>
        <v/>
      </c>
      <c r="P14" s="20">
        <f>IF(M14="","",IF(M14&gt;=Нэгтгэл!$K$4,"Хангалттай эзэмшиж байна",IF(M14&gt;=Нэгтгэл!$K$5,"Ахиж байна","Хөгжиж байна")))</f>
        <v/>
      </c>
    </row>
    <row r="15" ht="16" customHeight="1">
      <c r="A15" s="12" t="n">
        <v>9</v>
      </c>
      <c r="B15" s="12">
        <f>IF(Нэгтгэл!B15="","",Нэгтгэл!B15)</f>
        <v/>
      </c>
      <c r="C15" s="4" t="n"/>
      <c r="D15" s="13" t="n">
        <v>1</v>
      </c>
      <c r="E15" s="13" t="n">
        <v>0</v>
      </c>
      <c r="F15" s="13" t="n">
        <v>1</v>
      </c>
      <c r="G15" s="13" t="n">
        <v>1</v>
      </c>
      <c r="H15" s="13" t="n">
        <v>1</v>
      </c>
      <c r="I15" s="13" t="n">
        <v>1</v>
      </c>
      <c r="J15" s="13" t="n">
        <v>1</v>
      </c>
      <c r="K15" s="13" t="n">
        <v>1</v>
      </c>
      <c r="L15" s="12">
        <f>COUNTIF(D15:K15,1)</f>
        <v/>
      </c>
      <c r="M15" s="12">
        <f>IF(COUNT(D15:K15)=0,"",ROUND(L15/8*100,1))</f>
        <v/>
      </c>
      <c r="N15" s="12">
        <f>COUNTIF(D15:K15,0)</f>
        <v/>
      </c>
      <c r="O15" s="12">
        <f>IF(COUNT(D15:K15)=0,"",ROUND(N15/8*100,1))</f>
        <v/>
      </c>
      <c r="P15" s="20">
        <f>IF(M15="","",IF(M15&gt;=Нэгтгэл!$K$4,"Хангалттай эзэмшиж байна",IF(M15&gt;=Нэгтгэл!$K$5,"Ахиж байна","Хөгжиж байна")))</f>
        <v/>
      </c>
    </row>
    <row r="16" ht="16" customHeight="1">
      <c r="A16" s="12" t="n">
        <v>10</v>
      </c>
      <c r="B16" s="12">
        <f>IF(Нэгтгэл!B16="","",Нэгтгэл!B16)</f>
        <v/>
      </c>
      <c r="C16" s="4" t="n"/>
      <c r="D16" s="13" t="n">
        <v>1</v>
      </c>
      <c r="E16" s="13" t="n">
        <v>0</v>
      </c>
      <c r="F16" s="13" t="n">
        <v>1</v>
      </c>
      <c r="G16" s="13" t="n">
        <v>0</v>
      </c>
      <c r="H16" s="13" t="n">
        <v>0</v>
      </c>
      <c r="I16" s="13" t="n">
        <v>1</v>
      </c>
      <c r="J16" s="13" t="n">
        <v>1</v>
      </c>
      <c r="K16" s="13" t="n">
        <v>1</v>
      </c>
      <c r="L16" s="12">
        <f>COUNTIF(D16:K16,1)</f>
        <v/>
      </c>
      <c r="M16" s="12">
        <f>IF(COUNT(D16:K16)=0,"",ROUND(L16/8*100,1))</f>
        <v/>
      </c>
      <c r="N16" s="12">
        <f>COUNTIF(D16:K16,0)</f>
        <v/>
      </c>
      <c r="O16" s="12">
        <f>IF(COUNT(D16:K16)=0,"",ROUND(N16/8*100,1))</f>
        <v/>
      </c>
      <c r="P16" s="20">
        <f>IF(M16="","",IF(M16&gt;=Нэгтгэл!$K$4,"Хангалттай эзэмшиж байна",IF(M16&gt;=Нэгтгэл!$K$5,"Ахиж байна","Хөгжиж байна")))</f>
        <v/>
      </c>
    </row>
    <row r="17" ht="16" customHeight="1">
      <c r="A17" s="12" t="n">
        <v>11</v>
      </c>
      <c r="B17" s="12">
        <f>IF(Нэгтгэл!B17="","",Нэгтгэл!B17)</f>
        <v/>
      </c>
      <c r="C17" s="4" t="n"/>
      <c r="D17" s="13" t="n">
        <v>0</v>
      </c>
      <c r="E17" s="13" t="n">
        <v>1</v>
      </c>
      <c r="F17" s="13" t="n">
        <v>0</v>
      </c>
      <c r="G17" s="13" t="n">
        <v>1</v>
      </c>
      <c r="H17" s="13" t="n">
        <v>0</v>
      </c>
      <c r="I17" s="13" t="n">
        <v>1</v>
      </c>
      <c r="J17" s="13" t="n">
        <v>0</v>
      </c>
      <c r="K17" s="13" t="n">
        <v>0</v>
      </c>
      <c r="L17" s="12">
        <f>COUNTIF(D17:K17,1)</f>
        <v/>
      </c>
      <c r="M17" s="12">
        <f>IF(COUNT(D17:K17)=0,"",ROUND(L17/8*100,1))</f>
        <v/>
      </c>
      <c r="N17" s="12">
        <f>COUNTIF(D17:K17,0)</f>
        <v/>
      </c>
      <c r="O17" s="12">
        <f>IF(COUNT(D17:K17)=0,"",ROUND(N17/8*100,1))</f>
        <v/>
      </c>
      <c r="P17" s="20">
        <f>IF(M17="","",IF(M17&gt;=Нэгтгэл!$K$4,"Хангалттай эзэмшиж байна",IF(M17&gt;=Нэгтгэл!$K$5,"Ахиж байна","Хөгжиж байна")))</f>
        <v/>
      </c>
    </row>
    <row r="18" ht="16" customHeight="1">
      <c r="A18" s="12" t="n">
        <v>12</v>
      </c>
      <c r="B18" s="12">
        <f>IF(Нэгтгэл!B18="","",Нэгтгэл!B18)</f>
        <v/>
      </c>
      <c r="C18" s="4" t="n"/>
      <c r="D18" s="13" t="n">
        <v>0</v>
      </c>
      <c r="E18" s="13" t="n">
        <v>0</v>
      </c>
      <c r="F18" s="13" t="n">
        <v>0</v>
      </c>
      <c r="G18" s="13" t="n">
        <v>0</v>
      </c>
      <c r="H18" s="13" t="n">
        <v>0</v>
      </c>
      <c r="I18" s="13" t="n">
        <v>0</v>
      </c>
      <c r="J18" s="13" t="n">
        <v>1</v>
      </c>
      <c r="K18" s="13" t="n">
        <v>1</v>
      </c>
      <c r="L18" s="12">
        <f>COUNTIF(D18:K18,1)</f>
        <v/>
      </c>
      <c r="M18" s="12">
        <f>IF(COUNT(D18:K18)=0,"",ROUND(L18/8*100,1))</f>
        <v/>
      </c>
      <c r="N18" s="12">
        <f>COUNTIF(D18:K18,0)</f>
        <v/>
      </c>
      <c r="O18" s="12">
        <f>IF(COUNT(D18:K18)=0,"",ROUND(N18/8*100,1))</f>
        <v/>
      </c>
      <c r="P18" s="20">
        <f>IF(M18="","",IF(M18&gt;=Нэгтгэл!$K$4,"Хангалттай эзэмшиж байна",IF(M18&gt;=Нэгтгэл!$K$5,"Ахиж байна","Хөгжиж байна")))</f>
        <v/>
      </c>
    </row>
    <row r="19" ht="16" customHeight="1">
      <c r="A19" s="12" t="n">
        <v>13</v>
      </c>
      <c r="B19" s="12">
        <f>IF(Нэгтгэл!B19="","",Нэгтгэл!B19)</f>
        <v/>
      </c>
      <c r="C19" s="4" t="n"/>
      <c r="D19" s="13" t="n">
        <v>0</v>
      </c>
      <c r="E19" s="13" t="n">
        <v>0</v>
      </c>
      <c r="F19" s="13" t="n">
        <v>1</v>
      </c>
      <c r="G19" s="13" t="n">
        <v>1</v>
      </c>
      <c r="H19" s="13" t="n">
        <v>1</v>
      </c>
      <c r="I19" s="13" t="n">
        <v>0</v>
      </c>
      <c r="J19" s="13" t="n">
        <v>1</v>
      </c>
      <c r="K19" s="13" t="n">
        <v>1</v>
      </c>
      <c r="L19" s="12">
        <f>COUNTIF(D19:K19,1)</f>
        <v/>
      </c>
      <c r="M19" s="12">
        <f>IF(COUNT(D19:K19)=0,"",ROUND(L19/8*100,1))</f>
        <v/>
      </c>
      <c r="N19" s="12">
        <f>COUNTIF(D19:K19,0)</f>
        <v/>
      </c>
      <c r="O19" s="12">
        <f>IF(COUNT(D19:K19)=0,"",ROUND(N19/8*100,1))</f>
        <v/>
      </c>
      <c r="P19" s="20">
        <f>IF(M19="","",IF(M19&gt;=Нэгтгэл!$K$4,"Хангалттай эзэмшиж байна",IF(M19&gt;=Нэгтгэл!$K$5,"Ахиж байна","Хөгжиж байна")))</f>
        <v/>
      </c>
    </row>
    <row r="20" ht="16" customHeight="1">
      <c r="A20" s="12" t="n">
        <v>14</v>
      </c>
      <c r="B20" s="12">
        <f>IF(Нэгтгэл!B20="","",Нэгтгэл!B20)</f>
        <v/>
      </c>
      <c r="C20" s="4" t="n"/>
      <c r="D20" s="13" t="n">
        <v>1</v>
      </c>
      <c r="E20" s="13" t="n">
        <v>1</v>
      </c>
      <c r="F20" s="13" t="n">
        <v>0</v>
      </c>
      <c r="G20" s="13" t="n">
        <v>1</v>
      </c>
      <c r="H20" s="13" t="n">
        <v>0</v>
      </c>
      <c r="I20" s="13" t="n">
        <v>0</v>
      </c>
      <c r="J20" s="13" t="n">
        <v>1</v>
      </c>
      <c r="K20" s="13" t="n">
        <v>1</v>
      </c>
      <c r="L20" s="12">
        <f>COUNTIF(D20:K20,1)</f>
        <v/>
      </c>
      <c r="M20" s="12">
        <f>IF(COUNT(D20:K20)=0,"",ROUND(L20/8*100,1))</f>
        <v/>
      </c>
      <c r="N20" s="12">
        <f>COUNTIF(D20:K20,0)</f>
        <v/>
      </c>
      <c r="O20" s="12">
        <f>IF(COUNT(D20:K20)=0,"",ROUND(N20/8*100,1))</f>
        <v/>
      </c>
      <c r="P20" s="20">
        <f>IF(M20="","",IF(M20&gt;=Нэгтгэл!$K$4,"Хангалттай эзэмшиж байна",IF(M20&gt;=Нэгтгэл!$K$5,"Ахиж байна","Хөгжиж байна")))</f>
        <v/>
      </c>
    </row>
    <row r="21" ht="16" customHeight="1">
      <c r="A21" s="12" t="n">
        <v>15</v>
      </c>
      <c r="B21" s="12">
        <f>IF(Нэгтгэл!B21="","",Нэгтгэл!B21)</f>
        <v/>
      </c>
      <c r="C21" s="4" t="n"/>
      <c r="D21" s="13" t="n">
        <v>0</v>
      </c>
      <c r="E21" s="13" t="n">
        <v>1</v>
      </c>
      <c r="F21" s="13" t="n">
        <v>1</v>
      </c>
      <c r="G21" s="13" t="n">
        <v>1</v>
      </c>
      <c r="H21" s="13" t="n">
        <v>0</v>
      </c>
      <c r="I21" s="13" t="n">
        <v>0</v>
      </c>
      <c r="J21" s="13" t="n">
        <v>1</v>
      </c>
      <c r="K21" s="13" t="n">
        <v>1</v>
      </c>
      <c r="L21" s="12">
        <f>COUNTIF(D21:K21,1)</f>
        <v/>
      </c>
      <c r="M21" s="12">
        <f>IF(COUNT(D21:K21)=0,"",ROUND(L21/8*100,1))</f>
        <v/>
      </c>
      <c r="N21" s="12">
        <f>COUNTIF(D21:K21,0)</f>
        <v/>
      </c>
      <c r="O21" s="12">
        <f>IF(COUNT(D21:K21)=0,"",ROUND(N21/8*100,1))</f>
        <v/>
      </c>
      <c r="P21" s="20">
        <f>IF(M21="","",IF(M21&gt;=Нэгтгэл!$K$4,"Хангалттай эзэмшиж байна",IF(M21&gt;=Нэгтгэл!$K$5,"Ахиж байна","Хөгжиж байна")))</f>
        <v/>
      </c>
    </row>
    <row r="22" ht="16" customHeight="1">
      <c r="A22" s="12" t="n">
        <v>16</v>
      </c>
      <c r="B22" s="12">
        <f>IF(Нэгтгэл!B22="","",Нэгтгэл!B22)</f>
        <v/>
      </c>
      <c r="C22" s="4" t="n"/>
      <c r="D22" s="13" t="n">
        <v>0</v>
      </c>
      <c r="E22" s="13" t="n">
        <v>1</v>
      </c>
      <c r="F22" s="13" t="n">
        <v>1</v>
      </c>
      <c r="G22" s="13" t="n">
        <v>0</v>
      </c>
      <c r="H22" s="13" t="n">
        <v>1</v>
      </c>
      <c r="I22" s="13" t="n">
        <v>1</v>
      </c>
      <c r="J22" s="13" t="n">
        <v>1</v>
      </c>
      <c r="K22" s="13" t="n">
        <v>1</v>
      </c>
      <c r="L22" s="12">
        <f>COUNTIF(D22:K22,1)</f>
        <v/>
      </c>
      <c r="M22" s="12">
        <f>IF(COUNT(D22:K22)=0,"",ROUND(L22/8*100,1))</f>
        <v/>
      </c>
      <c r="N22" s="12">
        <f>COUNTIF(D22:K22,0)</f>
        <v/>
      </c>
      <c r="O22" s="12">
        <f>IF(COUNT(D22:K22)=0,"",ROUND(N22/8*100,1))</f>
        <v/>
      </c>
      <c r="P22" s="20">
        <f>IF(M22="","",IF(M22&gt;=Нэгтгэл!$K$4,"Хангалттай эзэмшиж байна",IF(M22&gt;=Нэгтгэл!$K$5,"Ахиж байна","Хөгжиж байна")))</f>
        <v/>
      </c>
    </row>
    <row r="23" ht="16" customHeight="1">
      <c r="A23" s="12" t="n">
        <v>17</v>
      </c>
      <c r="B23" s="12">
        <f>IF(Нэгтгэл!B23="","",Нэгтгэл!B23)</f>
        <v/>
      </c>
      <c r="C23" s="4" t="n"/>
      <c r="D23" s="13" t="n">
        <v>0</v>
      </c>
      <c r="E23" s="13" t="n">
        <v>1</v>
      </c>
      <c r="F23" s="13" t="n">
        <v>0</v>
      </c>
      <c r="G23" s="13" t="n">
        <v>1</v>
      </c>
      <c r="H23" s="13" t="n">
        <v>1</v>
      </c>
      <c r="I23" s="13" t="n">
        <v>1</v>
      </c>
      <c r="J23" s="13" t="n">
        <v>1</v>
      </c>
      <c r="K23" s="13" t="n">
        <v>1</v>
      </c>
      <c r="L23" s="12">
        <f>COUNTIF(D23:K23,1)</f>
        <v/>
      </c>
      <c r="M23" s="12">
        <f>IF(COUNT(D23:K23)=0,"",ROUND(L23/8*100,1))</f>
        <v/>
      </c>
      <c r="N23" s="12">
        <f>COUNTIF(D23:K23,0)</f>
        <v/>
      </c>
      <c r="O23" s="12">
        <f>IF(COUNT(D23:K23)=0,"",ROUND(N23/8*100,1))</f>
        <v/>
      </c>
      <c r="P23" s="20">
        <f>IF(M23="","",IF(M23&gt;=Нэгтгэл!$K$4,"Хангалттай эзэмшиж байна",IF(M23&gt;=Нэгтгэл!$K$5,"Ахиж байна","Хөгжиж байна")))</f>
        <v/>
      </c>
    </row>
    <row r="24" ht="16" customHeight="1">
      <c r="A24" s="12" t="n">
        <v>18</v>
      </c>
      <c r="B24" s="12">
        <f>IF(Нэгтгэл!B24="","",Нэгтгэл!B24)</f>
        <v/>
      </c>
      <c r="C24" s="4" t="n"/>
      <c r="D24" s="13" t="n">
        <v>0</v>
      </c>
      <c r="E24" s="13" t="n">
        <v>0</v>
      </c>
      <c r="F24" s="13" t="n">
        <v>0</v>
      </c>
      <c r="G24" s="13" t="n">
        <v>0</v>
      </c>
      <c r="H24" s="13" t="n">
        <v>1</v>
      </c>
      <c r="I24" s="13" t="n">
        <v>1</v>
      </c>
      <c r="J24" s="13" t="n">
        <v>0</v>
      </c>
      <c r="K24" s="13" t="n">
        <v>1</v>
      </c>
      <c r="L24" s="12">
        <f>COUNTIF(D24:K24,1)</f>
        <v/>
      </c>
      <c r="M24" s="12">
        <f>IF(COUNT(D24:K24)=0,"",ROUND(L24/8*100,1))</f>
        <v/>
      </c>
      <c r="N24" s="12">
        <f>COUNTIF(D24:K24,0)</f>
        <v/>
      </c>
      <c r="O24" s="12">
        <f>IF(COUNT(D24:K24)=0,"",ROUND(N24/8*100,1))</f>
        <v/>
      </c>
      <c r="P24" s="20">
        <f>IF(M24="","",IF(M24&gt;=Нэгтгэл!$K$4,"Хангалттай эзэмшиж байна",IF(M24&gt;=Нэгтгэл!$K$5,"Ахиж байна","Хөгжиж байна")))</f>
        <v/>
      </c>
    </row>
    <row r="25" ht="16" customHeight="1">
      <c r="A25" s="12" t="n">
        <v>19</v>
      </c>
      <c r="B25" s="12">
        <f>IF(Нэгтгэл!B25="","",Нэгтгэл!B25)</f>
        <v/>
      </c>
      <c r="C25" s="4" t="n"/>
      <c r="D25" s="13" t="n">
        <v>1</v>
      </c>
      <c r="E25" s="13" t="n">
        <v>1</v>
      </c>
      <c r="F25" s="13" t="n">
        <v>1</v>
      </c>
      <c r="G25" s="13" t="n">
        <v>0</v>
      </c>
      <c r="H25" s="13" t="n">
        <v>1</v>
      </c>
      <c r="I25" s="13" t="n">
        <v>1</v>
      </c>
      <c r="J25" s="13" t="n">
        <v>1</v>
      </c>
      <c r="K25" s="13" t="n">
        <v>0</v>
      </c>
      <c r="L25" s="12">
        <f>COUNTIF(D25:K25,1)</f>
        <v/>
      </c>
      <c r="M25" s="12">
        <f>IF(COUNT(D25:K25)=0,"",ROUND(L25/8*100,1))</f>
        <v/>
      </c>
      <c r="N25" s="12">
        <f>COUNTIF(D25:K25,0)</f>
        <v/>
      </c>
      <c r="O25" s="12">
        <f>IF(COUNT(D25:K25)=0,"",ROUND(N25/8*100,1))</f>
        <v/>
      </c>
      <c r="P25" s="20">
        <f>IF(M25="","",IF(M25&gt;=Нэгтгэл!$K$4,"Хангалттай эзэмшиж байна",IF(M25&gt;=Нэгтгэл!$K$5,"Ахиж байна","Хөгжиж байна")))</f>
        <v/>
      </c>
    </row>
    <row r="26" ht="16" customHeight="1">
      <c r="A26" s="12" t="n">
        <v>20</v>
      </c>
      <c r="B26" s="12">
        <f>IF(Нэгтгэл!B26="","",Нэгтгэл!B26)</f>
        <v/>
      </c>
      <c r="C26" s="4" t="n"/>
      <c r="D26" s="13" t="n">
        <v>0</v>
      </c>
      <c r="E26" s="13" t="n">
        <v>1</v>
      </c>
      <c r="F26" s="13" t="n">
        <v>1</v>
      </c>
      <c r="G26" s="13" t="n">
        <v>1</v>
      </c>
      <c r="H26" s="13" t="n">
        <v>0</v>
      </c>
      <c r="I26" s="13" t="n">
        <v>0</v>
      </c>
      <c r="J26" s="13" t="n">
        <v>0</v>
      </c>
      <c r="K26" s="13" t="n">
        <v>1</v>
      </c>
      <c r="L26" s="12">
        <f>COUNTIF(D26:K26,1)</f>
        <v/>
      </c>
      <c r="M26" s="12">
        <f>IF(COUNT(D26:K26)=0,"",ROUND(L26/8*100,1))</f>
        <v/>
      </c>
      <c r="N26" s="12">
        <f>COUNTIF(D26:K26,0)</f>
        <v/>
      </c>
      <c r="O26" s="12">
        <f>IF(COUNT(D26:K26)=0,"",ROUND(N26/8*100,1))</f>
        <v/>
      </c>
      <c r="P26" s="20">
        <f>IF(M26="","",IF(M26&gt;=Нэгтгэл!$K$4,"Хангалттай эзэмшиж байна",IF(M26&gt;=Нэгтгэл!$K$5,"Ахиж байна","Хөгжиж байна")))</f>
        <v/>
      </c>
    </row>
    <row r="27" ht="16" customHeight="1">
      <c r="A27" s="12" t="n">
        <v>21</v>
      </c>
      <c r="B27" s="12">
        <f>IF(Нэгтгэл!B27="","",Нэгтгэл!B27)</f>
        <v/>
      </c>
      <c r="C27" s="4" t="n"/>
      <c r="D27" s="13" t="n">
        <v>1</v>
      </c>
      <c r="E27" s="13" t="n">
        <v>0</v>
      </c>
      <c r="F27" s="13" t="n">
        <v>1</v>
      </c>
      <c r="G27" s="13" t="n">
        <v>0</v>
      </c>
      <c r="H27" s="13" t="n">
        <v>1</v>
      </c>
      <c r="I27" s="13" t="n">
        <v>1</v>
      </c>
      <c r="J27" s="13" t="n">
        <v>0</v>
      </c>
      <c r="K27" s="13" t="n">
        <v>1</v>
      </c>
      <c r="L27" s="12">
        <f>COUNTIF(D27:K27,1)</f>
        <v/>
      </c>
      <c r="M27" s="12">
        <f>IF(COUNT(D27:K27)=0,"",ROUND(L27/8*100,1))</f>
        <v/>
      </c>
      <c r="N27" s="12">
        <f>COUNTIF(D27:K27,0)</f>
        <v/>
      </c>
      <c r="O27" s="12">
        <f>IF(COUNT(D27:K27)=0,"",ROUND(N27/8*100,1))</f>
        <v/>
      </c>
      <c r="P27" s="20">
        <f>IF(M27="","",IF(M27&gt;=Нэгтгэл!$K$4,"Хангалттай эзэмшиж байна",IF(M27&gt;=Нэгтгэл!$K$5,"Ахиж байна","Хөгжиж байна")))</f>
        <v/>
      </c>
    </row>
    <row r="28" ht="16" customHeight="1">
      <c r="A28" s="12" t="n">
        <v>22</v>
      </c>
      <c r="B28" s="12">
        <f>IF(Нэгтгэл!B28="","",Нэгтгэл!B28)</f>
        <v/>
      </c>
      <c r="C28" s="4" t="n"/>
      <c r="D28" s="13" t="n">
        <v>0</v>
      </c>
      <c r="E28" s="13" t="n">
        <v>1</v>
      </c>
      <c r="F28" s="13" t="n">
        <v>1</v>
      </c>
      <c r="G28" s="13" t="n">
        <v>1</v>
      </c>
      <c r="H28" s="13" t="n">
        <v>0</v>
      </c>
      <c r="I28" s="13" t="n">
        <v>1</v>
      </c>
      <c r="J28" s="13" t="n">
        <v>1</v>
      </c>
      <c r="K28" s="13" t="n">
        <v>1</v>
      </c>
      <c r="L28" s="12">
        <f>COUNTIF(D28:K28,1)</f>
        <v/>
      </c>
      <c r="M28" s="12">
        <f>IF(COUNT(D28:K28)=0,"",ROUND(L28/8*100,1))</f>
        <v/>
      </c>
      <c r="N28" s="12">
        <f>COUNTIF(D28:K28,0)</f>
        <v/>
      </c>
      <c r="O28" s="12">
        <f>IF(COUNT(D28:K28)=0,"",ROUND(N28/8*100,1))</f>
        <v/>
      </c>
      <c r="P28" s="20">
        <f>IF(M28="","",IF(M28&gt;=Нэгтгэл!$K$4,"Хангалттай эзэмшиж байна",IF(M28&gt;=Нэгтгэл!$K$5,"Ахиж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0</v>
      </c>
      <c r="I29" s="13" t="n">
        <v>1</v>
      </c>
      <c r="J29" s="13" t="n">
        <v>1</v>
      </c>
      <c r="K29" s="13" t="n">
        <v>1</v>
      </c>
      <c r="L29" s="12">
        <f>COUNTIF(D29:K29,1)</f>
        <v/>
      </c>
      <c r="M29" s="12">
        <f>IF(COUNT(D29:K29)=0,"",ROUND(L29/8*100,1))</f>
        <v/>
      </c>
      <c r="N29" s="12">
        <f>COUNTIF(D29:K29,0)</f>
        <v/>
      </c>
      <c r="O29" s="12">
        <f>IF(COUNT(D29:K29)=0,"",ROUND(N29/8*100,1))</f>
        <v/>
      </c>
      <c r="P29" s="20">
        <f>IF(M29="","",IF(M29&gt;=Нэгтгэл!$K$4,"Хангалттай эзэмшиж байна",IF(M29&gt;=Нэгтгэл!$K$5,"Ахиж байна","Хөгжиж байна")))</f>
        <v/>
      </c>
    </row>
    <row r="30" ht="16" customHeight="1">
      <c r="A30" s="12" t="n">
        <v>24</v>
      </c>
      <c r="B30" s="12">
        <f>IF(Нэгтгэл!B30="","",Нэгтгэл!B30)</f>
        <v/>
      </c>
      <c r="C30" s="4" t="n"/>
      <c r="D30" s="13" t="n">
        <v>0</v>
      </c>
      <c r="E30" s="13" t="n">
        <v>1</v>
      </c>
      <c r="F30" s="13" t="n">
        <v>1</v>
      </c>
      <c r="G30" s="13" t="n">
        <v>1</v>
      </c>
      <c r="H30" s="13" t="n">
        <v>1</v>
      </c>
      <c r="I30" s="13" t="n">
        <v>1</v>
      </c>
      <c r="J30" s="13" t="n">
        <v>1</v>
      </c>
      <c r="K30" s="13" t="n">
        <v>1</v>
      </c>
      <c r="L30" s="12">
        <f>COUNTIF(D30:K30,1)</f>
        <v/>
      </c>
      <c r="M30" s="12">
        <f>IF(COUNT(D30:K30)=0,"",ROUND(L30/8*100,1))</f>
        <v/>
      </c>
      <c r="N30" s="12">
        <f>COUNTIF(D30:K30,0)</f>
        <v/>
      </c>
      <c r="O30" s="12">
        <f>IF(COUNT(D30:K30)=0,"",ROUND(N30/8*100,1))</f>
        <v/>
      </c>
      <c r="P30" s="20">
        <f>IF(M30="","",IF(M30&gt;=Нэгтгэл!$K$4,"Хангалттай эзэмшиж байна",IF(M30&gt;=Нэгтгэл!$K$5,"Ахиж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1</v>
      </c>
      <c r="I31" s="13" t="n">
        <v>1</v>
      </c>
      <c r="J31" s="13" t="n">
        <v>1</v>
      </c>
      <c r="K31" s="13" t="n">
        <v>1</v>
      </c>
      <c r="L31" s="12">
        <f>COUNTIF(D31:K31,1)</f>
        <v/>
      </c>
      <c r="M31" s="12">
        <f>IF(COUNT(D31:K31)=0,"",ROUND(L31/8*100,1))</f>
        <v/>
      </c>
      <c r="N31" s="12">
        <f>COUNTIF(D31:K31,0)</f>
        <v/>
      </c>
      <c r="O31" s="12">
        <f>IF(COUNT(D31:K31)=0,"",ROUND(N31/8*100,1))</f>
        <v/>
      </c>
      <c r="P31" s="20">
        <f>IF(M31="","",IF(M31&gt;=Нэгтгэл!$K$4,"Хангалттай эзэмшиж байна",IF(M31&gt;=Нэгтгэл!$K$5,"Ахиж байна","Хөгжиж байна")))</f>
        <v/>
      </c>
    </row>
    <row r="32" ht="16" customHeight="1">
      <c r="A32" s="12" t="n">
        <v>26</v>
      </c>
      <c r="B32" s="12">
        <f>IF(Нэгтгэл!B32="","",Нэгтгэл!B32)</f>
        <v/>
      </c>
      <c r="C32" s="4" t="n"/>
      <c r="D32" s="13" t="n">
        <v>0</v>
      </c>
      <c r="E32" s="13" t="n">
        <v>1</v>
      </c>
      <c r="F32" s="13" t="n">
        <v>1</v>
      </c>
      <c r="G32" s="13" t="n">
        <v>1</v>
      </c>
      <c r="H32" s="13" t="n">
        <v>1</v>
      </c>
      <c r="I32" s="13" t="n">
        <v>0</v>
      </c>
      <c r="J32" s="13" t="n">
        <v>1</v>
      </c>
      <c r="K32" s="13" t="n">
        <v>0</v>
      </c>
      <c r="L32" s="12">
        <f>COUNTIF(D32:K32,1)</f>
        <v/>
      </c>
      <c r="M32" s="12">
        <f>IF(COUNT(D32:K32)=0,"",ROUND(L32/8*100,1))</f>
        <v/>
      </c>
      <c r="N32" s="12">
        <f>COUNTIF(D32:K32,0)</f>
        <v/>
      </c>
      <c r="O32" s="12">
        <f>IF(COUNT(D32:K32)=0,"",ROUND(N32/8*100,1))</f>
        <v/>
      </c>
      <c r="P32" s="20">
        <f>IF(M32="","",IF(M32&gt;=Нэгтгэл!$K$4,"Хангалттай эзэмшиж байна",IF(M32&gt;=Нэгтгэл!$K$5,"Ахиж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1</v>
      </c>
      <c r="I33" s="13" t="n">
        <v>0</v>
      </c>
      <c r="J33" s="13" t="n">
        <v>1</v>
      </c>
      <c r="K33" s="13" t="n">
        <v>0</v>
      </c>
      <c r="L33" s="12">
        <f>COUNTIF(D33:K33,1)</f>
        <v/>
      </c>
      <c r="M33" s="12">
        <f>IF(COUNT(D33:K33)=0,"",ROUND(L33/8*100,1))</f>
        <v/>
      </c>
      <c r="N33" s="12">
        <f>COUNTIF(D33:K33,0)</f>
        <v/>
      </c>
      <c r="O33" s="12">
        <f>IF(COUNT(D33:K33)=0,"",ROUND(N33/8*100,1))</f>
        <v/>
      </c>
      <c r="P33" s="20">
        <f>IF(M33="","",IF(M33&gt;=Нэгтгэл!$K$4,"Хангалттай эзэмшиж байна",IF(M33&gt;=Нэгтгэл!$K$5,"Ахиж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1</v>
      </c>
      <c r="I34" s="13" t="n">
        <v>0</v>
      </c>
      <c r="J34" s="13" t="n">
        <v>1</v>
      </c>
      <c r="K34" s="13" t="n">
        <v>1</v>
      </c>
      <c r="L34" s="12">
        <f>COUNTIF(D34:K34,1)</f>
        <v/>
      </c>
      <c r="M34" s="12">
        <f>IF(COUNT(D34:K34)=0,"",ROUND(L34/8*100,1))</f>
        <v/>
      </c>
      <c r="N34" s="12">
        <f>COUNTIF(D34:K34,0)</f>
        <v/>
      </c>
      <c r="O34" s="12">
        <f>IF(COUNT(D34:K34)=0,"",ROUND(N34/8*100,1))</f>
        <v/>
      </c>
      <c r="P34" s="20">
        <f>IF(M34="","",IF(M34&gt;=Нэгтгэл!$K$4,"Хангалттай эзэмшиж байна",IF(M34&gt;=Нэгтгэл!$K$5,"Ахиж байна","Хөгжиж байна")))</f>
        <v/>
      </c>
    </row>
    <row r="35" ht="16" customHeight="1">
      <c r="A35" s="12" t="n">
        <v>29</v>
      </c>
      <c r="B35" s="12">
        <f>IF(Нэгтгэл!B35="","",Нэгтгэл!B35)</f>
        <v/>
      </c>
      <c r="C35" s="4" t="n"/>
      <c r="D35" s="13" t="n">
        <v>1</v>
      </c>
      <c r="E35" s="13" t="n">
        <v>1</v>
      </c>
      <c r="F35" s="13" t="n">
        <v>1</v>
      </c>
      <c r="G35" s="13" t="n">
        <v>0</v>
      </c>
      <c r="H35" s="13" t="n">
        <v>0</v>
      </c>
      <c r="I35" s="13" t="n">
        <v>1</v>
      </c>
      <c r="J35" s="13" t="n">
        <v>1</v>
      </c>
      <c r="K35" s="13" t="n">
        <v>1</v>
      </c>
      <c r="L35" s="12">
        <f>COUNTIF(D35:K35,1)</f>
        <v/>
      </c>
      <c r="M35" s="12">
        <f>IF(COUNT(D35:K35)=0,"",ROUND(L35/8*100,1))</f>
        <v/>
      </c>
      <c r="N35" s="12">
        <f>COUNTIF(D35:K35,0)</f>
        <v/>
      </c>
      <c r="O35" s="12">
        <f>IF(COUNT(D35:K35)=0,"",ROUND(N35/8*100,1))</f>
        <v/>
      </c>
      <c r="P35" s="20">
        <f>IF(M35="","",IF(M35&gt;=Нэгтгэл!$K$4,"Хангалттай эзэмшиж байна",IF(M35&gt;=Нэгтгэл!$K$5,"Ахиж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0</v>
      </c>
      <c r="I36" s="13" t="n">
        <v>1</v>
      </c>
      <c r="J36" s="13" t="n">
        <v>0</v>
      </c>
      <c r="K36" s="13" t="n">
        <v>1</v>
      </c>
      <c r="L36" s="12">
        <f>COUNTIF(D36:K36,1)</f>
        <v/>
      </c>
      <c r="M36" s="12">
        <f>IF(COUNT(D36:K36)=0,"",ROUND(L36/8*100,1))</f>
        <v/>
      </c>
      <c r="N36" s="12">
        <f>COUNTIF(D36:K36,0)</f>
        <v/>
      </c>
      <c r="O36" s="12">
        <f>IF(COUNT(D36:K36)=0,"",ROUND(N36/8*100,1))</f>
        <v/>
      </c>
      <c r="P36" s="20">
        <f>IF(M36="","",IF(M36&gt;=Нэгтгэл!$K$4,"Хангалттай эзэмшиж байна",IF(M36&gt;=Нэгтгэл!$K$5,"Ахиж байна","Хөгжиж байна")))</f>
        <v/>
      </c>
    </row>
    <row r="37" ht="16" customHeight="1">
      <c r="A37" s="12" t="n">
        <v>31</v>
      </c>
      <c r="B37" s="12">
        <f>IF(Нэгтгэл!B37="","",Нэгтгэл!B37)</f>
        <v/>
      </c>
      <c r="C37" s="4" t="n"/>
      <c r="D37" s="13" t="n">
        <v>1</v>
      </c>
      <c r="E37" s="13" t="n">
        <v>1</v>
      </c>
      <c r="F37" s="13" t="n">
        <v>1</v>
      </c>
      <c r="G37" s="13" t="n">
        <v>1</v>
      </c>
      <c r="H37" s="13" t="n">
        <v>1</v>
      </c>
      <c r="I37" s="13" t="n">
        <v>1</v>
      </c>
      <c r="J37" s="13" t="n">
        <v>1</v>
      </c>
      <c r="K37" s="13" t="n">
        <v>1</v>
      </c>
      <c r="L37" s="12">
        <f>COUNTIF(D37:K37,1)</f>
        <v/>
      </c>
      <c r="M37" s="12">
        <f>IF(COUNT(D37:K37)=0,"",ROUND(L37/8*100,1))</f>
        <v/>
      </c>
      <c r="N37" s="12">
        <f>COUNTIF(D37:K37,0)</f>
        <v/>
      </c>
      <c r="O37" s="12">
        <f>IF(COUNT(D37:K37)=0,"",ROUND(N37/8*100,1))</f>
        <v/>
      </c>
      <c r="P37" s="20">
        <f>IF(M37="","",IF(M37&gt;=Нэгтгэл!$K$4,"Хангалттай эзэмшиж байна",IF(M37&gt;=Нэгтгэл!$K$5,"Ахиж байна","Хөгжиж байна")))</f>
        <v/>
      </c>
    </row>
    <row r="38" ht="16" customHeight="1">
      <c r="A38" s="12" t="n">
        <v>32</v>
      </c>
      <c r="B38" s="12">
        <f>IF(Нэгтгэл!B38="","",Нэгтгэл!B38)</f>
        <v/>
      </c>
      <c r="C38" s="4" t="n"/>
      <c r="D38" s="13" t="n">
        <v>1</v>
      </c>
      <c r="E38" s="13" t="n">
        <v>0</v>
      </c>
      <c r="F38" s="13" t="n">
        <v>1</v>
      </c>
      <c r="G38" s="13" t="n">
        <v>1</v>
      </c>
      <c r="H38" s="13" t="n">
        <v>1</v>
      </c>
      <c r="I38" s="13" t="n">
        <v>1</v>
      </c>
      <c r="J38" s="13" t="n">
        <v>1</v>
      </c>
      <c r="K38" s="13" t="n">
        <v>1</v>
      </c>
      <c r="L38" s="12">
        <f>COUNTIF(D38:K38,1)</f>
        <v/>
      </c>
      <c r="M38" s="12">
        <f>IF(COUNT(D38:K38)=0,"",ROUND(L38/8*100,1))</f>
        <v/>
      </c>
      <c r="N38" s="12">
        <f>COUNTIF(D38:K38,0)</f>
        <v/>
      </c>
      <c r="O38" s="12">
        <f>IF(COUNT(D38:K38)=0,"",ROUND(N38/8*100,1))</f>
        <v/>
      </c>
      <c r="P38" s="20">
        <f>IF(M38="","",IF(M38&gt;=Нэгтгэл!$K$4,"Хангалттай эзэмшиж байна",IF(M38&gt;=Нэгтгэл!$K$5,"Ахиж байна","Хөгжиж байна")))</f>
        <v/>
      </c>
    </row>
    <row r="39" ht="16" customHeight="1">
      <c r="A39" s="12" t="n">
        <v>33</v>
      </c>
      <c r="B39" s="12">
        <f>IF(Нэгтгэл!B39="","",Нэгтгэл!B39)</f>
        <v/>
      </c>
      <c r="C39" s="4" t="n"/>
      <c r="D39" s="13" t="n">
        <v>0</v>
      </c>
      <c r="E39" s="13" t="n">
        <v>1</v>
      </c>
      <c r="F39" s="13" t="n">
        <v>1</v>
      </c>
      <c r="G39" s="13" t="n">
        <v>1</v>
      </c>
      <c r="H39" s="13" t="n">
        <v>1</v>
      </c>
      <c r="I39" s="13" t="n">
        <v>0</v>
      </c>
      <c r="J39" s="13" t="n">
        <v>0</v>
      </c>
      <c r="K39" s="13" t="n">
        <v>1</v>
      </c>
      <c r="L39" s="12">
        <f>COUNTIF(D39:K39,1)</f>
        <v/>
      </c>
      <c r="M39" s="12">
        <f>IF(COUNT(D39:K39)=0,"",ROUND(L39/8*100,1))</f>
        <v/>
      </c>
      <c r="N39" s="12">
        <f>COUNTIF(D39:K39,0)</f>
        <v/>
      </c>
      <c r="O39" s="12">
        <f>IF(COUNT(D39:K39)=0,"",ROUND(N39/8*100,1))</f>
        <v/>
      </c>
      <c r="P39" s="20">
        <f>IF(M39="","",IF(M39&gt;=Нэгтгэл!$K$4,"Хангалттай эзэмшиж байна",IF(M39&gt;=Нэгтгэл!$K$5,"Ахиж байна","Хөгжиж байна")))</f>
        <v/>
      </c>
    </row>
    <row r="40" ht="16" customHeight="1">
      <c r="A40" s="12" t="n">
        <v>34</v>
      </c>
      <c r="B40" s="12">
        <f>IF(Нэгтгэл!B40="","",Нэгтгэл!B40)</f>
        <v/>
      </c>
      <c r="C40" s="4" t="n"/>
      <c r="D40" s="13" t="n">
        <v>1</v>
      </c>
      <c r="E40" s="13" t="n">
        <v>0</v>
      </c>
      <c r="F40" s="13" t="n">
        <v>1</v>
      </c>
      <c r="G40" s="13" t="n">
        <v>0</v>
      </c>
      <c r="H40" s="13" t="n">
        <v>1</v>
      </c>
      <c r="I40" s="13" t="n">
        <v>1</v>
      </c>
      <c r="J40" s="13" t="n">
        <v>1</v>
      </c>
      <c r="K40" s="13" t="n">
        <v>1</v>
      </c>
      <c r="L40" s="12">
        <f>COUNTIF(D40:K40,1)</f>
        <v/>
      </c>
      <c r="M40" s="12">
        <f>IF(COUNT(D40:K40)=0,"",ROUND(L40/8*100,1))</f>
        <v/>
      </c>
      <c r="N40" s="12">
        <f>COUNTIF(D40:K40,0)</f>
        <v/>
      </c>
      <c r="O40" s="12">
        <f>IF(COUNT(D40:K40)=0,"",ROUND(N40/8*100,1))</f>
        <v/>
      </c>
      <c r="P40" s="20">
        <f>IF(M40="","",IF(M40&gt;=Нэгтгэл!$K$4,"Хангалттай эзэмшиж байна",IF(M40&gt;=Нэгтгэл!$K$5,"Ахиж байна","Хөгжиж байна")))</f>
        <v/>
      </c>
    </row>
    <row r="41" ht="16" customHeight="1">
      <c r="A41" s="12" t="n">
        <v>35</v>
      </c>
      <c r="B41" s="12">
        <f>IF(Нэгтгэл!B41="","",Нэгтгэл!B41)</f>
        <v/>
      </c>
      <c r="C41" s="4" t="n"/>
      <c r="D41" s="13" t="n">
        <v>1</v>
      </c>
      <c r="E41" s="13" t="n">
        <v>1</v>
      </c>
      <c r="F41" s="13" t="n">
        <v>1</v>
      </c>
      <c r="G41" s="13" t="n">
        <v>1</v>
      </c>
      <c r="H41" s="13" t="n">
        <v>1</v>
      </c>
      <c r="I41" s="13" t="n">
        <v>1</v>
      </c>
      <c r="J41" s="13" t="n">
        <v>1</v>
      </c>
      <c r="K41" s="13" t="n">
        <v>1</v>
      </c>
      <c r="L41" s="12">
        <f>COUNTIF(D41:K41,1)</f>
        <v/>
      </c>
      <c r="M41" s="12">
        <f>IF(COUNT(D41:K41)=0,"",ROUND(L41/8*100,1))</f>
        <v/>
      </c>
      <c r="N41" s="12">
        <f>COUNTIF(D41:K41,0)</f>
        <v/>
      </c>
      <c r="O41" s="12">
        <f>IF(COUNT(D41:K41)=0,"",ROUND(N41/8*100,1))</f>
        <v/>
      </c>
      <c r="P41" s="20">
        <f>IF(M41="","",IF(M41&gt;=Нэгтгэл!$K$4,"Хангалттай эзэмшиж байна",IF(M41&gt;=Нэгтгэл!$K$5,"Ахиж байна","Хөгжиж байна")))</f>
        <v/>
      </c>
    </row>
    <row r="42" ht="16" customHeight="1">
      <c r="A42" s="12" t="n">
        <v>36</v>
      </c>
      <c r="B42" s="12">
        <f>IF(Нэгтгэл!B42="","",Нэгтгэл!B42)</f>
        <v/>
      </c>
      <c r="C42" s="4" t="n"/>
      <c r="D42" s="13" t="n">
        <v>1</v>
      </c>
      <c r="E42" s="13" t="n">
        <v>0</v>
      </c>
      <c r="F42" s="13" t="n">
        <v>1</v>
      </c>
      <c r="G42" s="13" t="n">
        <v>1</v>
      </c>
      <c r="H42" s="13" t="n">
        <v>0</v>
      </c>
      <c r="I42" s="13" t="n">
        <v>1</v>
      </c>
      <c r="J42" s="13" t="n">
        <v>1</v>
      </c>
      <c r="K42" s="13" t="n">
        <v>1</v>
      </c>
      <c r="L42" s="12">
        <f>COUNTIF(D42:K42,1)</f>
        <v/>
      </c>
      <c r="M42" s="12">
        <f>IF(COUNT(D42:K42)=0,"",ROUND(L42/8*100,1))</f>
        <v/>
      </c>
      <c r="N42" s="12">
        <f>COUNTIF(D42:K42,0)</f>
        <v/>
      </c>
      <c r="O42" s="12">
        <f>IF(COUNT(D42:K42)=0,"",ROUND(N42/8*100,1))</f>
        <v/>
      </c>
      <c r="P42" s="20">
        <f>IF(M42="","",IF(M42&gt;=Нэгтгэл!$K$4,"Хангалттай эзэмшиж байна",IF(M42&gt;=Нэгтгэл!$K$5,"Ахиж байна","Хөгжиж байна")))</f>
        <v/>
      </c>
    </row>
    <row r="43" ht="16" customHeight="1">
      <c r="A43" s="12" t="n">
        <v>37</v>
      </c>
      <c r="B43" s="12">
        <f>IF(Нэгтгэл!B43="","",Нэгтгэл!B43)</f>
        <v/>
      </c>
      <c r="C43" s="4" t="n"/>
      <c r="D43" s="13" t="n">
        <v>1</v>
      </c>
      <c r="E43" s="13" t="n">
        <v>1</v>
      </c>
      <c r="F43" s="13" t="n">
        <v>1</v>
      </c>
      <c r="G43" s="13" t="n">
        <v>1</v>
      </c>
      <c r="H43" s="13" t="n">
        <v>1</v>
      </c>
      <c r="I43" s="13" t="n">
        <v>1</v>
      </c>
      <c r="J43" s="13" t="n">
        <v>1</v>
      </c>
      <c r="K43" s="13" t="n">
        <v>1</v>
      </c>
      <c r="L43" s="12">
        <f>COUNTIF(D43:K43,1)</f>
        <v/>
      </c>
      <c r="M43" s="12">
        <f>IF(COUNT(D43:K43)=0,"",ROUND(L43/8*100,1))</f>
        <v/>
      </c>
      <c r="N43" s="12">
        <f>COUNTIF(D43:K43,0)</f>
        <v/>
      </c>
      <c r="O43" s="12">
        <f>IF(COUNT(D43:K43)=0,"",ROUND(N43/8*100,1))</f>
        <v/>
      </c>
      <c r="P43" s="20">
        <f>IF(M43="","",IF(M43&gt;=Нэгтгэл!$K$4,"Хангалттай эзэмшиж байна",IF(M43&gt;=Нэгтгэл!$K$5,"Ахиж байна","Хөгжиж байна")))</f>
        <v/>
      </c>
    </row>
    <row r="44" ht="16" customHeight="1">
      <c r="A44" s="12" t="n">
        <v>38</v>
      </c>
      <c r="B44" s="12">
        <f>IF(Нэгтгэл!B44="","",Нэгтгэл!B44)</f>
        <v/>
      </c>
      <c r="C44" s="4" t="n"/>
      <c r="D44" s="13" t="n">
        <v>1</v>
      </c>
      <c r="E44" s="13" t="n">
        <v>0</v>
      </c>
      <c r="F44" s="13" t="n">
        <v>0</v>
      </c>
      <c r="G44" s="13" t="n">
        <v>1</v>
      </c>
      <c r="H44" s="13" t="n">
        <v>1</v>
      </c>
      <c r="I44" s="13" t="n">
        <v>1</v>
      </c>
      <c r="J44" s="13" t="n">
        <v>1</v>
      </c>
      <c r="K44" s="13" t="n">
        <v>1</v>
      </c>
      <c r="L44" s="12">
        <f>COUNTIF(D44:K44,1)</f>
        <v/>
      </c>
      <c r="M44" s="12">
        <f>IF(COUNT(D44:K44)=0,"",ROUND(L44/8*100,1))</f>
        <v/>
      </c>
      <c r="N44" s="12">
        <f>COUNTIF(D44:K44,0)</f>
        <v/>
      </c>
      <c r="O44" s="12">
        <f>IF(COUNT(D44:K44)=0,"",ROUND(N44/8*100,1))</f>
        <v/>
      </c>
      <c r="P44" s="20">
        <f>IF(M44="","",IF(M44&gt;=Нэгтгэл!$K$4,"Хангалттай эзэмшиж байна",IF(M44&gt;=Нэгтгэл!$K$5,"Ахиж байна","Хөгжиж байна")))</f>
        <v/>
      </c>
    </row>
    <row r="45" ht="16" customHeight="1">
      <c r="A45" s="12" t="n">
        <v>39</v>
      </c>
      <c r="B45" s="12">
        <f>IF(Нэгтгэл!B45="","",Нэгтгэл!B45)</f>
        <v/>
      </c>
      <c r="C45" s="4" t="n"/>
      <c r="D45" s="13" t="n">
        <v>1</v>
      </c>
      <c r="E45" s="13" t="n">
        <v>0</v>
      </c>
      <c r="F45" s="13" t="n">
        <v>1</v>
      </c>
      <c r="G45" s="13" t="n">
        <v>1</v>
      </c>
      <c r="H45" s="13" t="n">
        <v>1</v>
      </c>
      <c r="I45" s="13" t="n">
        <v>0</v>
      </c>
      <c r="J45" s="13" t="n">
        <v>1</v>
      </c>
      <c r="K45" s="13" t="n">
        <v>0</v>
      </c>
      <c r="L45" s="12">
        <f>COUNTIF(D45:K45,1)</f>
        <v/>
      </c>
      <c r="M45" s="12">
        <f>IF(COUNT(D45:K45)=0,"",ROUND(L45/8*100,1))</f>
        <v/>
      </c>
      <c r="N45" s="12">
        <f>COUNTIF(D45:K45,0)</f>
        <v/>
      </c>
      <c r="O45" s="12">
        <f>IF(COUNT(D45:K45)=0,"",ROUND(N45/8*100,1))</f>
        <v/>
      </c>
      <c r="P45" s="20">
        <f>IF(M45="","",IF(M45&gt;=Нэгтгэл!$K$4,"Хангалттай эзэмшиж байна",IF(M45&gt;=Нэгтгэл!$K$5,"Ахиж байна","Хөгжиж байна")))</f>
        <v/>
      </c>
    </row>
    <row r="46" ht="16" customHeight="1">
      <c r="A46" s="12" t="n">
        <v>40</v>
      </c>
      <c r="B46" s="12">
        <f>IF(Нэгтгэл!B46="","",Нэгтгэл!B46)</f>
        <v/>
      </c>
      <c r="C46" s="4" t="n"/>
      <c r="D46" s="13" t="n">
        <v>1</v>
      </c>
      <c r="E46" s="13" t="n">
        <v>1</v>
      </c>
      <c r="F46" s="13" t="n">
        <v>0</v>
      </c>
      <c r="G46" s="13" t="n">
        <v>0</v>
      </c>
      <c r="H46" s="13" t="n">
        <v>1</v>
      </c>
      <c r="I46" s="13" t="n">
        <v>1</v>
      </c>
      <c r="J46" s="13" t="n">
        <v>1</v>
      </c>
      <c r="K46" s="13" t="n">
        <v>1</v>
      </c>
      <c r="L46" s="12">
        <f>COUNTIF(D46:K46,1)</f>
        <v/>
      </c>
      <c r="M46" s="12">
        <f>IF(COUNT(D46:K46)=0,"",ROUND(L46/8*100,1))</f>
        <v/>
      </c>
      <c r="N46" s="12">
        <f>COUNTIF(D46:K46,0)</f>
        <v/>
      </c>
      <c r="O46" s="12">
        <f>IF(COUNT(D46:K46)=0,"",ROUND(N46/8*100,1))</f>
        <v/>
      </c>
      <c r="P46" s="20">
        <f>IF(M46="","",IF(M46&gt;=Нэгтгэл!$K$4,"Хангалттай эзэмшиж байна",IF(M46&gt;=Нэгтгэл!$K$5,"Ахиж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0</v>
      </c>
      <c r="I47" s="13" t="n">
        <v>0</v>
      </c>
      <c r="J47" s="13" t="n">
        <v>0</v>
      </c>
      <c r="K47" s="13" t="n">
        <v>1</v>
      </c>
      <c r="L47" s="12">
        <f>COUNTIF(D47:K47,1)</f>
        <v/>
      </c>
      <c r="M47" s="12">
        <f>IF(COUNT(D47:K47)=0,"",ROUND(L47/8*100,1))</f>
        <v/>
      </c>
      <c r="N47" s="12">
        <f>COUNTIF(D47:K47,0)</f>
        <v/>
      </c>
      <c r="O47" s="12">
        <f>IF(COUNT(D47:K47)=0,"",ROUND(N47/8*100,1))</f>
        <v/>
      </c>
      <c r="P47" s="20">
        <f>IF(M47="","",IF(M47&gt;=Нэгтгэл!$K$4,"Хангалттай эзэмшиж байна",IF(M47&gt;=Нэгтгэл!$K$5,"Ахиж байна","Хөгжиж байна")))</f>
        <v/>
      </c>
    </row>
    <row r="48" ht="16" customHeight="1">
      <c r="A48" s="12" t="n">
        <v>42</v>
      </c>
      <c r="B48" s="12">
        <f>IF(Нэгтгэл!B48="","",Нэгтгэл!B48)</f>
        <v/>
      </c>
      <c r="C48" s="4" t="n"/>
      <c r="D48" s="13" t="n">
        <v>1</v>
      </c>
      <c r="E48" s="13" t="n">
        <v>1</v>
      </c>
      <c r="F48" s="13" t="n">
        <v>1</v>
      </c>
      <c r="G48" s="13" t="n">
        <v>1</v>
      </c>
      <c r="H48" s="13" t="n">
        <v>1</v>
      </c>
      <c r="I48" s="13" t="n">
        <v>1</v>
      </c>
      <c r="J48" s="13" t="n">
        <v>1</v>
      </c>
      <c r="K48" s="13" t="n">
        <v>1</v>
      </c>
      <c r="L48" s="12">
        <f>COUNTIF(D48:K48,1)</f>
        <v/>
      </c>
      <c r="M48" s="12">
        <f>IF(COUNT(D48:K48)=0,"",ROUND(L48/8*100,1))</f>
        <v/>
      </c>
      <c r="N48" s="12">
        <f>COUNTIF(D48:K48,0)</f>
        <v/>
      </c>
      <c r="O48" s="12">
        <f>IF(COUNT(D48:K48)=0,"",ROUND(N48/8*100,1))</f>
        <v/>
      </c>
      <c r="P48" s="20">
        <f>IF(M48="","",IF(M48&gt;=Нэгтгэл!$K$4,"Хангалттай эзэмшиж байна",IF(M48&gt;=Нэгтгэл!$K$5,"Ахиж байна","Хөгжиж байна")))</f>
        <v/>
      </c>
    </row>
    <row r="49" ht="16" customHeight="1">
      <c r="A49" s="12" t="n">
        <v>43</v>
      </c>
      <c r="B49" s="12">
        <f>IF(Нэгтгэл!B49="","",Нэгтгэл!B49)</f>
        <v/>
      </c>
      <c r="C49" s="4" t="n"/>
      <c r="D49" s="13" t="n">
        <v>1</v>
      </c>
      <c r="E49" s="13" t="n">
        <v>1</v>
      </c>
      <c r="F49" s="13" t="n">
        <v>1</v>
      </c>
      <c r="G49" s="13" t="n">
        <v>1</v>
      </c>
      <c r="H49" s="13" t="n">
        <v>0</v>
      </c>
      <c r="I49" s="13" t="n">
        <v>1</v>
      </c>
      <c r="J49" s="13" t="n">
        <v>1</v>
      </c>
      <c r="K49" s="13" t="n">
        <v>0</v>
      </c>
      <c r="L49" s="12">
        <f>COUNTIF(D49:K49,1)</f>
        <v/>
      </c>
      <c r="M49" s="12">
        <f>IF(COUNT(D49:K49)=0,"",ROUND(L49/8*100,1))</f>
        <v/>
      </c>
      <c r="N49" s="12">
        <f>COUNTIF(D49:K49,0)</f>
        <v/>
      </c>
      <c r="O49" s="12">
        <f>IF(COUNT(D49:K49)=0,"",ROUND(N49/8*100,1))</f>
        <v/>
      </c>
      <c r="P49" s="20">
        <f>IF(M49="","",IF(M49&gt;=Нэгтгэл!$K$4,"Хангалттай эзэмшиж байна",IF(M49&gt;=Нэгтгэл!$K$5,"Ахиж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1</v>
      </c>
      <c r="I50" s="13" t="n">
        <v>1</v>
      </c>
      <c r="J50" s="13" t="n">
        <v>1</v>
      </c>
      <c r="K50" s="13" t="n">
        <v>0</v>
      </c>
      <c r="L50" s="12">
        <f>COUNTIF(D50:K50,1)</f>
        <v/>
      </c>
      <c r="M50" s="12">
        <f>IF(COUNT(D50:K50)=0,"",ROUND(L50/8*100,1))</f>
        <v/>
      </c>
      <c r="N50" s="12">
        <f>COUNTIF(D50:K50,0)</f>
        <v/>
      </c>
      <c r="O50" s="12">
        <f>IF(COUNT(D50:K50)=0,"",ROUND(N50/8*100,1))</f>
        <v/>
      </c>
      <c r="P50" s="20">
        <f>IF(M50="","",IF(M50&gt;=Нэгтгэл!$K$4,"Хангалттай эзэмшиж байна",IF(M50&gt;=Нэгтгэл!$K$5,"Ахиж байна","Хөгжиж байна")))</f>
        <v/>
      </c>
    </row>
    <row r="51" ht="16" customHeight="1">
      <c r="A51" s="12" t="n">
        <v>45</v>
      </c>
      <c r="B51" s="12">
        <f>IF(Нэгтгэл!B51="","",Нэгтгэл!B51)</f>
        <v/>
      </c>
      <c r="C51" s="4" t="n"/>
      <c r="D51" s="13" t="n">
        <v>1</v>
      </c>
      <c r="E51" s="13" t="n">
        <v>1</v>
      </c>
      <c r="F51" s="13" t="n">
        <v>0</v>
      </c>
      <c r="G51" s="13" t="n">
        <v>1</v>
      </c>
      <c r="H51" s="13" t="n">
        <v>0</v>
      </c>
      <c r="I51" s="13" t="n">
        <v>1</v>
      </c>
      <c r="J51" s="13" t="n">
        <v>1</v>
      </c>
      <c r="K51" s="13" t="n">
        <v>1</v>
      </c>
      <c r="L51" s="12">
        <f>COUNTIF(D51:K51,1)</f>
        <v/>
      </c>
      <c r="M51" s="12">
        <f>IF(COUNT(D51:K51)=0,"",ROUND(L51/8*100,1))</f>
        <v/>
      </c>
      <c r="N51" s="12">
        <f>COUNTIF(D51:K51,0)</f>
        <v/>
      </c>
      <c r="O51" s="12">
        <f>IF(COUNT(D51:K51)=0,"",ROUND(N51/8*100,1))</f>
        <v/>
      </c>
      <c r="P51" s="20">
        <f>IF(M51="","",IF(M51&gt;=Нэгтгэл!$K$4,"Хангалттай эзэмшиж байна",IF(M51&gt;=Нэгтгэл!$K$5,"Ахиж байна","Хөгжиж байна")))</f>
        <v/>
      </c>
    </row>
    <row r="52" ht="16" customHeight="1">
      <c r="A52" s="12" t="n">
        <v>46</v>
      </c>
      <c r="B52" s="12">
        <f>IF(Нэгтгэл!B52="","",Нэгтгэл!B52)</f>
        <v/>
      </c>
      <c r="C52" s="4" t="n"/>
      <c r="D52" s="13" t="n">
        <v>1</v>
      </c>
      <c r="E52" s="13" t="n">
        <v>1</v>
      </c>
      <c r="F52" s="13" t="n">
        <v>1</v>
      </c>
      <c r="G52" s="13" t="n">
        <v>1</v>
      </c>
      <c r="H52" s="13" t="n">
        <v>1</v>
      </c>
      <c r="I52" s="13" t="n">
        <v>1</v>
      </c>
      <c r="J52" s="13" t="n">
        <v>1</v>
      </c>
      <c r="K52" s="13" t="n">
        <v>1</v>
      </c>
      <c r="L52" s="12">
        <f>COUNTIF(D52:K52,1)</f>
        <v/>
      </c>
      <c r="M52" s="12">
        <f>IF(COUNT(D52:K52)=0,"",ROUND(L52/8*100,1))</f>
        <v/>
      </c>
      <c r="N52" s="12">
        <f>COUNTIF(D52:K52,0)</f>
        <v/>
      </c>
      <c r="O52" s="12">
        <f>IF(COUNT(D52:K52)=0,"",ROUND(N52/8*100,1))</f>
        <v/>
      </c>
      <c r="P52" s="20">
        <f>IF(M52="","",IF(M52&gt;=Нэгтгэл!$K$4,"Хангалттай эзэмшиж байна",IF(M52&gt;=Нэгтгэл!$K$5,"Ахиж байна","Хөгжиж байна")))</f>
        <v/>
      </c>
    </row>
    <row r="53" ht="16" customHeight="1">
      <c r="A53" s="12" t="n">
        <v>47</v>
      </c>
      <c r="B53" s="12">
        <f>IF(Нэгтгэл!B53="","",Нэгтгэл!B53)</f>
        <v/>
      </c>
      <c r="C53" s="4" t="n"/>
      <c r="D53" s="13" t="n">
        <v>1</v>
      </c>
      <c r="E53" s="13" t="n">
        <v>1</v>
      </c>
      <c r="F53" s="13" t="n">
        <v>1</v>
      </c>
      <c r="G53" s="13" t="n">
        <v>1</v>
      </c>
      <c r="H53" s="13" t="n">
        <v>0</v>
      </c>
      <c r="I53" s="13" t="n">
        <v>1</v>
      </c>
      <c r="J53" s="13" t="n">
        <v>0</v>
      </c>
      <c r="K53" s="13" t="n">
        <v>1</v>
      </c>
      <c r="L53" s="12">
        <f>COUNTIF(D53:K53,1)</f>
        <v/>
      </c>
      <c r="M53" s="12">
        <f>IF(COUNT(D53:K53)=0,"",ROUND(L53/8*100,1))</f>
        <v/>
      </c>
      <c r="N53" s="12">
        <f>COUNTIF(D53:K53,0)</f>
        <v/>
      </c>
      <c r="O53" s="12">
        <f>IF(COUNT(D53:K53)=0,"",ROUND(N53/8*100,1))</f>
        <v/>
      </c>
      <c r="P53" s="20">
        <f>IF(M53="","",IF(M53&gt;=Нэгтгэл!$K$4,"Хангалттай эзэмшиж байна",IF(M53&gt;=Нэгтгэл!$K$5,"Ахиж байна","Хөгжиж байна")))</f>
        <v/>
      </c>
    </row>
    <row r="54" ht="16" customHeight="1">
      <c r="A54" s="12" t="n">
        <v>48</v>
      </c>
      <c r="B54" s="12">
        <f>IF(Нэгтгэл!B54="","",Нэгтгэл!B54)</f>
        <v/>
      </c>
      <c r="C54" s="4" t="n"/>
      <c r="D54" s="13" t="n">
        <v>0</v>
      </c>
      <c r="E54" s="13" t="n">
        <v>0</v>
      </c>
      <c r="F54" s="13" t="n">
        <v>1</v>
      </c>
      <c r="G54" s="13" t="n">
        <v>1</v>
      </c>
      <c r="H54" s="13" t="n">
        <v>0</v>
      </c>
      <c r="I54" s="13" t="n">
        <v>1</v>
      </c>
      <c r="J54" s="13" t="n">
        <v>1</v>
      </c>
      <c r="K54" s="13" t="n">
        <v>1</v>
      </c>
      <c r="L54" s="12">
        <f>COUNTIF(D54:K54,1)</f>
        <v/>
      </c>
      <c r="M54" s="12">
        <f>IF(COUNT(D54:K54)=0,"",ROUND(L54/8*100,1))</f>
        <v/>
      </c>
      <c r="N54" s="12">
        <f>COUNTIF(D54:K54,0)</f>
        <v/>
      </c>
      <c r="O54" s="12">
        <f>IF(COUNT(D54:K54)=0,"",ROUND(N54/8*100,1))</f>
        <v/>
      </c>
      <c r="P54" s="20">
        <f>IF(M54="","",IF(M54&gt;=Нэгтгэл!$K$4,"Хангалттай эзэмшиж байна",IF(M54&gt;=Нэгтгэл!$K$5,"Ахиж байна","Хөгжиж байна")))</f>
        <v/>
      </c>
    </row>
    <row r="55" ht="16" customHeight="1">
      <c r="A55" s="12" t="n">
        <v>49</v>
      </c>
      <c r="B55" s="12">
        <f>IF(Нэгтгэл!B55="","",Нэгтгэл!B55)</f>
        <v/>
      </c>
      <c r="C55" s="4" t="n"/>
      <c r="D55" s="13" t="n">
        <v>1</v>
      </c>
      <c r="E55" s="13" t="n">
        <v>0</v>
      </c>
      <c r="F55" s="13" t="n">
        <v>0</v>
      </c>
      <c r="G55" s="13" t="n">
        <v>0</v>
      </c>
      <c r="H55" s="13" t="n">
        <v>0</v>
      </c>
      <c r="I55" s="13" t="n">
        <v>1</v>
      </c>
      <c r="J55" s="13" t="n">
        <v>1</v>
      </c>
      <c r="K55" s="13" t="n">
        <v>1</v>
      </c>
      <c r="L55" s="12">
        <f>COUNTIF(D55:K55,1)</f>
        <v/>
      </c>
      <c r="M55" s="12">
        <f>IF(COUNT(D55:K55)=0,"",ROUND(L55/8*100,1))</f>
        <v/>
      </c>
      <c r="N55" s="12">
        <f>COUNTIF(D55:K55,0)</f>
        <v/>
      </c>
      <c r="O55" s="12">
        <f>IF(COUNT(D55:K55)=0,"",ROUND(N55/8*100,1))</f>
        <v/>
      </c>
      <c r="P55" s="20">
        <f>IF(M55="","",IF(M55&gt;=Нэгтгэл!$K$4,"Хангалттай эзэмшиж байна",IF(M55&gt;=Нэгтгэл!$K$5,"Ахиж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21" t="inlineStr">
        <is>
          <t>Хангалттай эзэмшиж байна</t>
        </is>
      </c>
      <c r="M56" s="22" t="n"/>
      <c r="N56" s="22" t="n"/>
      <c r="O56" s="23" t="n"/>
      <c r="P56" s="5">
        <f>COUNTIF(P7:P55,"Хангалттай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21" t="inlineStr">
        <is>
          <t>Ахиж байна</t>
        </is>
      </c>
      <c r="M57" s="22" t="n"/>
      <c r="N57" s="22" t="n"/>
      <c r="O57" s="23" t="n"/>
      <c r="P57" s="5">
        <f>COUNTIF(P7:P55,"Ахиж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21" t="inlineStr">
        <is>
          <t>Хөгжиж байна</t>
        </is>
      </c>
      <c r="M58" s="22" t="n"/>
      <c r="N58" s="22" t="n"/>
      <c r="O58" s="23" t="n"/>
      <c r="P58" s="5">
        <f>COUNTIF(P7:P55,"Хөгжиж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15" t="n"/>
      <c r="M59" s="15" t="n"/>
      <c r="N59" s="15" t="n"/>
      <c r="O59" s="15" t="n"/>
      <c r="P59" s="15" t="n"/>
    </row>
  </sheetData>
  <mergeCells count="66">
    <mergeCell ref="B47:C47"/>
    <mergeCell ref="B16:C16"/>
    <mergeCell ref="B54:C54"/>
    <mergeCell ref="B7:C7"/>
    <mergeCell ref="B25:C25"/>
    <mergeCell ref="O3:O6"/>
    <mergeCell ref="L56:O56"/>
    <mergeCell ref="L3:L6"/>
    <mergeCell ref="B46:C46"/>
    <mergeCell ref="B22:C22"/>
    <mergeCell ref="A56:C56"/>
    <mergeCell ref="B31:C31"/>
    <mergeCell ref="B18:C18"/>
    <mergeCell ref="B27:C27"/>
    <mergeCell ref="A57:C57"/>
    <mergeCell ref="B43:C43"/>
    <mergeCell ref="B12:C12"/>
    <mergeCell ref="B39:C39"/>
    <mergeCell ref="B52:C52"/>
    <mergeCell ref="B21:C21"/>
    <mergeCell ref="B48:C48"/>
    <mergeCell ref="B11:C11"/>
    <mergeCell ref="N3:N6"/>
    <mergeCell ref="B42:C42"/>
    <mergeCell ref="B23:C23"/>
    <mergeCell ref="A3:A6"/>
    <mergeCell ref="B14:C14"/>
    <mergeCell ref="B17:C17"/>
    <mergeCell ref="B8:C8"/>
    <mergeCell ref="B53:C53"/>
    <mergeCell ref="B13:C13"/>
    <mergeCell ref="L57:O57"/>
    <mergeCell ref="B38:C38"/>
    <mergeCell ref="B44:C44"/>
    <mergeCell ref="B29:C29"/>
    <mergeCell ref="A1:P1"/>
    <mergeCell ref="B19:C19"/>
    <mergeCell ref="M3:M6"/>
    <mergeCell ref="B34:C34"/>
    <mergeCell ref="B10:C10"/>
    <mergeCell ref="B28:C28"/>
    <mergeCell ref="B37:C37"/>
    <mergeCell ref="A58:C58"/>
    <mergeCell ref="P3:P6"/>
    <mergeCell ref="B40:C40"/>
    <mergeCell ref="B9:C9"/>
    <mergeCell ref="A59:C59"/>
    <mergeCell ref="B49:C49"/>
    <mergeCell ref="B55:C55"/>
    <mergeCell ref="D3:K3"/>
    <mergeCell ref="B3:C6"/>
    <mergeCell ref="B24:C24"/>
    <mergeCell ref="B30:C30"/>
    <mergeCell ref="B15:C15"/>
    <mergeCell ref="B33:C33"/>
    <mergeCell ref="B51:C51"/>
    <mergeCell ref="B20:C20"/>
    <mergeCell ref="B45:C45"/>
    <mergeCell ref="B36:C36"/>
    <mergeCell ref="L58:O58"/>
    <mergeCell ref="B32:C32"/>
    <mergeCell ref="B50:C50"/>
    <mergeCell ref="B26:C26"/>
    <mergeCell ref="B41:C41"/>
    <mergeCell ref="B35:C35"/>
    <mergeCell ref="A2:P2"/>
  </mergeCells>
  <conditionalFormatting sqref="D7:K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3.xml><?xml version="1.0" encoding="utf-8"?>
<worksheet xmlns="http://schemas.openxmlformats.org/spreadsheetml/2006/main">
  <sheetPr>
    <outlinePr summaryBelow="1" summaryRight="1"/>
    <pageSetUpPr fitToPage="1"/>
  </sheetPr>
  <dimension ref="A1:AJ59"/>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7" customWidth="1" min="32" max="32"/>
    <col width="7" customWidth="1" min="33" max="33"/>
    <col width="8" customWidth="1" min="34" max="34"/>
    <col width="7" customWidth="1" min="35" max="35"/>
    <col width="14" customWidth="1" min="36" max="36"/>
  </cols>
  <sheetData>
    <row r="1">
      <c r="A1" s="1" t="inlineStr">
        <is>
          <t>................ ЦЭЦЭРЛЭГИЙН БЭЛТГЭЛ БҮЛГИЙН (5 НАС) ГАРААНЫ (ОНОШЛОХ) ҮНЭЛГЭЭ</t>
        </is>
      </c>
    </row>
    <row r="2">
      <c r="A2" s="18" t="inlineStr">
        <is>
          <t>Үнэлгээний хүрээ: Чадвар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Чадвар</t>
        </is>
      </c>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5" t="inlineStr">
        <is>
          <t>Чадна (1)</t>
        </is>
      </c>
      <c r="AG3" s="5" t="inlineStr">
        <is>
          <t>Хувь</t>
        </is>
      </c>
      <c r="AH3" s="5" t="inlineStr">
        <is>
          <t>Чадахгүй (0)</t>
        </is>
      </c>
      <c r="AI3" s="5" t="inlineStr">
        <is>
          <t>Хувь</t>
        </is>
      </c>
      <c r="AJ3" s="5" t="inlineStr">
        <is>
          <t>Түвшин</t>
        </is>
      </c>
    </row>
    <row r="4" ht="176" customHeight="1">
      <c r="A4" s="4" t="n"/>
      <c r="B4" s="4" t="n"/>
      <c r="C4" s="4" t="n"/>
      <c r="D4" s="6" t="inlineStr">
        <is>
          <t>Вандан сандал дээгүүр алхахдаа гарын хөдөлгөөн (гараа алдлах, өргөх гэх мэт)-ийг хослуулдаг.</t>
        </is>
      </c>
      <c r="E4" s="6" t="inlineStr">
        <is>
          <t>7-8 саадыг сүлжиж гүйдэг (10 метр зайд).</t>
        </is>
      </c>
      <c r="F4" s="6" t="inlineStr">
        <is>
          <t>Вандан сандал дээр элгээр гулсаж мөлхдөг.</t>
        </is>
      </c>
      <c r="G4" s="6" t="inlineStr">
        <is>
          <t>30 см өндөртэй тавцан дээрээс техникийн дагуу үсэрч буудаг.</t>
        </is>
      </c>
      <c r="H4" s="6" t="inlineStr">
        <is>
          <t>1.5-2 метр зайд байгаа хүүхдэд бөмбөгийг газарт ойлгож өгөх, газарт ойлгож өгсөн бөмбөгийг барьж авдаг.</t>
        </is>
      </c>
      <c r="I4" s="6" t="inlineStr">
        <is>
          <t>Сургалт, үйл ажиллагааны явцад тодорхой үйл, үйлдлийг хийж чадах, чадахгүй шалтгаанаа тайлбарладаг.</t>
        </is>
      </c>
      <c r="J4" s="6" t="inlineStr">
        <is>
          <t>Өөрийн хэрэгцээгээ илэрхийлдэг.</t>
        </is>
      </c>
      <c r="K4" s="6" t="inlineStr">
        <is>
          <t>Гэр бүлийн гишүүдээ танилцуулж, ажил хөдөлмөрт нь хэрхэн тусалдаг талаар тайлбарлан ярьдаг.</t>
        </is>
      </c>
      <c r="L4" s="6" t="inlineStr">
        <is>
          <t>Тайвшрахад туслах аргуудыг багшийн тусламжтай хэрэглэдэг.</t>
        </is>
      </c>
      <c r="M4" s="6" t="inlineStr">
        <is>
          <t>Нэрлэсэн үгийн эхэнд ба төгсгөлд орсон авиаг ялгадаг.</t>
        </is>
      </c>
      <c r="N4" s="6" t="inlineStr">
        <is>
          <t>Ном болон үлгэр, зохиол, болсон үйл явдлыг дэс дараатай тайлбарладаг.</t>
        </is>
      </c>
      <c r="O4" s="6" t="inlineStr">
        <is>
          <t>Үлгэр зохиолын төгсгөлийг өөрийн төсөөллөөр үргэлжлүүлэн зохиож ярьдаг.</t>
        </is>
      </c>
      <c r="P4" s="6" t="inlineStr">
        <is>
          <t>Өөрийн нэрийн дармал үсгийг дагуулж бичдэг.</t>
        </is>
      </c>
      <c r="Q4" s="6" t="inlineStr">
        <is>
          <t>Ном болон үлгэр, зохиол, болсон үйл явдлыг дэс дараатай тайлбарладаг.</t>
        </is>
      </c>
      <c r="R4" s="6" t="inlineStr">
        <is>
          <t>10 хүртэлх эд юмсыг оноож тоолдог.</t>
        </is>
      </c>
      <c r="S4" s="6" t="inlineStr">
        <is>
          <t>Өгөгдсөн тооноос 20 дотор нэгээр нэмэгдүүлж, хорогдуулж тоолдог.</t>
        </is>
      </c>
      <c r="T4" s="6" t="inlineStr">
        <is>
          <t>10 хүртэлх тооны дарааллаас орхигдсон 1-2 тоог олдог.</t>
        </is>
      </c>
      <c r="U4" s="6" t="inlineStr">
        <is>
          <t>Нэг юмсын байрлалаар нөгөө юмсын байрлалыг тодорхойлдог.</t>
        </is>
      </c>
      <c r="V4" s="6" t="inlineStr">
        <is>
          <t>Юмсын хэмжээ (урт, хүнд, багтаамж)-гээр нь таамаглан харьцуулдаг.</t>
        </is>
      </c>
      <c r="W4" s="6" t="inlineStr">
        <is>
          <t>Юмсыг шинж чанараар нь бүлэглэн учрыг тайлбарладаг.</t>
        </is>
      </c>
      <c r="X4" s="6" t="inlineStr">
        <is>
          <t>Сэдвийн хүрээнд үйл явдал (байгалийн үзэгдэл, үлгэр гэх мэт)-ыг бүтээлчээр зохиомжлон зурдаг.</t>
        </is>
      </c>
      <c r="Y4" s="6" t="inlineStr">
        <is>
          <t>Баримлын шавар, байгалийн материал зэргээр сэдэвт баримал барьдаг.</t>
        </is>
      </c>
      <c r="Z4" s="6" t="inlineStr">
        <is>
          <t>Өгөгдсөн сэдвийн хүрээнд наамал хийдэг.</t>
        </is>
      </c>
      <c r="AA4" s="6" t="inlineStr">
        <is>
          <t>Эд зүйлсээр юмсыг зохиомжлон бүтээж, дүрслэлийг баяжуулдаг.</t>
        </is>
      </c>
      <c r="AB4" s="6" t="inlineStr">
        <is>
          <t>Хөгжмийн энгийн зэмсгийг дуугаралтаар нь ялгаж нэрлэдэг</t>
        </is>
      </c>
      <c r="AC4" s="6" t="inlineStr">
        <is>
          <t>Гарын дохионы дагуу дууны өндөрлөг, хурдыг зохицуулан дуулдаг.</t>
        </is>
      </c>
      <c r="AD4" s="6" t="inlineStr">
        <is>
          <t>Хөгжмийн энгийн зэмсгээр аялгууны хэмнэлд нийцүүлэн хөгжимддөг.</t>
        </is>
      </c>
      <c r="AE4" s="6" t="inlineStr">
        <is>
          <t>Хөгжмийн аялгуунд нийцсэн хөдөлгөөн хийдэг.</t>
        </is>
      </c>
      <c r="AF4" s="4" t="n"/>
      <c r="AG4" s="4" t="n"/>
      <c r="AH4" s="4" t="n"/>
      <c r="AI4" s="4" t="n"/>
      <c r="AJ4" s="4" t="n"/>
    </row>
    <row r="5" ht="272" customHeight="1">
      <c r="A5" s="4" t="n"/>
      <c r="B5" s="4" t="n"/>
      <c r="C5" s="4" t="n"/>
      <c r="D5" s="19" t="inlineStr">
        <is>
          <t>СҮД: ХЭМ4.1в. Гараа алдлан нэг хөлөө арагш шулуун өргөн тэнцвэр хадгалан (хараацай) зогсоно.</t>
        </is>
      </c>
      <c r="E5" s="19" t="inlineStr">
        <is>
          <t>СҮД: ХЭМ4.1г. Алхалт, гүйлтийг хөгжмийн хэмнэлд тохируулан чиглэл, хурдаа өөрчилж гүйцэтгэнэ.</t>
        </is>
      </c>
      <c r="F5" s="19" t="inlineStr">
        <is>
          <t>СҮД: ХЭМ4.1е. Мөлхөлтийн төрлүүдийг (туулай мөлхөлт, элгээр гулсаж мөлхөх, нуруугаар гулсаж мөлхөх) хэрэглэл ашиглан гүйцэтгэнэ.</t>
        </is>
      </c>
      <c r="G5" s="19" t="inlineStr">
        <is>
          <t>СҮД: ХЭМ4.1к. 30 см өндөртэй тавцан дээрээс үсэрч бууна.</t>
        </is>
      </c>
      <c r="H5" s="19" t="inlineStr">
        <is>
          <t>СҮД: ХЭМ4.1м. Бөмбөгийг хана руу шиднэ, барьж авна.</t>
        </is>
      </c>
      <c r="I5" s="19" t="inlineStr">
        <is>
          <t>СҮД: НСХ4.1б. Өөрийн дуртай дургүй, чадах чадахгүй зүйлсийг тайлбарлаж сонголт хийдэг болно.</t>
        </is>
      </c>
      <c r="J5" s="19" t="inlineStr">
        <is>
          <t>СҮД: НСХ4.1б. Өөрийн дуртай дургүй, чадах чадахгүй зүйлсийг тайлбарлаж сонголт хийдэг болно.</t>
        </is>
      </c>
      <c r="K5" s="19" t="inlineStr">
        <is>
          <t>СҮД: БНО4.2б. Өөрийн болон бусдын гэр бүлийг хүндэтгэн ойлгож, ажил хөдөлмөрт нь туслан оролцоно.</t>
        </is>
      </c>
      <c r="L5" s="19" t="inlineStr">
        <is>
          <t>СҮД: НСХ4.1в. Тайвшрах аргаас насанд хүрэгчийн тусламжтай хэрэглэдэг болно.</t>
        </is>
      </c>
      <c r="M5" s="19" t="inlineStr">
        <is>
          <t>СҮД: ХЯ4.1б. Үгийн эхэнд болон төгсгөлд орсон авиаг сонсоод ялгаж хэлнэ.</t>
        </is>
      </c>
      <c r="N5" s="19" t="inlineStr">
        <is>
          <t>СҮД: ХЯ4.3а. Номын агуулга, үйл явдлыг тайлбарлан ярина.</t>
        </is>
      </c>
      <c r="O5" s="19" t="inlineStr">
        <is>
          <t>СҮД: ХЯ4.2д. Үйл явдлыг төсөөлж, зохиож ярина.</t>
        </is>
      </c>
      <c r="P5" s="19" t="inlineStr">
        <is>
          <t>СҮД: ХЯ4.3в. Дармал үсгийг дагуулж бичнэ.</t>
        </is>
      </c>
      <c r="Q5" s="19" t="inlineStr">
        <is>
          <t>СҮД: ХЯ4.2г. Үзсэн, оролцсон, болсон үйл явдлыг нийлмэл өгүүлбэрээр ярина.</t>
        </is>
      </c>
      <c r="R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S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T5" s="19" t="inlineStr">
        <is>
          <t>СҮД: МАТ4.1б. Тоглоом, дүрсүүдээр зүй тогтол үүсгэн тайлбарлана. 10 хүртэлх тооны дарааллаас орхигдсон тоог тодорхойлно.</t>
        </is>
      </c>
      <c r="U5" s="19" t="inlineStr">
        <is>
          <t>СҮД: МАТ4.3в. Чиглэл, байршлыг ялгаж хэрэглэнэ. (баруун, зүүн, баруун тийш, зүүн тийш)</t>
        </is>
      </c>
      <c r="V5" s="19" t="inlineStr">
        <is>
          <t>СҮД: МАТ4.2а. Юмсын урт, хүнд, багтаамжийг таамаглаад, харьцуулж, тайлбарлана.</t>
        </is>
      </c>
      <c r="W5" s="19" t="inlineStr">
        <is>
          <t>СҮД: МАТ4.3а. Тоглоом юмсын ижил ялгаатай шинжийг нэрлэж, ангилж, тайлбарлана.</t>
        </is>
      </c>
      <c r="X5" s="19" t="inlineStr">
        <is>
          <t>СҮД: ЗУ4.2а. Сэдвийн хүрээнд хүрээлэн буй орчин, хүн, амьтан, эд юмсыг зохиомжлон зурна.</t>
        </is>
      </c>
      <c r="Y5" s="19" t="inlineStr">
        <is>
          <t>СҮД: ЗУ4.2г. Баримлын шаврыг байгалийн материалтай хослуулж сэдэвт баримал барина.</t>
        </is>
      </c>
      <c r="Z5" s="19" t="inlineStr">
        <is>
          <t>СҮД: ЗУ4.2д. Сэдвийн хүрээнд өөрийн бодол төсөөллөөр наамлын бүтээл урлана.</t>
        </is>
      </c>
      <c r="AA5" s="19" t="inlineStr">
        <is>
          <t>СҮД: ЗУ4.2е. Тоглоом болон байгалийн материал, дахин ашиглах материалаас сонгож шинэ загвар бүтээнэ.</t>
        </is>
      </c>
      <c r="AB5" s="19" t="inlineStr">
        <is>
          <t>СҮД: ХӨГ4.1а. Хөгжмийн энгийн зэмсгийг дуугаралтаар ялгаж, өнгө аясыг тодорхойлно.</t>
        </is>
      </c>
      <c r="AC5" s="19" t="inlineStr">
        <is>
          <t>СҮД: ХӨГ4.1б. Дуу, аялгууг гарын дохиогоор дуулж, аялна.</t>
        </is>
      </c>
      <c r="AD5" s="19" t="inlineStr">
        <is>
          <t>СҮД: ХӨГ4.1в. Дуу, аялгууны хэмнэлийг хөгжмийн энгийн зэмсгээр хамтран хөгжимдөнө.</t>
        </is>
      </c>
      <c r="AE5" s="19" t="inlineStr">
        <is>
          <t>СҮД: ХӨГ4.1г. Хэмнэл, хурд, өнгө аясад тохируулан хөдөлгөөнөө хийнэ.</t>
        </is>
      </c>
      <c r="AF5" s="4" t="n"/>
      <c r="AG5" s="4" t="n"/>
      <c r="AH5" s="4" t="n"/>
      <c r="AI5" s="4" t="n"/>
      <c r="AJ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10" t="inlineStr">
        <is>
          <t>1 / 0</t>
        </is>
      </c>
      <c r="W6" s="10" t="inlineStr">
        <is>
          <t>1 / 0</t>
        </is>
      </c>
      <c r="X6" s="10" t="inlineStr">
        <is>
          <t>1 / 0</t>
        </is>
      </c>
      <c r="Y6" s="10" t="inlineStr">
        <is>
          <t>1 / 0</t>
        </is>
      </c>
      <c r="Z6" s="10" t="inlineStr">
        <is>
          <t>1 / 0</t>
        </is>
      </c>
      <c r="AA6" s="10" t="inlineStr">
        <is>
          <t>1 / 0</t>
        </is>
      </c>
      <c r="AB6" s="10" t="inlineStr">
        <is>
          <t>1 / 0</t>
        </is>
      </c>
      <c r="AC6" s="10" t="inlineStr">
        <is>
          <t>1 / 0</t>
        </is>
      </c>
      <c r="AD6" s="10" t="inlineStr">
        <is>
          <t>1 / 0</t>
        </is>
      </c>
      <c r="AE6" s="10" t="inlineStr">
        <is>
          <t>1 / 0</t>
        </is>
      </c>
      <c r="AF6" s="4" t="n"/>
      <c r="AG6" s="4" t="n"/>
      <c r="AH6" s="4" t="n"/>
      <c r="AI6" s="4" t="n"/>
      <c r="AJ6" s="4" t="n"/>
    </row>
    <row r="7" ht="16" customHeight="1">
      <c r="A7" s="12" t="n">
        <v>1</v>
      </c>
      <c r="B7" s="12">
        <f>IF(Нэгтгэл!B7="","",Нэгтгэл!B7)</f>
        <v/>
      </c>
      <c r="C7" s="4" t="n"/>
      <c r="D7" s="13" t="n">
        <v>1</v>
      </c>
      <c r="E7" s="13" t="n">
        <v>1</v>
      </c>
      <c r="F7" s="13" t="n">
        <v>1</v>
      </c>
      <c r="G7" s="13" t="n">
        <v>1</v>
      </c>
      <c r="H7" s="13" t="n">
        <v>1</v>
      </c>
      <c r="I7" s="13" t="n">
        <v>1</v>
      </c>
      <c r="J7" s="13" t="n">
        <v>1</v>
      </c>
      <c r="K7" s="13" t="n">
        <v>0</v>
      </c>
      <c r="L7" s="13" t="n">
        <v>0</v>
      </c>
      <c r="M7" s="13" t="n">
        <v>1</v>
      </c>
      <c r="N7" s="13" t="n">
        <v>1</v>
      </c>
      <c r="O7" s="13" t="n">
        <v>1</v>
      </c>
      <c r="P7" s="13" t="n">
        <v>1</v>
      </c>
      <c r="Q7" s="13" t="n">
        <v>1</v>
      </c>
      <c r="R7" s="13" t="n">
        <v>1</v>
      </c>
      <c r="S7" s="13" t="n">
        <v>1</v>
      </c>
      <c r="T7" s="13" t="n">
        <v>0</v>
      </c>
      <c r="U7" s="13" t="n">
        <v>0</v>
      </c>
      <c r="V7" s="13" t="n">
        <v>1</v>
      </c>
      <c r="W7" s="13" t="n">
        <v>0</v>
      </c>
      <c r="X7" s="13" t="n">
        <v>1</v>
      </c>
      <c r="Y7" s="13" t="n">
        <v>1</v>
      </c>
      <c r="Z7" s="13" t="n">
        <v>1</v>
      </c>
      <c r="AA7" s="13" t="n">
        <v>0</v>
      </c>
      <c r="AB7" s="13" t="n">
        <v>1</v>
      </c>
      <c r="AC7" s="13" t="n">
        <v>1</v>
      </c>
      <c r="AD7" s="13" t="n">
        <v>1</v>
      </c>
      <c r="AE7" s="13" t="n">
        <v>1</v>
      </c>
      <c r="AF7" s="12">
        <f>COUNTIF(D7:AE7,1)</f>
        <v/>
      </c>
      <c r="AG7" s="12">
        <f>IF(COUNT(D7:AE7)=0,"",ROUND(AF7/28*100,1))</f>
        <v/>
      </c>
      <c r="AH7" s="12">
        <f>COUNTIF(D7:AE7,0)</f>
        <v/>
      </c>
      <c r="AI7" s="12">
        <f>IF(COUNT(D7:AE7)=0,"",ROUND(AH7/28*100,1))</f>
        <v/>
      </c>
      <c r="AJ7" s="20">
        <f>IF(AG7="","",IF(AG7&gt;=Нэгтгэл!$K$4,"Хангалттай эзэмшиж байна",IF(AG7&gt;=Нэгтгэл!$K$5,"Ахиж байна","Хөгжиж байна")))</f>
        <v/>
      </c>
    </row>
    <row r="8" ht="16" customHeight="1">
      <c r="A8" s="12" t="n">
        <v>2</v>
      </c>
      <c r="B8" s="12">
        <f>IF(Нэгтгэл!B8="","",Нэгтгэл!B8)</f>
        <v/>
      </c>
      <c r="C8" s="4" t="n"/>
      <c r="D8" s="13" t="n">
        <v>1</v>
      </c>
      <c r="E8" s="13" t="n">
        <v>1</v>
      </c>
      <c r="F8" s="13" t="n">
        <v>1</v>
      </c>
      <c r="G8" s="13" t="n">
        <v>1</v>
      </c>
      <c r="H8" s="13" t="n">
        <v>1</v>
      </c>
      <c r="I8" s="13" t="n">
        <v>1</v>
      </c>
      <c r="J8" s="13" t="n">
        <v>1</v>
      </c>
      <c r="K8" s="13" t="n">
        <v>0</v>
      </c>
      <c r="L8" s="13" t="n">
        <v>1</v>
      </c>
      <c r="M8" s="13" t="n">
        <v>1</v>
      </c>
      <c r="N8" s="13" t="n">
        <v>1</v>
      </c>
      <c r="O8" s="13" t="n">
        <v>0</v>
      </c>
      <c r="P8" s="13" t="n">
        <v>1</v>
      </c>
      <c r="Q8" s="13" t="n">
        <v>1</v>
      </c>
      <c r="R8" s="13" t="n">
        <v>0</v>
      </c>
      <c r="S8" s="13" t="n">
        <v>1</v>
      </c>
      <c r="T8" s="13" t="n">
        <v>1</v>
      </c>
      <c r="U8" s="13" t="n">
        <v>1</v>
      </c>
      <c r="V8" s="13" t="n">
        <v>1</v>
      </c>
      <c r="W8" s="13" t="n">
        <v>1</v>
      </c>
      <c r="X8" s="13" t="n">
        <v>1</v>
      </c>
      <c r="Y8" s="13" t="n">
        <v>1</v>
      </c>
      <c r="Z8" s="13" t="n">
        <v>1</v>
      </c>
      <c r="AA8" s="13" t="n">
        <v>0</v>
      </c>
      <c r="AB8" s="13" t="n">
        <v>0</v>
      </c>
      <c r="AC8" s="13" t="n">
        <v>1</v>
      </c>
      <c r="AD8" s="13" t="n">
        <v>1</v>
      </c>
      <c r="AE8" s="13" t="n">
        <v>0</v>
      </c>
      <c r="AF8" s="12">
        <f>COUNTIF(D8:AE8,1)</f>
        <v/>
      </c>
      <c r="AG8" s="12">
        <f>IF(COUNT(D8:AE8)=0,"",ROUND(AF8/28*100,1))</f>
        <v/>
      </c>
      <c r="AH8" s="12">
        <f>COUNTIF(D8:AE8,0)</f>
        <v/>
      </c>
      <c r="AI8" s="12">
        <f>IF(COUNT(D8:AE8)=0,"",ROUND(AH8/28*100,1))</f>
        <v/>
      </c>
      <c r="AJ8" s="20">
        <f>IF(AG8="","",IF(AG8&gt;=Нэгтгэл!$K$4,"Хангалттай эзэмшиж байна",IF(AG8&gt;=Нэгтгэл!$K$5,"Ахиж байна","Хөгжиж байна")))</f>
        <v/>
      </c>
    </row>
    <row r="9" ht="16" customHeight="1">
      <c r="A9" s="12" t="n">
        <v>3</v>
      </c>
      <c r="B9" s="12">
        <f>IF(Нэгтгэл!B9="","",Нэгтгэл!B9)</f>
        <v/>
      </c>
      <c r="C9" s="4" t="n"/>
      <c r="D9" s="13" t="n">
        <v>1</v>
      </c>
      <c r="E9" s="13" t="n">
        <v>0</v>
      </c>
      <c r="F9" s="13" t="n">
        <v>0</v>
      </c>
      <c r="G9" s="13" t="n">
        <v>1</v>
      </c>
      <c r="H9" s="13" t="n">
        <v>1</v>
      </c>
      <c r="I9" s="13" t="n">
        <v>0</v>
      </c>
      <c r="J9" s="13" t="n">
        <v>1</v>
      </c>
      <c r="K9" s="13" t="n">
        <v>1</v>
      </c>
      <c r="L9" s="13" t="n">
        <v>1</v>
      </c>
      <c r="M9" s="13" t="n">
        <v>0</v>
      </c>
      <c r="N9" s="13" t="n">
        <v>1</v>
      </c>
      <c r="O9" s="13" t="n">
        <v>1</v>
      </c>
      <c r="P9" s="13" t="n">
        <v>1</v>
      </c>
      <c r="Q9" s="13" t="n">
        <v>1</v>
      </c>
      <c r="R9" s="13" t="n">
        <v>0</v>
      </c>
      <c r="S9" s="13" t="n">
        <v>1</v>
      </c>
      <c r="T9" s="13" t="n">
        <v>0</v>
      </c>
      <c r="U9" s="13" t="n">
        <v>1</v>
      </c>
      <c r="V9" s="13" t="n">
        <v>1</v>
      </c>
      <c r="W9" s="13" t="n">
        <v>0</v>
      </c>
      <c r="X9" s="13" t="n">
        <v>1</v>
      </c>
      <c r="Y9" s="13" t="n">
        <v>0</v>
      </c>
      <c r="Z9" s="13" t="n">
        <v>1</v>
      </c>
      <c r="AA9" s="13" t="n">
        <v>1</v>
      </c>
      <c r="AB9" s="13" t="n">
        <v>1</v>
      </c>
      <c r="AC9" s="13" t="n">
        <v>1</v>
      </c>
      <c r="AD9" s="13" t="n">
        <v>1</v>
      </c>
      <c r="AE9" s="13" t="n">
        <v>0</v>
      </c>
      <c r="AF9" s="12">
        <f>COUNTIF(D9:AE9,1)</f>
        <v/>
      </c>
      <c r="AG9" s="12">
        <f>IF(COUNT(D9:AE9)=0,"",ROUND(AF9/28*100,1))</f>
        <v/>
      </c>
      <c r="AH9" s="12">
        <f>COUNTIF(D9:AE9,0)</f>
        <v/>
      </c>
      <c r="AI9" s="12">
        <f>IF(COUNT(D9:AE9)=0,"",ROUND(AH9/28*100,1))</f>
        <v/>
      </c>
      <c r="AJ9" s="20">
        <f>IF(AG9="","",IF(AG9&gt;=Нэгтгэл!$K$4,"Хангалттай эзэмшиж байна",IF(AG9&gt;=Нэгтгэл!$K$5,"Ахиж байна","Хөгжиж байна")))</f>
        <v/>
      </c>
    </row>
    <row r="10" ht="16" customHeight="1">
      <c r="A10" s="12" t="n">
        <v>4</v>
      </c>
      <c r="B10" s="12">
        <f>IF(Нэгтгэл!B10="","",Нэгтгэл!B10)</f>
        <v/>
      </c>
      <c r="C10" s="4" t="n"/>
      <c r="D10" s="13" t="n">
        <v>0</v>
      </c>
      <c r="E10" s="13" t="n">
        <v>1</v>
      </c>
      <c r="F10" s="13" t="n">
        <v>0</v>
      </c>
      <c r="G10" s="13" t="n">
        <v>1</v>
      </c>
      <c r="H10" s="13" t="n">
        <v>1</v>
      </c>
      <c r="I10" s="13" t="n">
        <v>1</v>
      </c>
      <c r="J10" s="13" t="n">
        <v>1</v>
      </c>
      <c r="K10" s="13" t="n">
        <v>1</v>
      </c>
      <c r="L10" s="13" t="n">
        <v>1</v>
      </c>
      <c r="M10" s="13" t="n">
        <v>1</v>
      </c>
      <c r="N10" s="13" t="n">
        <v>1</v>
      </c>
      <c r="O10" s="13" t="n">
        <v>0</v>
      </c>
      <c r="P10" s="13" t="n">
        <v>0</v>
      </c>
      <c r="Q10" s="13" t="n">
        <v>0</v>
      </c>
      <c r="R10" s="13" t="n">
        <v>1</v>
      </c>
      <c r="S10" s="13" t="n">
        <v>1</v>
      </c>
      <c r="T10" s="13" t="n">
        <v>0</v>
      </c>
      <c r="U10" s="13" t="n">
        <v>1</v>
      </c>
      <c r="V10" s="13" t="n">
        <v>1</v>
      </c>
      <c r="W10" s="13" t="n">
        <v>0</v>
      </c>
      <c r="X10" s="13" t="n">
        <v>0</v>
      </c>
      <c r="Y10" s="13" t="n">
        <v>1</v>
      </c>
      <c r="Z10" s="13" t="n">
        <v>0</v>
      </c>
      <c r="AA10" s="13" t="n">
        <v>1</v>
      </c>
      <c r="AB10" s="13" t="n">
        <v>1</v>
      </c>
      <c r="AC10" s="13" t="n">
        <v>1</v>
      </c>
      <c r="AD10" s="13" t="n">
        <v>1</v>
      </c>
      <c r="AE10" s="13" t="n">
        <v>1</v>
      </c>
      <c r="AF10" s="12">
        <f>COUNTIF(D10:AE10,1)</f>
        <v/>
      </c>
      <c r="AG10" s="12">
        <f>IF(COUNT(D10:AE10)=0,"",ROUND(AF10/28*100,1))</f>
        <v/>
      </c>
      <c r="AH10" s="12">
        <f>COUNTIF(D10:AE10,0)</f>
        <v/>
      </c>
      <c r="AI10" s="12">
        <f>IF(COUNT(D10:AE10)=0,"",ROUND(AH10/28*100,1))</f>
        <v/>
      </c>
      <c r="AJ10" s="20">
        <f>IF(AG10="","",IF(AG10&gt;=Нэгтгэл!$K$4,"Хангалттай эзэмшиж байна",IF(AG10&gt;=Нэгтгэл!$K$5,"Ахиж байна","Хөгжиж байна")))</f>
        <v/>
      </c>
    </row>
    <row r="11" ht="16" customHeight="1">
      <c r="A11" s="12" t="n">
        <v>5</v>
      </c>
      <c r="B11" s="12">
        <f>IF(Нэгтгэл!B11="","",Нэгтгэл!B11)</f>
        <v/>
      </c>
      <c r="C11" s="4" t="n"/>
      <c r="D11" s="13" t="n">
        <v>1</v>
      </c>
      <c r="E11" s="13" t="n">
        <v>0</v>
      </c>
      <c r="F11" s="13" t="n">
        <v>1</v>
      </c>
      <c r="G11" s="13" t="n">
        <v>1</v>
      </c>
      <c r="H11" s="13" t="n">
        <v>0</v>
      </c>
      <c r="I11" s="13" t="n">
        <v>1</v>
      </c>
      <c r="J11" s="13" t="n">
        <v>0</v>
      </c>
      <c r="K11" s="13" t="n">
        <v>0</v>
      </c>
      <c r="L11" s="13" t="n">
        <v>1</v>
      </c>
      <c r="M11" s="13" t="n">
        <v>1</v>
      </c>
      <c r="N11" s="13" t="n">
        <v>1</v>
      </c>
      <c r="O11" s="13" t="n">
        <v>1</v>
      </c>
      <c r="P11" s="13" t="n">
        <v>1</v>
      </c>
      <c r="Q11" s="13" t="n">
        <v>1</v>
      </c>
      <c r="R11" s="13" t="n">
        <v>0</v>
      </c>
      <c r="S11" s="13" t="n">
        <v>1</v>
      </c>
      <c r="T11" s="13" t="n">
        <v>0</v>
      </c>
      <c r="U11" s="13" t="n">
        <v>0</v>
      </c>
      <c r="V11" s="13" t="n">
        <v>1</v>
      </c>
      <c r="W11" s="13" t="n">
        <v>1</v>
      </c>
      <c r="X11" s="13" t="n">
        <v>1</v>
      </c>
      <c r="Y11" s="13" t="n">
        <v>1</v>
      </c>
      <c r="Z11" s="13" t="n">
        <v>1</v>
      </c>
      <c r="AA11" s="13" t="n">
        <v>1</v>
      </c>
      <c r="AB11" s="13" t="n">
        <v>1</v>
      </c>
      <c r="AC11" s="13" t="n">
        <v>0</v>
      </c>
      <c r="AD11" s="13" t="n">
        <v>1</v>
      </c>
      <c r="AE11" s="13" t="n">
        <v>1</v>
      </c>
      <c r="AF11" s="12">
        <f>COUNTIF(D11:AE11,1)</f>
        <v/>
      </c>
      <c r="AG11" s="12">
        <f>IF(COUNT(D11:AE11)=0,"",ROUND(AF11/28*100,1))</f>
        <v/>
      </c>
      <c r="AH11" s="12">
        <f>COUNTIF(D11:AE11,0)</f>
        <v/>
      </c>
      <c r="AI11" s="12">
        <f>IF(COUNT(D11:AE11)=0,"",ROUND(AH11/28*100,1))</f>
        <v/>
      </c>
      <c r="AJ11" s="20">
        <f>IF(AG11="","",IF(AG11&gt;=Нэгтгэл!$K$4,"Хангалттай эзэмшиж байна",IF(AG11&gt;=Нэгтгэл!$K$5,"Ахиж байна","Хөгжиж байна")))</f>
        <v/>
      </c>
    </row>
    <row r="12" ht="16" customHeight="1">
      <c r="A12" s="12" t="n">
        <v>6</v>
      </c>
      <c r="B12" s="12">
        <f>IF(Нэгтгэл!B12="","",Нэгтгэл!B12)</f>
        <v/>
      </c>
      <c r="C12" s="4" t="n"/>
      <c r="D12" s="13" t="n">
        <v>0</v>
      </c>
      <c r="E12" s="13" t="n">
        <v>1</v>
      </c>
      <c r="F12" s="13" t="n">
        <v>0</v>
      </c>
      <c r="G12" s="13" t="n">
        <v>1</v>
      </c>
      <c r="H12" s="13" t="n">
        <v>1</v>
      </c>
      <c r="I12" s="13" t="n">
        <v>1</v>
      </c>
      <c r="J12" s="13" t="n">
        <v>1</v>
      </c>
      <c r="K12" s="13" t="n">
        <v>0</v>
      </c>
      <c r="L12" s="13" t="n">
        <v>1</v>
      </c>
      <c r="M12" s="13" t="n">
        <v>0</v>
      </c>
      <c r="N12" s="13" t="n">
        <v>1</v>
      </c>
      <c r="O12" s="13" t="n">
        <v>1</v>
      </c>
      <c r="P12" s="13" t="n">
        <v>1</v>
      </c>
      <c r="Q12" s="13" t="n">
        <v>1</v>
      </c>
      <c r="R12" s="13" t="n">
        <v>0</v>
      </c>
      <c r="S12" s="13" t="n">
        <v>1</v>
      </c>
      <c r="T12" s="13" t="n">
        <v>1</v>
      </c>
      <c r="U12" s="13" t="n">
        <v>0</v>
      </c>
      <c r="V12" s="13" t="n">
        <v>1</v>
      </c>
      <c r="W12" s="13" t="n">
        <v>1</v>
      </c>
      <c r="X12" s="13" t="n">
        <v>1</v>
      </c>
      <c r="Y12" s="13" t="n">
        <v>0</v>
      </c>
      <c r="Z12" s="13" t="n">
        <v>1</v>
      </c>
      <c r="AA12" s="13" t="n">
        <v>1</v>
      </c>
      <c r="AB12" s="13" t="n">
        <v>1</v>
      </c>
      <c r="AC12" s="13" t="n">
        <v>1</v>
      </c>
      <c r="AD12" s="13" t="n">
        <v>1</v>
      </c>
      <c r="AE12" s="13" t="n">
        <v>1</v>
      </c>
      <c r="AF12" s="12">
        <f>COUNTIF(D12:AE12,1)</f>
        <v/>
      </c>
      <c r="AG12" s="12">
        <f>IF(COUNT(D12:AE12)=0,"",ROUND(AF12/28*100,1))</f>
        <v/>
      </c>
      <c r="AH12" s="12">
        <f>COUNTIF(D12:AE12,0)</f>
        <v/>
      </c>
      <c r="AI12" s="12">
        <f>IF(COUNT(D12:AE12)=0,"",ROUND(AH12/28*100,1))</f>
        <v/>
      </c>
      <c r="AJ12" s="20">
        <f>IF(AG12="","",IF(AG12&gt;=Нэгтгэл!$K$4,"Хангалттай эзэмшиж байна",IF(AG12&gt;=Нэгтгэл!$K$5,"Ахиж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0</v>
      </c>
      <c r="I13" s="13" t="n">
        <v>0</v>
      </c>
      <c r="J13" s="13" t="n">
        <v>1</v>
      </c>
      <c r="K13" s="13" t="n">
        <v>1</v>
      </c>
      <c r="L13" s="13" t="n">
        <v>1</v>
      </c>
      <c r="M13" s="13" t="n">
        <v>1</v>
      </c>
      <c r="N13" s="13" t="n">
        <v>1</v>
      </c>
      <c r="O13" s="13" t="n">
        <v>1</v>
      </c>
      <c r="P13" s="13" t="n">
        <v>0</v>
      </c>
      <c r="Q13" s="13" t="n">
        <v>1</v>
      </c>
      <c r="R13" s="13" t="n">
        <v>0</v>
      </c>
      <c r="S13" s="13" t="n">
        <v>1</v>
      </c>
      <c r="T13" s="13" t="n">
        <v>0</v>
      </c>
      <c r="U13" s="13" t="n">
        <v>0</v>
      </c>
      <c r="V13" s="13" t="n">
        <v>1</v>
      </c>
      <c r="W13" s="13" t="n">
        <v>0</v>
      </c>
      <c r="X13" s="13" t="n">
        <v>1</v>
      </c>
      <c r="Y13" s="13" t="n">
        <v>1</v>
      </c>
      <c r="Z13" s="13" t="n">
        <v>1</v>
      </c>
      <c r="AA13" s="13" t="n">
        <v>1</v>
      </c>
      <c r="AB13" s="13" t="n">
        <v>1</v>
      </c>
      <c r="AC13" s="13" t="n">
        <v>1</v>
      </c>
      <c r="AD13" s="13" t="n">
        <v>1</v>
      </c>
      <c r="AE13" s="13" t="n">
        <v>1</v>
      </c>
      <c r="AF13" s="12">
        <f>COUNTIF(D13:AE13,1)</f>
        <v/>
      </c>
      <c r="AG13" s="12">
        <f>IF(COUNT(D13:AE13)=0,"",ROUND(AF13/28*100,1))</f>
        <v/>
      </c>
      <c r="AH13" s="12">
        <f>COUNTIF(D13:AE13,0)</f>
        <v/>
      </c>
      <c r="AI13" s="12">
        <f>IF(COUNT(D13:AE13)=0,"",ROUND(AH13/28*100,1))</f>
        <v/>
      </c>
      <c r="AJ13" s="20">
        <f>IF(AG13="","",IF(AG13&gt;=Нэгтгэл!$K$4,"Хангалттай эзэмшиж байна",IF(AG13&gt;=Нэгтгэл!$K$5,"Ахиж байна","Хөгжиж байна")))</f>
        <v/>
      </c>
    </row>
    <row r="14" ht="16" customHeight="1">
      <c r="A14" s="12" t="n">
        <v>8</v>
      </c>
      <c r="B14" s="12">
        <f>IF(Нэгтгэл!B14="","",Нэгтгэл!B14)</f>
        <v/>
      </c>
      <c r="C14" s="4" t="n"/>
      <c r="D14" s="13" t="n">
        <v>1</v>
      </c>
      <c r="E14" s="13" t="n">
        <v>0</v>
      </c>
      <c r="F14" s="13" t="n">
        <v>0</v>
      </c>
      <c r="G14" s="13" t="n">
        <v>0</v>
      </c>
      <c r="H14" s="13" t="n">
        <v>1</v>
      </c>
      <c r="I14" s="13" t="n">
        <v>0</v>
      </c>
      <c r="J14" s="13" t="n">
        <v>1</v>
      </c>
      <c r="K14" s="13" t="n">
        <v>1</v>
      </c>
      <c r="L14" s="13" t="n">
        <v>1</v>
      </c>
      <c r="M14" s="13" t="n">
        <v>1</v>
      </c>
      <c r="N14" s="13" t="n">
        <v>1</v>
      </c>
      <c r="O14" s="13" t="n">
        <v>1</v>
      </c>
      <c r="P14" s="13" t="n">
        <v>1</v>
      </c>
      <c r="Q14" s="13" t="n">
        <v>1</v>
      </c>
      <c r="R14" s="13" t="n">
        <v>1</v>
      </c>
      <c r="S14" s="13" t="n">
        <v>0</v>
      </c>
      <c r="T14" s="13" t="n">
        <v>1</v>
      </c>
      <c r="U14" s="13" t="n">
        <v>1</v>
      </c>
      <c r="V14" s="13" t="n">
        <v>1</v>
      </c>
      <c r="W14" s="13" t="n">
        <v>1</v>
      </c>
      <c r="X14" s="13" t="n">
        <v>1</v>
      </c>
      <c r="Y14" s="13" t="n">
        <v>1</v>
      </c>
      <c r="Z14" s="13" t="n">
        <v>1</v>
      </c>
      <c r="AA14" s="13" t="n">
        <v>1</v>
      </c>
      <c r="AB14" s="13" t="n">
        <v>1</v>
      </c>
      <c r="AC14" s="13" t="n">
        <v>0</v>
      </c>
      <c r="AD14" s="13" t="n">
        <v>1</v>
      </c>
      <c r="AE14" s="13" t="n">
        <v>0</v>
      </c>
      <c r="AF14" s="12">
        <f>COUNTIF(D14:AE14,1)</f>
        <v/>
      </c>
      <c r="AG14" s="12">
        <f>IF(COUNT(D14:AE14)=0,"",ROUND(AF14/28*100,1))</f>
        <v/>
      </c>
      <c r="AH14" s="12">
        <f>COUNTIF(D14:AE14,0)</f>
        <v/>
      </c>
      <c r="AI14" s="12">
        <f>IF(COUNT(D14:AE14)=0,"",ROUND(AH14/28*100,1))</f>
        <v/>
      </c>
      <c r="AJ14" s="20">
        <f>IF(AG14="","",IF(AG14&gt;=Нэгтгэл!$K$4,"Хангалттай эзэмшиж байна",IF(AG14&gt;=Нэгтгэл!$K$5,"Ахиж байна","Хөгжиж байна")))</f>
        <v/>
      </c>
    </row>
    <row r="15" ht="16" customHeight="1">
      <c r="A15" s="12" t="n">
        <v>9</v>
      </c>
      <c r="B15" s="12">
        <f>IF(Нэгтгэл!B15="","",Нэгтгэл!B15)</f>
        <v/>
      </c>
      <c r="C15" s="4" t="n"/>
      <c r="D15" s="13" t="n">
        <v>1</v>
      </c>
      <c r="E15" s="13" t="n">
        <v>1</v>
      </c>
      <c r="F15" s="13" t="n">
        <v>1</v>
      </c>
      <c r="G15" s="13" t="n">
        <v>1</v>
      </c>
      <c r="H15" s="13" t="n">
        <v>0</v>
      </c>
      <c r="I15" s="13" t="n">
        <v>1</v>
      </c>
      <c r="J15" s="13" t="n">
        <v>1</v>
      </c>
      <c r="K15" s="13" t="n">
        <v>1</v>
      </c>
      <c r="L15" s="13" t="n">
        <v>0</v>
      </c>
      <c r="M15" s="13" t="n">
        <v>1</v>
      </c>
      <c r="N15" s="13" t="n">
        <v>0</v>
      </c>
      <c r="O15" s="13" t="n">
        <v>0</v>
      </c>
      <c r="P15" s="13" t="n">
        <v>1</v>
      </c>
      <c r="Q15" s="13" t="n">
        <v>0</v>
      </c>
      <c r="R15" s="13" t="n">
        <v>1</v>
      </c>
      <c r="S15" s="13" t="n">
        <v>1</v>
      </c>
      <c r="T15" s="13" t="n">
        <v>1</v>
      </c>
      <c r="U15" s="13" t="n">
        <v>1</v>
      </c>
      <c r="V15" s="13" t="n">
        <v>0</v>
      </c>
      <c r="W15" s="13" t="n">
        <v>1</v>
      </c>
      <c r="X15" s="13" t="n">
        <v>1</v>
      </c>
      <c r="Y15" s="13" t="n">
        <v>1</v>
      </c>
      <c r="Z15" s="13" t="n">
        <v>1</v>
      </c>
      <c r="AA15" s="13" t="n">
        <v>0</v>
      </c>
      <c r="AB15" s="13" t="n">
        <v>1</v>
      </c>
      <c r="AC15" s="13" t="n">
        <v>1</v>
      </c>
      <c r="AD15" s="13" t="n">
        <v>1</v>
      </c>
      <c r="AE15" s="13" t="n">
        <v>1</v>
      </c>
      <c r="AF15" s="12">
        <f>COUNTIF(D15:AE15,1)</f>
        <v/>
      </c>
      <c r="AG15" s="12">
        <f>IF(COUNT(D15:AE15)=0,"",ROUND(AF15/28*100,1))</f>
        <v/>
      </c>
      <c r="AH15" s="12">
        <f>COUNTIF(D15:AE15,0)</f>
        <v/>
      </c>
      <c r="AI15" s="12">
        <f>IF(COUNT(D15:AE15)=0,"",ROUND(AH15/28*100,1))</f>
        <v/>
      </c>
      <c r="AJ15" s="20">
        <f>IF(AG15="","",IF(AG15&gt;=Нэгтгэл!$K$4,"Хангалттай эзэмшиж байна",IF(AG15&gt;=Нэгтгэл!$K$5,"Ахиж байна","Хөгжиж байна")))</f>
        <v/>
      </c>
    </row>
    <row r="16" ht="16" customHeight="1">
      <c r="A16" s="12" t="n">
        <v>10</v>
      </c>
      <c r="B16" s="12">
        <f>IF(Нэгтгэл!B16="","",Нэгтгэл!B16)</f>
        <v/>
      </c>
      <c r="C16" s="4" t="n"/>
      <c r="D16" s="13" t="n">
        <v>0</v>
      </c>
      <c r="E16" s="13" t="n">
        <v>1</v>
      </c>
      <c r="F16" s="13" t="n">
        <v>1</v>
      </c>
      <c r="G16" s="13" t="n">
        <v>1</v>
      </c>
      <c r="H16" s="13" t="n">
        <v>1</v>
      </c>
      <c r="I16" s="13" t="n">
        <v>1</v>
      </c>
      <c r="J16" s="13" t="n">
        <v>1</v>
      </c>
      <c r="K16" s="13" t="n">
        <v>1</v>
      </c>
      <c r="L16" s="13" t="n">
        <v>1</v>
      </c>
      <c r="M16" s="13" t="n">
        <v>1</v>
      </c>
      <c r="N16" s="13" t="n">
        <v>1</v>
      </c>
      <c r="O16" s="13" t="n">
        <v>1</v>
      </c>
      <c r="P16" s="13" t="n">
        <v>0</v>
      </c>
      <c r="Q16" s="13" t="n">
        <v>1</v>
      </c>
      <c r="R16" s="13" t="n">
        <v>1</v>
      </c>
      <c r="S16" s="13" t="n">
        <v>0</v>
      </c>
      <c r="T16" s="13" t="n">
        <v>0</v>
      </c>
      <c r="U16" s="13" t="n">
        <v>1</v>
      </c>
      <c r="V16" s="13" t="n">
        <v>0</v>
      </c>
      <c r="W16" s="13" t="n">
        <v>1</v>
      </c>
      <c r="X16" s="13" t="n">
        <v>1</v>
      </c>
      <c r="Y16" s="13" t="n">
        <v>1</v>
      </c>
      <c r="Z16" s="13" t="n">
        <v>1</v>
      </c>
      <c r="AA16" s="13" t="n">
        <v>1</v>
      </c>
      <c r="AB16" s="13" t="n">
        <v>1</v>
      </c>
      <c r="AC16" s="13" t="n">
        <v>0</v>
      </c>
      <c r="AD16" s="13" t="n">
        <v>0</v>
      </c>
      <c r="AE16" s="13" t="n">
        <v>0</v>
      </c>
      <c r="AF16" s="12">
        <f>COUNTIF(D16:AE16,1)</f>
        <v/>
      </c>
      <c r="AG16" s="12">
        <f>IF(COUNT(D16:AE16)=0,"",ROUND(AF16/28*100,1))</f>
        <v/>
      </c>
      <c r="AH16" s="12">
        <f>COUNTIF(D16:AE16,0)</f>
        <v/>
      </c>
      <c r="AI16" s="12">
        <f>IF(COUNT(D16:AE16)=0,"",ROUND(AH16/28*100,1))</f>
        <v/>
      </c>
      <c r="AJ16" s="20">
        <f>IF(AG16="","",IF(AG16&gt;=Нэгтгэл!$K$4,"Хангалттай эзэмшиж байна",IF(AG16&gt;=Нэгтгэл!$K$5,"Ахиж байна","Хөгжиж байна")))</f>
        <v/>
      </c>
    </row>
    <row r="17" ht="16" customHeight="1">
      <c r="A17" s="12" t="n">
        <v>11</v>
      </c>
      <c r="B17" s="12">
        <f>IF(Нэгтгэл!B17="","",Нэгтгэл!B17)</f>
        <v/>
      </c>
      <c r="C17" s="4" t="n"/>
      <c r="D17" s="13" t="n">
        <v>1</v>
      </c>
      <c r="E17" s="13" t="n">
        <v>1</v>
      </c>
      <c r="F17" s="13" t="n">
        <v>0</v>
      </c>
      <c r="G17" s="13" t="n">
        <v>1</v>
      </c>
      <c r="H17" s="13" t="n">
        <v>1</v>
      </c>
      <c r="I17" s="13" t="n">
        <v>1</v>
      </c>
      <c r="J17" s="13" t="n">
        <v>1</v>
      </c>
      <c r="K17" s="13" t="n">
        <v>0</v>
      </c>
      <c r="L17" s="13" t="n">
        <v>1</v>
      </c>
      <c r="M17" s="13" t="n">
        <v>0</v>
      </c>
      <c r="N17" s="13" t="n">
        <v>1</v>
      </c>
      <c r="O17" s="13" t="n">
        <v>1</v>
      </c>
      <c r="P17" s="13" t="n">
        <v>1</v>
      </c>
      <c r="Q17" s="13" t="n">
        <v>1</v>
      </c>
      <c r="R17" s="13" t="n">
        <v>1</v>
      </c>
      <c r="S17" s="13" t="n">
        <v>1</v>
      </c>
      <c r="T17" s="13" t="n">
        <v>1</v>
      </c>
      <c r="U17" s="13" t="n">
        <v>1</v>
      </c>
      <c r="V17" s="13" t="n">
        <v>1</v>
      </c>
      <c r="W17" s="13" t="n">
        <v>1</v>
      </c>
      <c r="X17" s="13" t="n">
        <v>0</v>
      </c>
      <c r="Y17" s="13" t="n">
        <v>1</v>
      </c>
      <c r="Z17" s="13" t="n">
        <v>1</v>
      </c>
      <c r="AA17" s="13" t="n">
        <v>1</v>
      </c>
      <c r="AB17" s="13" t="n">
        <v>1</v>
      </c>
      <c r="AC17" s="13" t="n">
        <v>1</v>
      </c>
      <c r="AD17" s="13" t="n">
        <v>0</v>
      </c>
      <c r="AE17" s="13" t="n">
        <v>1</v>
      </c>
      <c r="AF17" s="12">
        <f>COUNTIF(D17:AE17,1)</f>
        <v/>
      </c>
      <c r="AG17" s="12">
        <f>IF(COUNT(D17:AE17)=0,"",ROUND(AF17/28*100,1))</f>
        <v/>
      </c>
      <c r="AH17" s="12">
        <f>COUNTIF(D17:AE17,0)</f>
        <v/>
      </c>
      <c r="AI17" s="12">
        <f>IF(COUNT(D17:AE17)=0,"",ROUND(AH17/28*100,1))</f>
        <v/>
      </c>
      <c r="AJ17" s="20">
        <f>IF(AG17="","",IF(AG17&gt;=Нэгтгэл!$K$4,"Хангалттай эзэмшиж байна",IF(AG17&gt;=Нэгтгэл!$K$5,"Ахиж байна","Хөгжиж байна")))</f>
        <v/>
      </c>
    </row>
    <row r="18" ht="16" customHeight="1">
      <c r="A18" s="12" t="n">
        <v>12</v>
      </c>
      <c r="B18" s="12">
        <f>IF(Нэгтгэл!B18="","",Нэгтгэл!B18)</f>
        <v/>
      </c>
      <c r="C18" s="4" t="n"/>
      <c r="D18" s="13" t="n">
        <v>1</v>
      </c>
      <c r="E18" s="13" t="n">
        <v>1</v>
      </c>
      <c r="F18" s="13" t="n">
        <v>0</v>
      </c>
      <c r="G18" s="13" t="n">
        <v>0</v>
      </c>
      <c r="H18" s="13" t="n">
        <v>1</v>
      </c>
      <c r="I18" s="13" t="n">
        <v>1</v>
      </c>
      <c r="J18" s="13" t="n">
        <v>1</v>
      </c>
      <c r="K18" s="13" t="n">
        <v>1</v>
      </c>
      <c r="L18" s="13" t="n">
        <v>1</v>
      </c>
      <c r="M18" s="13" t="n">
        <v>1</v>
      </c>
      <c r="N18" s="13" t="n">
        <v>1</v>
      </c>
      <c r="O18" s="13" t="n">
        <v>0</v>
      </c>
      <c r="P18" s="13" t="n">
        <v>1</v>
      </c>
      <c r="Q18" s="13" t="n">
        <v>0</v>
      </c>
      <c r="R18" s="13" t="n">
        <v>1</v>
      </c>
      <c r="S18" s="13" t="n">
        <v>1</v>
      </c>
      <c r="T18" s="13" t="n">
        <v>1</v>
      </c>
      <c r="U18" s="13" t="n">
        <v>1</v>
      </c>
      <c r="V18" s="13" t="n">
        <v>0</v>
      </c>
      <c r="W18" s="13" t="n">
        <v>1</v>
      </c>
      <c r="X18" s="13" t="n">
        <v>1</v>
      </c>
      <c r="Y18" s="13" t="n">
        <v>0</v>
      </c>
      <c r="Z18" s="13" t="n">
        <v>0</v>
      </c>
      <c r="AA18" s="13" t="n">
        <v>1</v>
      </c>
      <c r="AB18" s="13" t="n">
        <v>1</v>
      </c>
      <c r="AC18" s="13" t="n">
        <v>0</v>
      </c>
      <c r="AD18" s="13" t="n">
        <v>1</v>
      </c>
      <c r="AE18" s="13" t="n">
        <v>0</v>
      </c>
      <c r="AF18" s="12">
        <f>COUNTIF(D18:AE18,1)</f>
        <v/>
      </c>
      <c r="AG18" s="12">
        <f>IF(COUNT(D18:AE18)=0,"",ROUND(AF18/28*100,1))</f>
        <v/>
      </c>
      <c r="AH18" s="12">
        <f>COUNTIF(D18:AE18,0)</f>
        <v/>
      </c>
      <c r="AI18" s="12">
        <f>IF(COUNT(D18:AE18)=0,"",ROUND(AH18/28*100,1))</f>
        <v/>
      </c>
      <c r="AJ18" s="20">
        <f>IF(AG18="","",IF(AG18&gt;=Нэгтгэл!$K$4,"Хангалттай эзэмшиж байна",IF(AG18&gt;=Нэгтгэл!$K$5,"Ахиж байна","Хөгжиж байна")))</f>
        <v/>
      </c>
    </row>
    <row r="19" ht="16" customHeight="1">
      <c r="A19" s="12" t="n">
        <v>13</v>
      </c>
      <c r="B19" s="12">
        <f>IF(Нэгтгэл!B19="","",Нэгтгэл!B19)</f>
        <v/>
      </c>
      <c r="C19" s="4" t="n"/>
      <c r="D19" s="13" t="n">
        <v>1</v>
      </c>
      <c r="E19" s="13" t="n">
        <v>1</v>
      </c>
      <c r="F19" s="13" t="n">
        <v>1</v>
      </c>
      <c r="G19" s="13" t="n">
        <v>0</v>
      </c>
      <c r="H19" s="13" t="n">
        <v>1</v>
      </c>
      <c r="I19" s="13" t="n">
        <v>1</v>
      </c>
      <c r="J19" s="13" t="n">
        <v>0</v>
      </c>
      <c r="K19" s="13" t="n">
        <v>1</v>
      </c>
      <c r="L19" s="13" t="n">
        <v>1</v>
      </c>
      <c r="M19" s="13" t="n">
        <v>1</v>
      </c>
      <c r="N19" s="13" t="n">
        <v>0</v>
      </c>
      <c r="O19" s="13" t="n">
        <v>1</v>
      </c>
      <c r="P19" s="13" t="n">
        <v>1</v>
      </c>
      <c r="Q19" s="13" t="n">
        <v>1</v>
      </c>
      <c r="R19" s="13" t="n">
        <v>0</v>
      </c>
      <c r="S19" s="13" t="n">
        <v>1</v>
      </c>
      <c r="T19" s="13" t="n">
        <v>1</v>
      </c>
      <c r="U19" s="13" t="n">
        <v>0</v>
      </c>
      <c r="V19" s="13" t="n">
        <v>1</v>
      </c>
      <c r="W19" s="13" t="n">
        <v>1</v>
      </c>
      <c r="X19" s="13" t="n">
        <v>1</v>
      </c>
      <c r="Y19" s="13" t="n">
        <v>1</v>
      </c>
      <c r="Z19" s="13" t="n">
        <v>1</v>
      </c>
      <c r="AA19" s="13" t="n">
        <v>1</v>
      </c>
      <c r="AB19" s="13" t="n">
        <v>1</v>
      </c>
      <c r="AC19" s="13" t="n">
        <v>1</v>
      </c>
      <c r="AD19" s="13" t="n">
        <v>1</v>
      </c>
      <c r="AE19" s="13" t="n">
        <v>1</v>
      </c>
      <c r="AF19" s="12">
        <f>COUNTIF(D19:AE19,1)</f>
        <v/>
      </c>
      <c r="AG19" s="12">
        <f>IF(COUNT(D19:AE19)=0,"",ROUND(AF19/28*100,1))</f>
        <v/>
      </c>
      <c r="AH19" s="12">
        <f>COUNTIF(D19:AE19,0)</f>
        <v/>
      </c>
      <c r="AI19" s="12">
        <f>IF(COUNT(D19:AE19)=0,"",ROUND(AH19/28*100,1))</f>
        <v/>
      </c>
      <c r="AJ19" s="20">
        <f>IF(AG19="","",IF(AG19&gt;=Нэгтгэл!$K$4,"Хангалттай эзэмшиж байна",IF(AG19&gt;=Нэгтгэл!$K$5,"Ахиж байна","Хөгжиж байна")))</f>
        <v/>
      </c>
    </row>
    <row r="20" ht="16" customHeight="1">
      <c r="A20" s="12" t="n">
        <v>14</v>
      </c>
      <c r="B20" s="12">
        <f>IF(Нэгтгэл!B20="","",Нэгтгэл!B20)</f>
        <v/>
      </c>
      <c r="C20" s="4" t="n"/>
      <c r="D20" s="13" t="n">
        <v>1</v>
      </c>
      <c r="E20" s="13" t="n">
        <v>1</v>
      </c>
      <c r="F20" s="13" t="n">
        <v>0</v>
      </c>
      <c r="G20" s="13" t="n">
        <v>0</v>
      </c>
      <c r="H20" s="13" t="n">
        <v>0</v>
      </c>
      <c r="I20" s="13" t="n">
        <v>1</v>
      </c>
      <c r="J20" s="13" t="n">
        <v>1</v>
      </c>
      <c r="K20" s="13" t="n">
        <v>0</v>
      </c>
      <c r="L20" s="13" t="n">
        <v>0</v>
      </c>
      <c r="M20" s="13" t="n">
        <v>1</v>
      </c>
      <c r="N20" s="13" t="n">
        <v>1</v>
      </c>
      <c r="O20" s="13" t="n">
        <v>1</v>
      </c>
      <c r="P20" s="13" t="n">
        <v>1</v>
      </c>
      <c r="Q20" s="13" t="n">
        <v>1</v>
      </c>
      <c r="R20" s="13" t="n">
        <v>1</v>
      </c>
      <c r="S20" s="13" t="n">
        <v>1</v>
      </c>
      <c r="T20" s="13" t="n">
        <v>1</v>
      </c>
      <c r="U20" s="13" t="n">
        <v>1</v>
      </c>
      <c r="V20" s="13" t="n">
        <v>1</v>
      </c>
      <c r="W20" s="13" t="n">
        <v>1</v>
      </c>
      <c r="X20" s="13" t="n">
        <v>1</v>
      </c>
      <c r="Y20" s="13" t="n">
        <v>1</v>
      </c>
      <c r="Z20" s="13" t="n">
        <v>1</v>
      </c>
      <c r="AA20" s="13" t="n">
        <v>0</v>
      </c>
      <c r="AB20" s="13" t="n">
        <v>1</v>
      </c>
      <c r="AC20" s="13" t="n">
        <v>1</v>
      </c>
      <c r="AD20" s="13" t="n">
        <v>1</v>
      </c>
      <c r="AE20" s="13" t="n">
        <v>1</v>
      </c>
      <c r="AF20" s="12">
        <f>COUNTIF(D20:AE20,1)</f>
        <v/>
      </c>
      <c r="AG20" s="12">
        <f>IF(COUNT(D20:AE20)=0,"",ROUND(AF20/28*100,1))</f>
        <v/>
      </c>
      <c r="AH20" s="12">
        <f>COUNTIF(D20:AE20,0)</f>
        <v/>
      </c>
      <c r="AI20" s="12">
        <f>IF(COUNT(D20:AE20)=0,"",ROUND(AH20/28*100,1))</f>
        <v/>
      </c>
      <c r="AJ20" s="20">
        <f>IF(AG20="","",IF(AG20&gt;=Нэгтгэл!$K$4,"Хангалттай эзэмшиж байна",IF(AG20&gt;=Нэгтгэл!$K$5,"Ахиж байна","Хөгжиж байна")))</f>
        <v/>
      </c>
    </row>
    <row r="21" ht="16" customHeight="1">
      <c r="A21" s="12" t="n">
        <v>15</v>
      </c>
      <c r="B21" s="12">
        <f>IF(Нэгтгэл!B21="","",Нэгтгэл!B21)</f>
        <v/>
      </c>
      <c r="C21" s="4" t="n"/>
      <c r="D21" s="13" t="n">
        <v>1</v>
      </c>
      <c r="E21" s="13" t="n">
        <v>0</v>
      </c>
      <c r="F21" s="13" t="n">
        <v>1</v>
      </c>
      <c r="G21" s="13" t="n">
        <v>0</v>
      </c>
      <c r="H21" s="13" t="n">
        <v>1</v>
      </c>
      <c r="I21" s="13" t="n">
        <v>1</v>
      </c>
      <c r="J21" s="13" t="n">
        <v>0</v>
      </c>
      <c r="K21" s="13" t="n">
        <v>0</v>
      </c>
      <c r="L21" s="13" t="n">
        <v>1</v>
      </c>
      <c r="M21" s="13" t="n">
        <v>1</v>
      </c>
      <c r="N21" s="13" t="n">
        <v>1</v>
      </c>
      <c r="O21" s="13" t="n">
        <v>0</v>
      </c>
      <c r="P21" s="13" t="n">
        <v>1</v>
      </c>
      <c r="Q21" s="13" t="n">
        <v>0</v>
      </c>
      <c r="R21" s="13" t="n">
        <v>1</v>
      </c>
      <c r="S21" s="13" t="n">
        <v>0</v>
      </c>
      <c r="T21" s="13" t="n">
        <v>0</v>
      </c>
      <c r="U21" s="13" t="n">
        <v>1</v>
      </c>
      <c r="V21" s="13" t="n">
        <v>1</v>
      </c>
      <c r="W21" s="13" t="n">
        <v>1</v>
      </c>
      <c r="X21" s="13" t="n">
        <v>1</v>
      </c>
      <c r="Y21" s="13" t="n">
        <v>0</v>
      </c>
      <c r="Z21" s="13" t="n">
        <v>1</v>
      </c>
      <c r="AA21" s="13" t="n">
        <v>1</v>
      </c>
      <c r="AB21" s="13" t="n">
        <v>1</v>
      </c>
      <c r="AC21" s="13" t="n">
        <v>1</v>
      </c>
      <c r="AD21" s="13" t="n">
        <v>0</v>
      </c>
      <c r="AE21" s="13" t="n">
        <v>1</v>
      </c>
      <c r="AF21" s="12">
        <f>COUNTIF(D21:AE21,1)</f>
        <v/>
      </c>
      <c r="AG21" s="12">
        <f>IF(COUNT(D21:AE21)=0,"",ROUND(AF21/28*100,1))</f>
        <v/>
      </c>
      <c r="AH21" s="12">
        <f>COUNTIF(D21:AE21,0)</f>
        <v/>
      </c>
      <c r="AI21" s="12">
        <f>IF(COUNT(D21:AE21)=0,"",ROUND(AH21/28*100,1))</f>
        <v/>
      </c>
      <c r="AJ21" s="20">
        <f>IF(AG21="","",IF(AG21&gt;=Нэгтгэл!$K$4,"Хангалттай эзэмшиж байна",IF(AG21&gt;=Нэгтгэл!$K$5,"Ахиж байна","Хөгжиж байна")))</f>
        <v/>
      </c>
    </row>
    <row r="22" ht="16" customHeight="1">
      <c r="A22" s="12" t="n">
        <v>16</v>
      </c>
      <c r="B22" s="12">
        <f>IF(Нэгтгэл!B22="","",Нэгтгэл!B22)</f>
        <v/>
      </c>
      <c r="C22" s="4" t="n"/>
      <c r="D22" s="13" t="n">
        <v>0</v>
      </c>
      <c r="E22" s="13" t="n">
        <v>1</v>
      </c>
      <c r="F22" s="13" t="n">
        <v>0</v>
      </c>
      <c r="G22" s="13" t="n">
        <v>0</v>
      </c>
      <c r="H22" s="13" t="n">
        <v>0</v>
      </c>
      <c r="I22" s="13" t="n">
        <v>1</v>
      </c>
      <c r="J22" s="13" t="n">
        <v>1</v>
      </c>
      <c r="K22" s="13" t="n">
        <v>0</v>
      </c>
      <c r="L22" s="13" t="n">
        <v>0</v>
      </c>
      <c r="M22" s="13" t="n">
        <v>1</v>
      </c>
      <c r="N22" s="13" t="n">
        <v>1</v>
      </c>
      <c r="O22" s="13" t="n">
        <v>1</v>
      </c>
      <c r="P22" s="13" t="n">
        <v>1</v>
      </c>
      <c r="Q22" s="13" t="n">
        <v>0</v>
      </c>
      <c r="R22" s="13" t="n">
        <v>0</v>
      </c>
      <c r="S22" s="13" t="n">
        <v>1</v>
      </c>
      <c r="T22" s="13" t="n">
        <v>1</v>
      </c>
      <c r="U22" s="13" t="n">
        <v>1</v>
      </c>
      <c r="V22" s="13" t="n">
        <v>0</v>
      </c>
      <c r="W22" s="13" t="n">
        <v>0</v>
      </c>
      <c r="X22" s="13" t="n">
        <v>1</v>
      </c>
      <c r="Y22" s="13" t="n">
        <v>0</v>
      </c>
      <c r="Z22" s="13" t="n">
        <v>1</v>
      </c>
      <c r="AA22" s="13" t="n">
        <v>0</v>
      </c>
      <c r="AB22" s="13" t="n">
        <v>0</v>
      </c>
      <c r="AC22" s="13" t="n">
        <v>1</v>
      </c>
      <c r="AD22" s="13" t="n">
        <v>1</v>
      </c>
      <c r="AE22" s="13" t="n">
        <v>1</v>
      </c>
      <c r="AF22" s="12">
        <f>COUNTIF(D22:AE22,1)</f>
        <v/>
      </c>
      <c r="AG22" s="12">
        <f>IF(COUNT(D22:AE22)=0,"",ROUND(AF22/28*100,1))</f>
        <v/>
      </c>
      <c r="AH22" s="12">
        <f>COUNTIF(D22:AE22,0)</f>
        <v/>
      </c>
      <c r="AI22" s="12">
        <f>IF(COUNT(D22:AE22)=0,"",ROUND(AH22/28*100,1))</f>
        <v/>
      </c>
      <c r="AJ22" s="20">
        <f>IF(AG22="","",IF(AG22&gt;=Нэгтгэл!$K$4,"Хангалттай эзэмшиж байна",IF(AG22&gt;=Нэгтгэл!$K$5,"Ахиж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0</v>
      </c>
      <c r="I23" s="13" t="n">
        <v>1</v>
      </c>
      <c r="J23" s="13" t="n">
        <v>0</v>
      </c>
      <c r="K23" s="13" t="n">
        <v>1</v>
      </c>
      <c r="L23" s="13" t="n">
        <v>1</v>
      </c>
      <c r="M23" s="13" t="n">
        <v>1</v>
      </c>
      <c r="N23" s="13" t="n">
        <v>1</v>
      </c>
      <c r="O23" s="13" t="n">
        <v>1</v>
      </c>
      <c r="P23" s="13" t="n">
        <v>1</v>
      </c>
      <c r="Q23" s="13" t="n">
        <v>1</v>
      </c>
      <c r="R23" s="13" t="n">
        <v>1</v>
      </c>
      <c r="S23" s="13" t="n">
        <v>1</v>
      </c>
      <c r="T23" s="13" t="n">
        <v>0</v>
      </c>
      <c r="U23" s="13" t="n">
        <v>0</v>
      </c>
      <c r="V23" s="13" t="n">
        <v>1</v>
      </c>
      <c r="W23" s="13" t="n">
        <v>0</v>
      </c>
      <c r="X23" s="13" t="n">
        <v>1</v>
      </c>
      <c r="Y23" s="13" t="n">
        <v>1</v>
      </c>
      <c r="Z23" s="13" t="n">
        <v>0</v>
      </c>
      <c r="AA23" s="13" t="n">
        <v>1</v>
      </c>
      <c r="AB23" s="13" t="n">
        <v>1</v>
      </c>
      <c r="AC23" s="13" t="n">
        <v>1</v>
      </c>
      <c r="AD23" s="13" t="n">
        <v>1</v>
      </c>
      <c r="AE23" s="13" t="n">
        <v>1</v>
      </c>
      <c r="AF23" s="12">
        <f>COUNTIF(D23:AE23,1)</f>
        <v/>
      </c>
      <c r="AG23" s="12">
        <f>IF(COUNT(D23:AE23)=0,"",ROUND(AF23/28*100,1))</f>
        <v/>
      </c>
      <c r="AH23" s="12">
        <f>COUNTIF(D23:AE23,0)</f>
        <v/>
      </c>
      <c r="AI23" s="12">
        <f>IF(COUNT(D23:AE23)=0,"",ROUND(AH23/28*100,1))</f>
        <v/>
      </c>
      <c r="AJ23" s="20">
        <f>IF(AG23="","",IF(AG23&gt;=Нэгтгэл!$K$4,"Хангалттай эзэмшиж байна",IF(AG23&gt;=Нэгтгэл!$K$5,"Ахиж байна","Хөгжиж байна")))</f>
        <v/>
      </c>
    </row>
    <row r="24" ht="16" customHeight="1">
      <c r="A24" s="12" t="n">
        <v>18</v>
      </c>
      <c r="B24" s="12">
        <f>IF(Нэгтгэл!B24="","",Нэгтгэл!B24)</f>
        <v/>
      </c>
      <c r="C24" s="4" t="n"/>
      <c r="D24" s="13" t="n">
        <v>0</v>
      </c>
      <c r="E24" s="13" t="n">
        <v>0</v>
      </c>
      <c r="F24" s="13" t="n">
        <v>1</v>
      </c>
      <c r="G24" s="13" t="n">
        <v>1</v>
      </c>
      <c r="H24" s="13" t="n">
        <v>1</v>
      </c>
      <c r="I24" s="13" t="n">
        <v>0</v>
      </c>
      <c r="J24" s="13" t="n">
        <v>1</v>
      </c>
      <c r="K24" s="13" t="n">
        <v>1</v>
      </c>
      <c r="L24" s="13" t="n">
        <v>0</v>
      </c>
      <c r="M24" s="13" t="n">
        <v>1</v>
      </c>
      <c r="N24" s="13" t="n">
        <v>1</v>
      </c>
      <c r="O24" s="13" t="n">
        <v>1</v>
      </c>
      <c r="P24" s="13" t="n">
        <v>1</v>
      </c>
      <c r="Q24" s="13" t="n">
        <v>1</v>
      </c>
      <c r="R24" s="13" t="n">
        <v>1</v>
      </c>
      <c r="S24" s="13" t="n">
        <v>1</v>
      </c>
      <c r="T24" s="13" t="n">
        <v>1</v>
      </c>
      <c r="U24" s="13" t="n">
        <v>1</v>
      </c>
      <c r="V24" s="13" t="n">
        <v>1</v>
      </c>
      <c r="W24" s="13" t="n">
        <v>1</v>
      </c>
      <c r="X24" s="13" t="n">
        <v>0</v>
      </c>
      <c r="Y24" s="13" t="n">
        <v>0</v>
      </c>
      <c r="Z24" s="13" t="n">
        <v>1</v>
      </c>
      <c r="AA24" s="13" t="n">
        <v>1</v>
      </c>
      <c r="AB24" s="13" t="n">
        <v>0</v>
      </c>
      <c r="AC24" s="13" t="n">
        <v>1</v>
      </c>
      <c r="AD24" s="13" t="n">
        <v>1</v>
      </c>
      <c r="AE24" s="13" t="n">
        <v>1</v>
      </c>
      <c r="AF24" s="12">
        <f>COUNTIF(D24:AE24,1)</f>
        <v/>
      </c>
      <c r="AG24" s="12">
        <f>IF(COUNT(D24:AE24)=0,"",ROUND(AF24/28*100,1))</f>
        <v/>
      </c>
      <c r="AH24" s="12">
        <f>COUNTIF(D24:AE24,0)</f>
        <v/>
      </c>
      <c r="AI24" s="12">
        <f>IF(COUNT(D24:AE24)=0,"",ROUND(AH24/28*100,1))</f>
        <v/>
      </c>
      <c r="AJ24" s="20">
        <f>IF(AG24="","",IF(AG24&gt;=Нэгтгэл!$K$4,"Хангалттай эзэмшиж байна",IF(AG24&gt;=Нэгтгэл!$K$5,"Ахиж байна","Хөгжиж байна")))</f>
        <v/>
      </c>
    </row>
    <row r="25" ht="16" customHeight="1">
      <c r="A25" s="12" t="n">
        <v>19</v>
      </c>
      <c r="B25" s="12">
        <f>IF(Нэгтгэл!B25="","",Нэгтгэл!B25)</f>
        <v/>
      </c>
      <c r="C25" s="4" t="n"/>
      <c r="D25" s="13" t="n">
        <v>1</v>
      </c>
      <c r="E25" s="13" t="n">
        <v>1</v>
      </c>
      <c r="F25" s="13" t="n">
        <v>0</v>
      </c>
      <c r="G25" s="13" t="n">
        <v>1</v>
      </c>
      <c r="H25" s="13" t="n">
        <v>1</v>
      </c>
      <c r="I25" s="13" t="n">
        <v>0</v>
      </c>
      <c r="J25" s="13" t="n">
        <v>1</v>
      </c>
      <c r="K25" s="13" t="n">
        <v>0</v>
      </c>
      <c r="L25" s="13" t="n">
        <v>1</v>
      </c>
      <c r="M25" s="13" t="n">
        <v>1</v>
      </c>
      <c r="N25" s="13" t="n">
        <v>1</v>
      </c>
      <c r="O25" s="13" t="n">
        <v>1</v>
      </c>
      <c r="P25" s="13" t="n">
        <v>1</v>
      </c>
      <c r="Q25" s="13" t="n">
        <v>0</v>
      </c>
      <c r="R25" s="13" t="n">
        <v>1</v>
      </c>
      <c r="S25" s="13" t="n">
        <v>0</v>
      </c>
      <c r="T25" s="13" t="n">
        <v>1</v>
      </c>
      <c r="U25" s="13" t="n">
        <v>1</v>
      </c>
      <c r="V25" s="13" t="n">
        <v>1</v>
      </c>
      <c r="W25" s="13" t="n">
        <v>0</v>
      </c>
      <c r="X25" s="13" t="n">
        <v>1</v>
      </c>
      <c r="Y25" s="13" t="n">
        <v>0</v>
      </c>
      <c r="Z25" s="13" t="n">
        <v>1</v>
      </c>
      <c r="AA25" s="13" t="n">
        <v>1</v>
      </c>
      <c r="AB25" s="13" t="n">
        <v>1</v>
      </c>
      <c r="AC25" s="13" t="n">
        <v>1</v>
      </c>
      <c r="AD25" s="13" t="n">
        <v>0</v>
      </c>
      <c r="AE25" s="13" t="n">
        <v>1</v>
      </c>
      <c r="AF25" s="12">
        <f>COUNTIF(D25:AE25,1)</f>
        <v/>
      </c>
      <c r="AG25" s="12">
        <f>IF(COUNT(D25:AE25)=0,"",ROUND(AF25/28*100,1))</f>
        <v/>
      </c>
      <c r="AH25" s="12">
        <f>COUNTIF(D25:AE25,0)</f>
        <v/>
      </c>
      <c r="AI25" s="12">
        <f>IF(COUNT(D25:AE25)=0,"",ROUND(AH25/28*100,1))</f>
        <v/>
      </c>
      <c r="AJ25" s="20">
        <f>IF(AG25="","",IF(AG25&gt;=Нэгтгэл!$K$4,"Хангалттай эзэмшиж байна",IF(AG25&gt;=Нэгтгэл!$K$5,"Ахиж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1</v>
      </c>
      <c r="J26" s="13" t="n">
        <v>0</v>
      </c>
      <c r="K26" s="13" t="n">
        <v>1</v>
      </c>
      <c r="L26" s="13" t="n">
        <v>0</v>
      </c>
      <c r="M26" s="13" t="n">
        <v>0</v>
      </c>
      <c r="N26" s="13" t="n">
        <v>1</v>
      </c>
      <c r="O26" s="13" t="n">
        <v>1</v>
      </c>
      <c r="P26" s="13" t="n">
        <v>1</v>
      </c>
      <c r="Q26" s="13" t="n">
        <v>1</v>
      </c>
      <c r="R26" s="13" t="n">
        <v>1</v>
      </c>
      <c r="S26" s="13" t="n">
        <v>0</v>
      </c>
      <c r="T26" s="13" t="n">
        <v>0</v>
      </c>
      <c r="U26" s="13" t="n">
        <v>1</v>
      </c>
      <c r="V26" s="13" t="n">
        <v>1</v>
      </c>
      <c r="W26" s="13" t="n">
        <v>1</v>
      </c>
      <c r="X26" s="13" t="n">
        <v>0</v>
      </c>
      <c r="Y26" s="13" t="n">
        <v>1</v>
      </c>
      <c r="Z26" s="13" t="n">
        <v>1</v>
      </c>
      <c r="AA26" s="13" t="n">
        <v>0</v>
      </c>
      <c r="AB26" s="13" t="n">
        <v>1</v>
      </c>
      <c r="AC26" s="13" t="n">
        <v>1</v>
      </c>
      <c r="AD26" s="13" t="n">
        <v>1</v>
      </c>
      <c r="AE26" s="13" t="n">
        <v>0</v>
      </c>
      <c r="AF26" s="12">
        <f>COUNTIF(D26:AE26,1)</f>
        <v/>
      </c>
      <c r="AG26" s="12">
        <f>IF(COUNT(D26:AE26)=0,"",ROUND(AF26/28*100,1))</f>
        <v/>
      </c>
      <c r="AH26" s="12">
        <f>COUNTIF(D26:AE26,0)</f>
        <v/>
      </c>
      <c r="AI26" s="12">
        <f>IF(COUNT(D26:AE26)=0,"",ROUND(AH26/28*100,1))</f>
        <v/>
      </c>
      <c r="AJ26" s="20">
        <f>IF(AG26="","",IF(AG26&gt;=Нэгтгэл!$K$4,"Хангалттай эзэмшиж байна",IF(AG26&gt;=Нэгтгэл!$K$5,"Ахиж байна","Хөгжиж байна")))</f>
        <v/>
      </c>
    </row>
    <row r="27" ht="16" customHeight="1">
      <c r="A27" s="12" t="n">
        <v>21</v>
      </c>
      <c r="B27" s="12">
        <f>IF(Нэгтгэл!B27="","",Нэгтгэл!B27)</f>
        <v/>
      </c>
      <c r="C27" s="4" t="n"/>
      <c r="D27" s="13" t="n">
        <v>1</v>
      </c>
      <c r="E27" s="13" t="n">
        <v>1</v>
      </c>
      <c r="F27" s="13" t="n">
        <v>1</v>
      </c>
      <c r="G27" s="13" t="n">
        <v>0</v>
      </c>
      <c r="H27" s="13" t="n">
        <v>1</v>
      </c>
      <c r="I27" s="13" t="n">
        <v>0</v>
      </c>
      <c r="J27" s="13" t="n">
        <v>1</v>
      </c>
      <c r="K27" s="13" t="n">
        <v>1</v>
      </c>
      <c r="L27" s="13" t="n">
        <v>0</v>
      </c>
      <c r="M27" s="13" t="n">
        <v>1</v>
      </c>
      <c r="N27" s="13" t="n">
        <v>1</v>
      </c>
      <c r="O27" s="13" t="n">
        <v>1</v>
      </c>
      <c r="P27" s="13" t="n">
        <v>1</v>
      </c>
      <c r="Q27" s="13" t="n">
        <v>1</v>
      </c>
      <c r="R27" s="13" t="n">
        <v>0</v>
      </c>
      <c r="S27" s="13" t="n">
        <v>0</v>
      </c>
      <c r="T27" s="13" t="n">
        <v>1</v>
      </c>
      <c r="U27" s="13" t="n">
        <v>1</v>
      </c>
      <c r="V27" s="13" t="n">
        <v>1</v>
      </c>
      <c r="W27" s="13" t="n">
        <v>1</v>
      </c>
      <c r="X27" s="13" t="n">
        <v>1</v>
      </c>
      <c r="Y27" s="13" t="n">
        <v>0</v>
      </c>
      <c r="Z27" s="13" t="n">
        <v>0</v>
      </c>
      <c r="AA27" s="13" t="n">
        <v>0</v>
      </c>
      <c r="AB27" s="13" t="n">
        <v>0</v>
      </c>
      <c r="AC27" s="13" t="n">
        <v>1</v>
      </c>
      <c r="AD27" s="13" t="n">
        <v>1</v>
      </c>
      <c r="AE27" s="13" t="n">
        <v>1</v>
      </c>
      <c r="AF27" s="12">
        <f>COUNTIF(D27:AE27,1)</f>
        <v/>
      </c>
      <c r="AG27" s="12">
        <f>IF(COUNT(D27:AE27)=0,"",ROUND(AF27/28*100,1))</f>
        <v/>
      </c>
      <c r="AH27" s="12">
        <f>COUNTIF(D27:AE27,0)</f>
        <v/>
      </c>
      <c r="AI27" s="12">
        <f>IF(COUNT(D27:AE27)=0,"",ROUND(AH27/28*100,1))</f>
        <v/>
      </c>
      <c r="AJ27" s="20">
        <f>IF(AG27="","",IF(AG27&gt;=Нэгтгэл!$K$4,"Хангалттай эзэмшиж байна",IF(AG27&gt;=Нэгтгэл!$K$5,"Ахиж байна","Хөгжиж байна")))</f>
        <v/>
      </c>
    </row>
    <row r="28" ht="16" customHeight="1">
      <c r="A28" s="12" t="n">
        <v>22</v>
      </c>
      <c r="B28" s="12">
        <f>IF(Нэгтгэл!B28="","",Нэгтгэл!B28)</f>
        <v/>
      </c>
      <c r="C28" s="4" t="n"/>
      <c r="D28" s="13" t="n">
        <v>1</v>
      </c>
      <c r="E28" s="13" t="n">
        <v>0</v>
      </c>
      <c r="F28" s="13" t="n">
        <v>1</v>
      </c>
      <c r="G28" s="13" t="n">
        <v>1</v>
      </c>
      <c r="H28" s="13" t="n">
        <v>1</v>
      </c>
      <c r="I28" s="13" t="n">
        <v>0</v>
      </c>
      <c r="J28" s="13" t="n">
        <v>0</v>
      </c>
      <c r="K28" s="13" t="n">
        <v>1</v>
      </c>
      <c r="L28" s="13" t="n">
        <v>0</v>
      </c>
      <c r="M28" s="13" t="n">
        <v>1</v>
      </c>
      <c r="N28" s="13" t="n">
        <v>1</v>
      </c>
      <c r="O28" s="13" t="n">
        <v>1</v>
      </c>
      <c r="P28" s="13" t="n">
        <v>1</v>
      </c>
      <c r="Q28" s="13" t="n">
        <v>0</v>
      </c>
      <c r="R28" s="13" t="n">
        <v>1</v>
      </c>
      <c r="S28" s="13" t="n">
        <v>1</v>
      </c>
      <c r="T28" s="13" t="n">
        <v>0</v>
      </c>
      <c r="U28" s="13" t="n">
        <v>1</v>
      </c>
      <c r="V28" s="13" t="n">
        <v>1</v>
      </c>
      <c r="W28" s="13" t="n">
        <v>1</v>
      </c>
      <c r="X28" s="13" t="n">
        <v>1</v>
      </c>
      <c r="Y28" s="13" t="n">
        <v>1</v>
      </c>
      <c r="Z28" s="13" t="n">
        <v>1</v>
      </c>
      <c r="AA28" s="13" t="n">
        <v>1</v>
      </c>
      <c r="AB28" s="13" t="n">
        <v>1</v>
      </c>
      <c r="AC28" s="13" t="n">
        <v>0</v>
      </c>
      <c r="AD28" s="13" t="n">
        <v>1</v>
      </c>
      <c r="AE28" s="13" t="n">
        <v>1</v>
      </c>
      <c r="AF28" s="12">
        <f>COUNTIF(D28:AE28,1)</f>
        <v/>
      </c>
      <c r="AG28" s="12">
        <f>IF(COUNT(D28:AE28)=0,"",ROUND(AF28/28*100,1))</f>
        <v/>
      </c>
      <c r="AH28" s="12">
        <f>COUNTIF(D28:AE28,0)</f>
        <v/>
      </c>
      <c r="AI28" s="12">
        <f>IF(COUNT(D28:AE28)=0,"",ROUND(AH28/28*100,1))</f>
        <v/>
      </c>
      <c r="AJ28" s="20">
        <f>IF(AG28="","",IF(AG28&gt;=Нэгтгэл!$K$4,"Хангалттай эзэмшиж байна",IF(AG28&gt;=Нэгтгэл!$K$5,"Ахиж байна","Хөгжиж байна")))</f>
        <v/>
      </c>
    </row>
    <row r="29" ht="16" customHeight="1">
      <c r="A29" s="12" t="n">
        <v>23</v>
      </c>
      <c r="B29" s="12">
        <f>IF(Нэгтгэл!B29="","",Нэгтгэл!B29)</f>
        <v/>
      </c>
      <c r="C29" s="4" t="n"/>
      <c r="D29" s="13" t="n">
        <v>1</v>
      </c>
      <c r="E29" s="13" t="n">
        <v>1</v>
      </c>
      <c r="F29" s="13" t="n">
        <v>1</v>
      </c>
      <c r="G29" s="13" t="n">
        <v>0</v>
      </c>
      <c r="H29" s="13" t="n">
        <v>1</v>
      </c>
      <c r="I29" s="13" t="n">
        <v>1</v>
      </c>
      <c r="J29" s="13" t="n">
        <v>0</v>
      </c>
      <c r="K29" s="13" t="n">
        <v>1</v>
      </c>
      <c r="L29" s="13" t="n">
        <v>1</v>
      </c>
      <c r="M29" s="13" t="n">
        <v>1</v>
      </c>
      <c r="N29" s="13" t="n">
        <v>1</v>
      </c>
      <c r="O29" s="13" t="n">
        <v>0</v>
      </c>
      <c r="P29" s="13" t="n">
        <v>1</v>
      </c>
      <c r="Q29" s="13" t="n">
        <v>1</v>
      </c>
      <c r="R29" s="13" t="n">
        <v>0</v>
      </c>
      <c r="S29" s="13" t="n">
        <v>1</v>
      </c>
      <c r="T29" s="13" t="n">
        <v>0</v>
      </c>
      <c r="U29" s="13" t="n">
        <v>1</v>
      </c>
      <c r="V29" s="13" t="n">
        <v>0</v>
      </c>
      <c r="W29" s="13" t="n">
        <v>1</v>
      </c>
      <c r="X29" s="13" t="n">
        <v>0</v>
      </c>
      <c r="Y29" s="13" t="n">
        <v>1</v>
      </c>
      <c r="Z29" s="13" t="n">
        <v>1</v>
      </c>
      <c r="AA29" s="13" t="n">
        <v>1</v>
      </c>
      <c r="AB29" s="13" t="n">
        <v>0</v>
      </c>
      <c r="AC29" s="13" t="n">
        <v>1</v>
      </c>
      <c r="AD29" s="13" t="n">
        <v>1</v>
      </c>
      <c r="AE29" s="13" t="n">
        <v>1</v>
      </c>
      <c r="AF29" s="12">
        <f>COUNTIF(D29:AE29,1)</f>
        <v/>
      </c>
      <c r="AG29" s="12">
        <f>IF(COUNT(D29:AE29)=0,"",ROUND(AF29/28*100,1))</f>
        <v/>
      </c>
      <c r="AH29" s="12">
        <f>COUNTIF(D29:AE29,0)</f>
        <v/>
      </c>
      <c r="AI29" s="12">
        <f>IF(COUNT(D29:AE29)=0,"",ROUND(AH29/28*100,1))</f>
        <v/>
      </c>
      <c r="AJ29" s="20">
        <f>IF(AG29="","",IF(AG29&gt;=Нэгтгэл!$K$4,"Хангалттай эзэмшиж байна",IF(AG29&gt;=Нэгтгэл!$K$5,"Ахиж байна","Хөгжиж байна")))</f>
        <v/>
      </c>
    </row>
    <row r="30" ht="16" customHeight="1">
      <c r="A30" s="12" t="n">
        <v>24</v>
      </c>
      <c r="B30" s="12">
        <f>IF(Нэгтгэл!B30="","",Нэгтгэл!B30)</f>
        <v/>
      </c>
      <c r="C30" s="4" t="n"/>
      <c r="D30" s="13" t="n">
        <v>1</v>
      </c>
      <c r="E30" s="13" t="n">
        <v>1</v>
      </c>
      <c r="F30" s="13" t="n">
        <v>1</v>
      </c>
      <c r="G30" s="13" t="n">
        <v>1</v>
      </c>
      <c r="H30" s="13" t="n">
        <v>1</v>
      </c>
      <c r="I30" s="13" t="n">
        <v>1</v>
      </c>
      <c r="J30" s="13" t="n">
        <v>1</v>
      </c>
      <c r="K30" s="13" t="n">
        <v>1</v>
      </c>
      <c r="L30" s="13" t="n">
        <v>1</v>
      </c>
      <c r="M30" s="13" t="n">
        <v>1</v>
      </c>
      <c r="N30" s="13" t="n">
        <v>1</v>
      </c>
      <c r="O30" s="13" t="n">
        <v>0</v>
      </c>
      <c r="P30" s="13" t="n">
        <v>1</v>
      </c>
      <c r="Q30" s="13" t="n">
        <v>0</v>
      </c>
      <c r="R30" s="13" t="n">
        <v>1</v>
      </c>
      <c r="S30" s="13" t="n">
        <v>1</v>
      </c>
      <c r="T30" s="13" t="n">
        <v>0</v>
      </c>
      <c r="U30" s="13" t="n">
        <v>0</v>
      </c>
      <c r="V30" s="13" t="n">
        <v>1</v>
      </c>
      <c r="W30" s="13" t="n">
        <v>1</v>
      </c>
      <c r="X30" s="13" t="n">
        <v>1</v>
      </c>
      <c r="Y30" s="13" t="n">
        <v>1</v>
      </c>
      <c r="Z30" s="13" t="n">
        <v>0</v>
      </c>
      <c r="AA30" s="13" t="n">
        <v>1</v>
      </c>
      <c r="AB30" s="13" t="n">
        <v>0</v>
      </c>
      <c r="AC30" s="13" t="n">
        <v>0</v>
      </c>
      <c r="AD30" s="13" t="n">
        <v>0</v>
      </c>
      <c r="AE30" s="13" t="n">
        <v>1</v>
      </c>
      <c r="AF30" s="12">
        <f>COUNTIF(D30:AE30,1)</f>
        <v/>
      </c>
      <c r="AG30" s="12">
        <f>IF(COUNT(D30:AE30)=0,"",ROUND(AF30/28*100,1))</f>
        <v/>
      </c>
      <c r="AH30" s="12">
        <f>COUNTIF(D30:AE30,0)</f>
        <v/>
      </c>
      <c r="AI30" s="12">
        <f>IF(COUNT(D30:AE30)=0,"",ROUND(AH30/28*100,1))</f>
        <v/>
      </c>
      <c r="AJ30" s="20">
        <f>IF(AG30="","",IF(AG30&gt;=Нэгтгэл!$K$4,"Хангалттай эзэмшиж байна",IF(AG30&gt;=Нэгтгэл!$K$5,"Ахиж байна","Хөгжиж байна")))</f>
        <v/>
      </c>
    </row>
    <row r="31" ht="16" customHeight="1">
      <c r="A31" s="12" t="n">
        <v>25</v>
      </c>
      <c r="B31" s="12">
        <f>IF(Нэгтгэл!B31="","",Нэгтгэл!B31)</f>
        <v/>
      </c>
      <c r="C31" s="4" t="n"/>
      <c r="D31" s="13" t="n">
        <v>1</v>
      </c>
      <c r="E31" s="13" t="n">
        <v>0</v>
      </c>
      <c r="F31" s="13" t="n">
        <v>0</v>
      </c>
      <c r="G31" s="13" t="n">
        <v>1</v>
      </c>
      <c r="H31" s="13" t="n">
        <v>0</v>
      </c>
      <c r="I31" s="13" t="n">
        <v>1</v>
      </c>
      <c r="J31" s="13" t="n">
        <v>0</v>
      </c>
      <c r="K31" s="13" t="n">
        <v>1</v>
      </c>
      <c r="L31" s="13" t="n">
        <v>1</v>
      </c>
      <c r="M31" s="13" t="n">
        <v>0</v>
      </c>
      <c r="N31" s="13" t="n">
        <v>0</v>
      </c>
      <c r="O31" s="13" t="n">
        <v>1</v>
      </c>
      <c r="P31" s="13" t="n">
        <v>1</v>
      </c>
      <c r="Q31" s="13" t="n">
        <v>1</v>
      </c>
      <c r="R31" s="13" t="n">
        <v>0</v>
      </c>
      <c r="S31" s="13" t="n">
        <v>1</v>
      </c>
      <c r="T31" s="13" t="n">
        <v>0</v>
      </c>
      <c r="U31" s="13" t="n">
        <v>1</v>
      </c>
      <c r="V31" s="13" t="n">
        <v>1</v>
      </c>
      <c r="W31" s="13" t="n">
        <v>1</v>
      </c>
      <c r="X31" s="13" t="n">
        <v>1</v>
      </c>
      <c r="Y31" s="13" t="n">
        <v>0</v>
      </c>
      <c r="Z31" s="13" t="n">
        <v>1</v>
      </c>
      <c r="AA31" s="13" t="n">
        <v>1</v>
      </c>
      <c r="AB31" s="13" t="n">
        <v>0</v>
      </c>
      <c r="AC31" s="13" t="n">
        <v>1</v>
      </c>
      <c r="AD31" s="13" t="n">
        <v>0</v>
      </c>
      <c r="AE31" s="13" t="n">
        <v>1</v>
      </c>
      <c r="AF31" s="12">
        <f>COUNTIF(D31:AE31,1)</f>
        <v/>
      </c>
      <c r="AG31" s="12">
        <f>IF(COUNT(D31:AE31)=0,"",ROUND(AF31/28*100,1))</f>
        <v/>
      </c>
      <c r="AH31" s="12">
        <f>COUNTIF(D31:AE31,0)</f>
        <v/>
      </c>
      <c r="AI31" s="12">
        <f>IF(COUNT(D31:AE31)=0,"",ROUND(AH31/28*100,1))</f>
        <v/>
      </c>
      <c r="AJ31" s="20">
        <f>IF(AG31="","",IF(AG31&gt;=Нэгтгэл!$K$4,"Хангалттай эзэмшиж байна",IF(AG31&gt;=Нэгтгэл!$K$5,"Ахиж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1</v>
      </c>
      <c r="I32" s="13" t="n">
        <v>0</v>
      </c>
      <c r="J32" s="13" t="n">
        <v>0</v>
      </c>
      <c r="K32" s="13" t="n">
        <v>1</v>
      </c>
      <c r="L32" s="13" t="n">
        <v>0</v>
      </c>
      <c r="M32" s="13" t="n">
        <v>1</v>
      </c>
      <c r="N32" s="13" t="n">
        <v>1</v>
      </c>
      <c r="O32" s="13" t="n">
        <v>1</v>
      </c>
      <c r="P32" s="13" t="n">
        <v>1</v>
      </c>
      <c r="Q32" s="13" t="n">
        <v>0</v>
      </c>
      <c r="R32" s="13" t="n">
        <v>1</v>
      </c>
      <c r="S32" s="13" t="n">
        <v>0</v>
      </c>
      <c r="T32" s="13" t="n">
        <v>1</v>
      </c>
      <c r="U32" s="13" t="n">
        <v>1</v>
      </c>
      <c r="V32" s="13" t="n">
        <v>1</v>
      </c>
      <c r="W32" s="13" t="n">
        <v>1</v>
      </c>
      <c r="X32" s="13" t="n">
        <v>1</v>
      </c>
      <c r="Y32" s="13" t="n">
        <v>1</v>
      </c>
      <c r="Z32" s="13" t="n">
        <v>0</v>
      </c>
      <c r="AA32" s="13" t="n">
        <v>1</v>
      </c>
      <c r="AB32" s="13" t="n">
        <v>1</v>
      </c>
      <c r="AC32" s="13" t="n">
        <v>1</v>
      </c>
      <c r="AD32" s="13" t="n">
        <v>0</v>
      </c>
      <c r="AE32" s="13" t="n">
        <v>0</v>
      </c>
      <c r="AF32" s="12">
        <f>COUNTIF(D32:AE32,1)</f>
        <v/>
      </c>
      <c r="AG32" s="12">
        <f>IF(COUNT(D32:AE32)=0,"",ROUND(AF32/28*100,1))</f>
        <v/>
      </c>
      <c r="AH32" s="12">
        <f>COUNTIF(D32:AE32,0)</f>
        <v/>
      </c>
      <c r="AI32" s="12">
        <f>IF(COUNT(D32:AE32)=0,"",ROUND(AH32/28*100,1))</f>
        <v/>
      </c>
      <c r="AJ32" s="20">
        <f>IF(AG32="","",IF(AG32&gt;=Нэгтгэл!$K$4,"Хангалттай эзэмшиж байна",IF(AG32&gt;=Нэгтгэл!$K$5,"Ахиж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1</v>
      </c>
      <c r="I33" s="13" t="n">
        <v>1</v>
      </c>
      <c r="J33" s="13" t="n">
        <v>1</v>
      </c>
      <c r="K33" s="13" t="n">
        <v>0</v>
      </c>
      <c r="L33" s="13" t="n">
        <v>1</v>
      </c>
      <c r="M33" s="13" t="n">
        <v>1</v>
      </c>
      <c r="N33" s="13" t="n">
        <v>0</v>
      </c>
      <c r="O33" s="13" t="n">
        <v>1</v>
      </c>
      <c r="P33" s="13" t="n">
        <v>1</v>
      </c>
      <c r="Q33" s="13" t="n">
        <v>0</v>
      </c>
      <c r="R33" s="13" t="n">
        <v>1</v>
      </c>
      <c r="S33" s="13" t="n">
        <v>0</v>
      </c>
      <c r="T33" s="13" t="n">
        <v>1</v>
      </c>
      <c r="U33" s="13" t="n">
        <v>1</v>
      </c>
      <c r="V33" s="13" t="n">
        <v>1</v>
      </c>
      <c r="W33" s="13" t="n">
        <v>1</v>
      </c>
      <c r="X33" s="13" t="n">
        <v>1</v>
      </c>
      <c r="Y33" s="13" t="n">
        <v>1</v>
      </c>
      <c r="Z33" s="13" t="n">
        <v>1</v>
      </c>
      <c r="AA33" s="13" t="n">
        <v>1</v>
      </c>
      <c r="AB33" s="13" t="n">
        <v>0</v>
      </c>
      <c r="AC33" s="13" t="n">
        <v>0</v>
      </c>
      <c r="AD33" s="13" t="n">
        <v>1</v>
      </c>
      <c r="AE33" s="13" t="n">
        <v>1</v>
      </c>
      <c r="AF33" s="12">
        <f>COUNTIF(D33:AE33,1)</f>
        <v/>
      </c>
      <c r="AG33" s="12">
        <f>IF(COUNT(D33:AE33)=0,"",ROUND(AF33/28*100,1))</f>
        <v/>
      </c>
      <c r="AH33" s="12">
        <f>COUNTIF(D33:AE33,0)</f>
        <v/>
      </c>
      <c r="AI33" s="12">
        <f>IF(COUNT(D33:AE33)=0,"",ROUND(AH33/28*100,1))</f>
        <v/>
      </c>
      <c r="AJ33" s="20">
        <f>IF(AG33="","",IF(AG33&gt;=Нэгтгэл!$K$4,"Хангалттай эзэмшиж байна",IF(AG33&gt;=Нэгтгэл!$K$5,"Ахиж байна","Хөгжиж байна")))</f>
        <v/>
      </c>
    </row>
    <row r="34" ht="16" customHeight="1">
      <c r="A34" s="12" t="n">
        <v>28</v>
      </c>
      <c r="B34" s="12">
        <f>IF(Нэгтгэл!B34="","",Нэгтгэл!B34)</f>
        <v/>
      </c>
      <c r="C34" s="4" t="n"/>
      <c r="D34" s="13" t="n">
        <v>1</v>
      </c>
      <c r="E34" s="13" t="n">
        <v>1</v>
      </c>
      <c r="F34" s="13" t="n">
        <v>1</v>
      </c>
      <c r="G34" s="13" t="n">
        <v>1</v>
      </c>
      <c r="H34" s="13" t="n">
        <v>1</v>
      </c>
      <c r="I34" s="13" t="n">
        <v>0</v>
      </c>
      <c r="J34" s="13" t="n">
        <v>1</v>
      </c>
      <c r="K34" s="13" t="n">
        <v>0</v>
      </c>
      <c r="L34" s="13" t="n">
        <v>1</v>
      </c>
      <c r="M34" s="13" t="n">
        <v>1</v>
      </c>
      <c r="N34" s="13" t="n">
        <v>1</v>
      </c>
      <c r="O34" s="13" t="n">
        <v>0</v>
      </c>
      <c r="P34" s="13" t="n">
        <v>0</v>
      </c>
      <c r="Q34" s="13" t="n">
        <v>0</v>
      </c>
      <c r="R34" s="13" t="n">
        <v>0</v>
      </c>
      <c r="S34" s="13" t="n">
        <v>1</v>
      </c>
      <c r="T34" s="13" t="n">
        <v>1</v>
      </c>
      <c r="U34" s="13" t="n">
        <v>0</v>
      </c>
      <c r="V34" s="13" t="n">
        <v>0</v>
      </c>
      <c r="W34" s="13" t="n">
        <v>0</v>
      </c>
      <c r="X34" s="13" t="n">
        <v>1</v>
      </c>
      <c r="Y34" s="13" t="n">
        <v>1</v>
      </c>
      <c r="Z34" s="13" t="n">
        <v>0</v>
      </c>
      <c r="AA34" s="13" t="n">
        <v>0</v>
      </c>
      <c r="AB34" s="13" t="n">
        <v>0</v>
      </c>
      <c r="AC34" s="13" t="n">
        <v>0</v>
      </c>
      <c r="AD34" s="13" t="n">
        <v>0</v>
      </c>
      <c r="AE34" s="13" t="n">
        <v>1</v>
      </c>
      <c r="AF34" s="12">
        <f>COUNTIF(D34:AE34,1)</f>
        <v/>
      </c>
      <c r="AG34" s="12">
        <f>IF(COUNT(D34:AE34)=0,"",ROUND(AF34/28*100,1))</f>
        <v/>
      </c>
      <c r="AH34" s="12">
        <f>COUNTIF(D34:AE34,0)</f>
        <v/>
      </c>
      <c r="AI34" s="12">
        <f>IF(COUNT(D34:AE34)=0,"",ROUND(AH34/28*100,1))</f>
        <v/>
      </c>
      <c r="AJ34" s="20">
        <f>IF(AG34="","",IF(AG34&gt;=Нэгтгэл!$K$4,"Хангалттай эзэмшиж байна",IF(AG34&gt;=Нэгтгэл!$K$5,"Ахиж байна","Хөгжиж байна")))</f>
        <v/>
      </c>
    </row>
    <row r="35" ht="16" customHeight="1">
      <c r="A35" s="12" t="n">
        <v>29</v>
      </c>
      <c r="B35" s="12">
        <f>IF(Нэгтгэл!B35="","",Нэгтгэл!B35)</f>
        <v/>
      </c>
      <c r="C35" s="4" t="n"/>
      <c r="D35" s="13" t="n">
        <v>1</v>
      </c>
      <c r="E35" s="13" t="n">
        <v>0</v>
      </c>
      <c r="F35" s="13" t="n">
        <v>1</v>
      </c>
      <c r="G35" s="13" t="n">
        <v>1</v>
      </c>
      <c r="H35" s="13" t="n">
        <v>1</v>
      </c>
      <c r="I35" s="13" t="n">
        <v>1</v>
      </c>
      <c r="J35" s="13" t="n">
        <v>1</v>
      </c>
      <c r="K35" s="13" t="n">
        <v>0</v>
      </c>
      <c r="L35" s="13" t="n">
        <v>1</v>
      </c>
      <c r="M35" s="13" t="n">
        <v>0</v>
      </c>
      <c r="N35" s="13" t="n">
        <v>1</v>
      </c>
      <c r="O35" s="13" t="n">
        <v>1</v>
      </c>
      <c r="P35" s="13" t="n">
        <v>0</v>
      </c>
      <c r="Q35" s="13" t="n">
        <v>1</v>
      </c>
      <c r="R35" s="13" t="n">
        <v>1</v>
      </c>
      <c r="S35" s="13" t="n">
        <v>1</v>
      </c>
      <c r="T35" s="13" t="n">
        <v>0</v>
      </c>
      <c r="U35" s="13" t="n">
        <v>1</v>
      </c>
      <c r="V35" s="13" t="n">
        <v>1</v>
      </c>
      <c r="W35" s="13" t="n">
        <v>1</v>
      </c>
      <c r="X35" s="13" t="n">
        <v>1</v>
      </c>
      <c r="Y35" s="13" t="n">
        <v>0</v>
      </c>
      <c r="Z35" s="13" t="n">
        <v>1</v>
      </c>
      <c r="AA35" s="13" t="n">
        <v>1</v>
      </c>
      <c r="AB35" s="13" t="n">
        <v>1</v>
      </c>
      <c r="AC35" s="13" t="n">
        <v>1</v>
      </c>
      <c r="AD35" s="13" t="n">
        <v>0</v>
      </c>
      <c r="AE35" s="13" t="n">
        <v>1</v>
      </c>
      <c r="AF35" s="12">
        <f>COUNTIF(D35:AE35,1)</f>
        <v/>
      </c>
      <c r="AG35" s="12">
        <f>IF(COUNT(D35:AE35)=0,"",ROUND(AF35/28*100,1))</f>
        <v/>
      </c>
      <c r="AH35" s="12">
        <f>COUNTIF(D35:AE35,0)</f>
        <v/>
      </c>
      <c r="AI35" s="12">
        <f>IF(COUNT(D35:AE35)=0,"",ROUND(AH35/28*100,1))</f>
        <v/>
      </c>
      <c r="AJ35" s="20">
        <f>IF(AG35="","",IF(AG35&gt;=Нэгтгэл!$K$4,"Хангалттай эзэмшиж байна",IF(AG35&gt;=Нэгтгэл!$K$5,"Ахиж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1</v>
      </c>
      <c r="I36" s="13" t="n">
        <v>1</v>
      </c>
      <c r="J36" s="13" t="n">
        <v>1</v>
      </c>
      <c r="K36" s="13" t="n">
        <v>1</v>
      </c>
      <c r="L36" s="13" t="n">
        <v>1</v>
      </c>
      <c r="M36" s="13" t="n">
        <v>1</v>
      </c>
      <c r="N36" s="13" t="n">
        <v>1</v>
      </c>
      <c r="O36" s="13" t="n">
        <v>1</v>
      </c>
      <c r="P36" s="13" t="n">
        <v>1</v>
      </c>
      <c r="Q36" s="13" t="n">
        <v>1</v>
      </c>
      <c r="R36" s="13" t="n">
        <v>1</v>
      </c>
      <c r="S36" s="13" t="n">
        <v>0</v>
      </c>
      <c r="T36" s="13" t="n">
        <v>1</v>
      </c>
      <c r="U36" s="13" t="n">
        <v>0</v>
      </c>
      <c r="V36" s="13" t="n">
        <v>1</v>
      </c>
      <c r="W36" s="13" t="n">
        <v>0</v>
      </c>
      <c r="X36" s="13" t="n">
        <v>1</v>
      </c>
      <c r="Y36" s="13" t="n">
        <v>1</v>
      </c>
      <c r="Z36" s="13" t="n">
        <v>1</v>
      </c>
      <c r="AA36" s="13" t="n">
        <v>0</v>
      </c>
      <c r="AB36" s="13" t="n">
        <v>1</v>
      </c>
      <c r="AC36" s="13" t="n">
        <v>1</v>
      </c>
      <c r="AD36" s="13" t="n">
        <v>0</v>
      </c>
      <c r="AE36" s="13" t="n">
        <v>1</v>
      </c>
      <c r="AF36" s="12">
        <f>COUNTIF(D36:AE36,1)</f>
        <v/>
      </c>
      <c r="AG36" s="12">
        <f>IF(COUNT(D36:AE36)=0,"",ROUND(AF36/28*100,1))</f>
        <v/>
      </c>
      <c r="AH36" s="12">
        <f>COUNTIF(D36:AE36,0)</f>
        <v/>
      </c>
      <c r="AI36" s="12">
        <f>IF(COUNT(D36:AE36)=0,"",ROUND(AH36/28*100,1))</f>
        <v/>
      </c>
      <c r="AJ36" s="20">
        <f>IF(AG36="","",IF(AG36&gt;=Нэгтгэл!$K$4,"Хангалттай эзэмшиж байна",IF(AG36&gt;=Нэгтгэл!$K$5,"Ахиж байна","Хөгжиж байна")))</f>
        <v/>
      </c>
    </row>
    <row r="37" ht="16" customHeight="1">
      <c r="A37" s="12" t="n">
        <v>31</v>
      </c>
      <c r="B37" s="12">
        <f>IF(Нэгтгэл!B37="","",Нэгтгэл!B37)</f>
        <v/>
      </c>
      <c r="C37" s="4" t="n"/>
      <c r="D37" s="13" t="n">
        <v>1</v>
      </c>
      <c r="E37" s="13" t="n">
        <v>1</v>
      </c>
      <c r="F37" s="13" t="n">
        <v>0</v>
      </c>
      <c r="G37" s="13" t="n">
        <v>0</v>
      </c>
      <c r="H37" s="13" t="n">
        <v>1</v>
      </c>
      <c r="I37" s="13" t="n">
        <v>1</v>
      </c>
      <c r="J37" s="13" t="n">
        <v>1</v>
      </c>
      <c r="K37" s="13" t="n">
        <v>1</v>
      </c>
      <c r="L37" s="13" t="n">
        <v>0</v>
      </c>
      <c r="M37" s="13" t="n">
        <v>1</v>
      </c>
      <c r="N37" s="13" t="n">
        <v>1</v>
      </c>
      <c r="O37" s="13" t="n">
        <v>1</v>
      </c>
      <c r="P37" s="13" t="n">
        <v>1</v>
      </c>
      <c r="Q37" s="13" t="n">
        <v>1</v>
      </c>
      <c r="R37" s="13" t="n">
        <v>1</v>
      </c>
      <c r="S37" s="13" t="n">
        <v>0</v>
      </c>
      <c r="T37" s="13" t="n">
        <v>0</v>
      </c>
      <c r="U37" s="13" t="n">
        <v>0</v>
      </c>
      <c r="V37" s="13" t="n">
        <v>0</v>
      </c>
      <c r="W37" s="13" t="n">
        <v>1</v>
      </c>
      <c r="X37" s="13" t="n">
        <v>0</v>
      </c>
      <c r="Y37" s="13" t="n">
        <v>1</v>
      </c>
      <c r="Z37" s="13" t="n">
        <v>1</v>
      </c>
      <c r="AA37" s="13" t="n">
        <v>1</v>
      </c>
      <c r="AB37" s="13" t="n">
        <v>1</v>
      </c>
      <c r="AC37" s="13" t="n">
        <v>1</v>
      </c>
      <c r="AD37" s="13" t="n">
        <v>1</v>
      </c>
      <c r="AE37" s="13" t="n">
        <v>1</v>
      </c>
      <c r="AF37" s="12">
        <f>COUNTIF(D37:AE37,1)</f>
        <v/>
      </c>
      <c r="AG37" s="12">
        <f>IF(COUNT(D37:AE37)=0,"",ROUND(AF37/28*100,1))</f>
        <v/>
      </c>
      <c r="AH37" s="12">
        <f>COUNTIF(D37:AE37,0)</f>
        <v/>
      </c>
      <c r="AI37" s="12">
        <f>IF(COUNT(D37:AE37)=0,"",ROUND(AH37/28*100,1))</f>
        <v/>
      </c>
      <c r="AJ37" s="20">
        <f>IF(AG37="","",IF(AG37&gt;=Нэгтгэл!$K$4,"Хангалттай эзэмшиж байна",IF(AG37&gt;=Нэгтгэл!$K$5,"Ахиж байна","Хөгжиж байна")))</f>
        <v/>
      </c>
    </row>
    <row r="38" ht="16" customHeight="1">
      <c r="A38" s="12" t="n">
        <v>32</v>
      </c>
      <c r="B38" s="12">
        <f>IF(Нэгтгэл!B38="","",Нэгтгэл!B38)</f>
        <v/>
      </c>
      <c r="C38" s="4" t="n"/>
      <c r="D38" s="13" t="n">
        <v>1</v>
      </c>
      <c r="E38" s="13" t="n">
        <v>0</v>
      </c>
      <c r="F38" s="13" t="n">
        <v>0</v>
      </c>
      <c r="G38" s="13" t="n">
        <v>1</v>
      </c>
      <c r="H38" s="13" t="n">
        <v>1</v>
      </c>
      <c r="I38" s="13" t="n">
        <v>1</v>
      </c>
      <c r="J38" s="13" t="n">
        <v>0</v>
      </c>
      <c r="K38" s="13" t="n">
        <v>0</v>
      </c>
      <c r="L38" s="13" t="n">
        <v>1</v>
      </c>
      <c r="M38" s="13" t="n">
        <v>0</v>
      </c>
      <c r="N38" s="13" t="n">
        <v>1</v>
      </c>
      <c r="O38" s="13" t="n">
        <v>1</v>
      </c>
      <c r="P38" s="13" t="n">
        <v>1</v>
      </c>
      <c r="Q38" s="13" t="n">
        <v>1</v>
      </c>
      <c r="R38" s="13" t="n">
        <v>1</v>
      </c>
      <c r="S38" s="13" t="n">
        <v>1</v>
      </c>
      <c r="T38" s="13" t="n">
        <v>0</v>
      </c>
      <c r="U38" s="13" t="n">
        <v>0</v>
      </c>
      <c r="V38" s="13" t="n">
        <v>1</v>
      </c>
      <c r="W38" s="13" t="n">
        <v>1</v>
      </c>
      <c r="X38" s="13" t="n">
        <v>1</v>
      </c>
      <c r="Y38" s="13" t="n">
        <v>1</v>
      </c>
      <c r="Z38" s="13" t="n">
        <v>1</v>
      </c>
      <c r="AA38" s="13" t="n">
        <v>0</v>
      </c>
      <c r="AB38" s="13" t="n">
        <v>0</v>
      </c>
      <c r="AC38" s="13" t="n">
        <v>0</v>
      </c>
      <c r="AD38" s="13" t="n">
        <v>1</v>
      </c>
      <c r="AE38" s="13" t="n">
        <v>1</v>
      </c>
      <c r="AF38" s="12">
        <f>COUNTIF(D38:AE38,1)</f>
        <v/>
      </c>
      <c r="AG38" s="12">
        <f>IF(COUNT(D38:AE38)=0,"",ROUND(AF38/28*100,1))</f>
        <v/>
      </c>
      <c r="AH38" s="12">
        <f>COUNTIF(D38:AE38,0)</f>
        <v/>
      </c>
      <c r="AI38" s="12">
        <f>IF(COUNT(D38:AE38)=0,"",ROUND(AH38/28*100,1))</f>
        <v/>
      </c>
      <c r="AJ38" s="20">
        <f>IF(AG38="","",IF(AG38&gt;=Нэгтгэл!$K$4,"Хангалттай эзэмшиж байна",IF(AG38&gt;=Нэгтгэл!$K$5,"Ахиж байна","Хөгжиж байна")))</f>
        <v/>
      </c>
    </row>
    <row r="39" ht="16" customHeight="1">
      <c r="A39" s="12" t="n">
        <v>33</v>
      </c>
      <c r="B39" s="12">
        <f>IF(Нэгтгэл!B39="","",Нэгтгэл!B39)</f>
        <v/>
      </c>
      <c r="C39" s="4" t="n"/>
      <c r="D39" s="13" t="n">
        <v>1</v>
      </c>
      <c r="E39" s="13" t="n">
        <v>1</v>
      </c>
      <c r="F39" s="13" t="n">
        <v>1</v>
      </c>
      <c r="G39" s="13" t="n">
        <v>1</v>
      </c>
      <c r="H39" s="13" t="n">
        <v>1</v>
      </c>
      <c r="I39" s="13" t="n">
        <v>1</v>
      </c>
      <c r="J39" s="13" t="n">
        <v>0</v>
      </c>
      <c r="K39" s="13" t="n">
        <v>1</v>
      </c>
      <c r="L39" s="13" t="n">
        <v>1</v>
      </c>
      <c r="M39" s="13" t="n">
        <v>1</v>
      </c>
      <c r="N39" s="13" t="n">
        <v>0</v>
      </c>
      <c r="O39" s="13" t="n">
        <v>1</v>
      </c>
      <c r="P39" s="13" t="n">
        <v>1</v>
      </c>
      <c r="Q39" s="13" t="n">
        <v>1</v>
      </c>
      <c r="R39" s="13" t="n">
        <v>1</v>
      </c>
      <c r="S39" s="13" t="n">
        <v>0</v>
      </c>
      <c r="T39" s="13" t="n">
        <v>1</v>
      </c>
      <c r="U39" s="13" t="n">
        <v>1</v>
      </c>
      <c r="V39" s="13" t="n">
        <v>0</v>
      </c>
      <c r="W39" s="13" t="n">
        <v>1</v>
      </c>
      <c r="X39" s="13" t="n">
        <v>1</v>
      </c>
      <c r="Y39" s="13" t="n">
        <v>1</v>
      </c>
      <c r="Z39" s="13" t="n">
        <v>1</v>
      </c>
      <c r="AA39" s="13" t="n">
        <v>0</v>
      </c>
      <c r="AB39" s="13" t="n">
        <v>1</v>
      </c>
      <c r="AC39" s="13" t="n">
        <v>0</v>
      </c>
      <c r="AD39" s="13" t="n">
        <v>0</v>
      </c>
      <c r="AE39" s="13" t="n">
        <v>0</v>
      </c>
      <c r="AF39" s="12">
        <f>COUNTIF(D39:AE39,1)</f>
        <v/>
      </c>
      <c r="AG39" s="12">
        <f>IF(COUNT(D39:AE39)=0,"",ROUND(AF39/28*100,1))</f>
        <v/>
      </c>
      <c r="AH39" s="12">
        <f>COUNTIF(D39:AE39,0)</f>
        <v/>
      </c>
      <c r="AI39" s="12">
        <f>IF(COUNT(D39:AE39)=0,"",ROUND(AH39/28*100,1))</f>
        <v/>
      </c>
      <c r="AJ39" s="20">
        <f>IF(AG39="","",IF(AG39&gt;=Нэгтгэл!$K$4,"Хангалттай эзэмшиж байна",IF(AG39&gt;=Нэгтгэл!$K$5,"Ахиж байна","Хөгжиж байна")))</f>
        <v/>
      </c>
    </row>
    <row r="40" ht="16" customHeight="1">
      <c r="A40" s="12" t="n">
        <v>34</v>
      </c>
      <c r="B40" s="12">
        <f>IF(Нэгтгэл!B40="","",Нэгтгэл!B40)</f>
        <v/>
      </c>
      <c r="C40" s="4" t="n"/>
      <c r="D40" s="13" t="n">
        <v>1</v>
      </c>
      <c r="E40" s="13" t="n">
        <v>1</v>
      </c>
      <c r="F40" s="13" t="n">
        <v>0</v>
      </c>
      <c r="G40" s="13" t="n">
        <v>1</v>
      </c>
      <c r="H40" s="13" t="n">
        <v>1</v>
      </c>
      <c r="I40" s="13" t="n">
        <v>1</v>
      </c>
      <c r="J40" s="13" t="n">
        <v>0</v>
      </c>
      <c r="K40" s="13" t="n">
        <v>1</v>
      </c>
      <c r="L40" s="13" t="n">
        <v>1</v>
      </c>
      <c r="M40" s="13" t="n">
        <v>1</v>
      </c>
      <c r="N40" s="13" t="n">
        <v>1</v>
      </c>
      <c r="O40" s="13" t="n">
        <v>1</v>
      </c>
      <c r="P40" s="13" t="n">
        <v>0</v>
      </c>
      <c r="Q40" s="13" t="n">
        <v>1</v>
      </c>
      <c r="R40" s="13" t="n">
        <v>1</v>
      </c>
      <c r="S40" s="13" t="n">
        <v>1</v>
      </c>
      <c r="T40" s="13" t="n">
        <v>1</v>
      </c>
      <c r="U40" s="13" t="n">
        <v>1</v>
      </c>
      <c r="V40" s="13" t="n">
        <v>1</v>
      </c>
      <c r="W40" s="13" t="n">
        <v>1</v>
      </c>
      <c r="X40" s="13" t="n">
        <v>1</v>
      </c>
      <c r="Y40" s="13" t="n">
        <v>0</v>
      </c>
      <c r="Z40" s="13" t="n">
        <v>1</v>
      </c>
      <c r="AA40" s="13" t="n">
        <v>0</v>
      </c>
      <c r="AB40" s="13" t="n">
        <v>1</v>
      </c>
      <c r="AC40" s="13" t="n">
        <v>0</v>
      </c>
      <c r="AD40" s="13" t="n">
        <v>1</v>
      </c>
      <c r="AE40" s="13" t="n">
        <v>0</v>
      </c>
      <c r="AF40" s="12">
        <f>COUNTIF(D40:AE40,1)</f>
        <v/>
      </c>
      <c r="AG40" s="12">
        <f>IF(COUNT(D40:AE40)=0,"",ROUND(AF40/28*100,1))</f>
        <v/>
      </c>
      <c r="AH40" s="12">
        <f>COUNTIF(D40:AE40,0)</f>
        <v/>
      </c>
      <c r="AI40" s="12">
        <f>IF(COUNT(D40:AE40)=0,"",ROUND(AH40/28*100,1))</f>
        <v/>
      </c>
      <c r="AJ40" s="20">
        <f>IF(AG40="","",IF(AG40&gt;=Нэгтгэл!$K$4,"Хангалттай эзэмшиж байна",IF(AG40&gt;=Нэгтгэл!$K$5,"Ахиж байна","Хөгжиж байна")))</f>
        <v/>
      </c>
    </row>
    <row r="41" ht="16" customHeight="1">
      <c r="A41" s="12" t="n">
        <v>35</v>
      </c>
      <c r="B41" s="12">
        <f>IF(Нэгтгэл!B41="","",Нэгтгэл!B41)</f>
        <v/>
      </c>
      <c r="C41" s="4" t="n"/>
      <c r="D41" s="13" t="n">
        <v>1</v>
      </c>
      <c r="E41" s="13" t="n">
        <v>0</v>
      </c>
      <c r="F41" s="13" t="n">
        <v>1</v>
      </c>
      <c r="G41" s="13" t="n">
        <v>1</v>
      </c>
      <c r="H41" s="13" t="n">
        <v>1</v>
      </c>
      <c r="I41" s="13" t="n">
        <v>1</v>
      </c>
      <c r="J41" s="13" t="n">
        <v>1</v>
      </c>
      <c r="K41" s="13" t="n">
        <v>0</v>
      </c>
      <c r="L41" s="13" t="n">
        <v>1</v>
      </c>
      <c r="M41" s="13" t="n">
        <v>1</v>
      </c>
      <c r="N41" s="13" t="n">
        <v>1</v>
      </c>
      <c r="O41" s="13" t="n">
        <v>1</v>
      </c>
      <c r="P41" s="13" t="n">
        <v>0</v>
      </c>
      <c r="Q41" s="13" t="n">
        <v>1</v>
      </c>
      <c r="R41" s="13" t="n">
        <v>1</v>
      </c>
      <c r="S41" s="13" t="n">
        <v>0</v>
      </c>
      <c r="T41" s="13" t="n">
        <v>1</v>
      </c>
      <c r="U41" s="13" t="n">
        <v>0</v>
      </c>
      <c r="V41" s="13" t="n">
        <v>1</v>
      </c>
      <c r="W41" s="13" t="n">
        <v>1</v>
      </c>
      <c r="X41" s="13" t="n">
        <v>1</v>
      </c>
      <c r="Y41" s="13" t="n">
        <v>1</v>
      </c>
      <c r="Z41" s="13" t="n">
        <v>1</v>
      </c>
      <c r="AA41" s="13" t="n">
        <v>1</v>
      </c>
      <c r="AB41" s="13" t="n">
        <v>1</v>
      </c>
      <c r="AC41" s="13" t="n">
        <v>1</v>
      </c>
      <c r="AD41" s="13" t="n">
        <v>0</v>
      </c>
      <c r="AE41" s="13" t="n">
        <v>0</v>
      </c>
      <c r="AF41" s="12">
        <f>COUNTIF(D41:AE41,1)</f>
        <v/>
      </c>
      <c r="AG41" s="12">
        <f>IF(COUNT(D41:AE41)=0,"",ROUND(AF41/28*100,1))</f>
        <v/>
      </c>
      <c r="AH41" s="12">
        <f>COUNTIF(D41:AE41,0)</f>
        <v/>
      </c>
      <c r="AI41" s="12">
        <f>IF(COUNT(D41:AE41)=0,"",ROUND(AH41/28*100,1))</f>
        <v/>
      </c>
      <c r="AJ41" s="20">
        <f>IF(AG41="","",IF(AG41&gt;=Нэгтгэл!$K$4,"Хангалттай эзэмшиж байна",IF(AG41&gt;=Нэгтгэл!$K$5,"Ахиж байна","Хөгжиж байна")))</f>
        <v/>
      </c>
    </row>
    <row r="42" ht="16" customHeight="1">
      <c r="A42" s="12" t="n">
        <v>36</v>
      </c>
      <c r="B42" s="12">
        <f>IF(Нэгтгэл!B42="","",Нэгтгэл!B42)</f>
        <v/>
      </c>
      <c r="C42" s="4" t="n"/>
      <c r="D42" s="13" t="n">
        <v>1</v>
      </c>
      <c r="E42" s="13" t="n">
        <v>1</v>
      </c>
      <c r="F42" s="13" t="n">
        <v>0</v>
      </c>
      <c r="G42" s="13" t="n">
        <v>1</v>
      </c>
      <c r="H42" s="13" t="n">
        <v>1</v>
      </c>
      <c r="I42" s="13" t="n">
        <v>1</v>
      </c>
      <c r="J42" s="13" t="n">
        <v>0</v>
      </c>
      <c r="K42" s="13" t="n">
        <v>0</v>
      </c>
      <c r="L42" s="13" t="n">
        <v>1</v>
      </c>
      <c r="M42" s="13" t="n">
        <v>1</v>
      </c>
      <c r="N42" s="13" t="n">
        <v>1</v>
      </c>
      <c r="O42" s="13" t="n">
        <v>1</v>
      </c>
      <c r="P42" s="13" t="n">
        <v>1</v>
      </c>
      <c r="Q42" s="13" t="n">
        <v>1</v>
      </c>
      <c r="R42" s="13" t="n">
        <v>1</v>
      </c>
      <c r="S42" s="13" t="n">
        <v>0</v>
      </c>
      <c r="T42" s="13" t="n">
        <v>0</v>
      </c>
      <c r="U42" s="13" t="n">
        <v>1</v>
      </c>
      <c r="V42" s="13" t="n">
        <v>1</v>
      </c>
      <c r="W42" s="13" t="n">
        <v>1</v>
      </c>
      <c r="X42" s="13" t="n">
        <v>0</v>
      </c>
      <c r="Y42" s="13" t="n">
        <v>1</v>
      </c>
      <c r="Z42" s="13" t="n">
        <v>0</v>
      </c>
      <c r="AA42" s="13" t="n">
        <v>1</v>
      </c>
      <c r="AB42" s="13" t="n">
        <v>1</v>
      </c>
      <c r="AC42" s="13" t="n">
        <v>1</v>
      </c>
      <c r="AD42" s="13" t="n">
        <v>1</v>
      </c>
      <c r="AE42" s="13" t="n">
        <v>1</v>
      </c>
      <c r="AF42" s="12">
        <f>COUNTIF(D42:AE42,1)</f>
        <v/>
      </c>
      <c r="AG42" s="12">
        <f>IF(COUNT(D42:AE42)=0,"",ROUND(AF42/28*100,1))</f>
        <v/>
      </c>
      <c r="AH42" s="12">
        <f>COUNTIF(D42:AE42,0)</f>
        <v/>
      </c>
      <c r="AI42" s="12">
        <f>IF(COUNT(D42:AE42)=0,"",ROUND(AH42/28*100,1))</f>
        <v/>
      </c>
      <c r="AJ42" s="20">
        <f>IF(AG42="","",IF(AG42&gt;=Нэгтгэл!$K$4,"Хангалттай эзэмшиж байна",IF(AG42&gt;=Нэгтгэл!$K$5,"Ахиж байна","Хөгжиж байна")))</f>
        <v/>
      </c>
    </row>
    <row r="43" ht="16" customHeight="1">
      <c r="A43" s="12" t="n">
        <v>37</v>
      </c>
      <c r="B43" s="12">
        <f>IF(Нэгтгэл!B43="","",Нэгтгэл!B43)</f>
        <v/>
      </c>
      <c r="C43" s="4" t="n"/>
      <c r="D43" s="13" t="n">
        <v>0</v>
      </c>
      <c r="E43" s="13" t="n">
        <v>0</v>
      </c>
      <c r="F43" s="13" t="n">
        <v>0</v>
      </c>
      <c r="G43" s="13" t="n">
        <v>1</v>
      </c>
      <c r="H43" s="13" t="n">
        <v>0</v>
      </c>
      <c r="I43" s="13" t="n">
        <v>0</v>
      </c>
      <c r="J43" s="13" t="n">
        <v>1</v>
      </c>
      <c r="K43" s="13" t="n">
        <v>1</v>
      </c>
      <c r="L43" s="13" t="n">
        <v>1</v>
      </c>
      <c r="M43" s="13" t="n">
        <v>0</v>
      </c>
      <c r="N43" s="13" t="n">
        <v>1</v>
      </c>
      <c r="O43" s="13" t="n">
        <v>1</v>
      </c>
      <c r="P43" s="13" t="n">
        <v>1</v>
      </c>
      <c r="Q43" s="13" t="n">
        <v>1</v>
      </c>
      <c r="R43" s="13" t="n">
        <v>1</v>
      </c>
      <c r="S43" s="13" t="n">
        <v>0</v>
      </c>
      <c r="T43" s="13" t="n">
        <v>1</v>
      </c>
      <c r="U43" s="13" t="n">
        <v>0</v>
      </c>
      <c r="V43" s="13" t="n">
        <v>1</v>
      </c>
      <c r="W43" s="13" t="n">
        <v>1</v>
      </c>
      <c r="X43" s="13" t="n">
        <v>1</v>
      </c>
      <c r="Y43" s="13" t="n">
        <v>1</v>
      </c>
      <c r="Z43" s="13" t="n">
        <v>0</v>
      </c>
      <c r="AA43" s="13" t="n">
        <v>1</v>
      </c>
      <c r="AB43" s="13" t="n">
        <v>1</v>
      </c>
      <c r="AC43" s="13" t="n">
        <v>1</v>
      </c>
      <c r="AD43" s="13" t="n">
        <v>1</v>
      </c>
      <c r="AE43" s="13" t="n">
        <v>0</v>
      </c>
      <c r="AF43" s="12">
        <f>COUNTIF(D43:AE43,1)</f>
        <v/>
      </c>
      <c r="AG43" s="12">
        <f>IF(COUNT(D43:AE43)=0,"",ROUND(AF43/28*100,1))</f>
        <v/>
      </c>
      <c r="AH43" s="12">
        <f>COUNTIF(D43:AE43,0)</f>
        <v/>
      </c>
      <c r="AI43" s="12">
        <f>IF(COUNT(D43:AE43)=0,"",ROUND(AH43/28*100,1))</f>
        <v/>
      </c>
      <c r="AJ43" s="20">
        <f>IF(AG43="","",IF(AG43&gt;=Нэгтгэл!$K$4,"Хангалттай эзэмшиж байна",IF(AG43&gt;=Нэгтгэл!$K$5,"Ахиж байна","Хөгжиж байна")))</f>
        <v/>
      </c>
    </row>
    <row r="44" ht="16" customHeight="1">
      <c r="A44" s="12" t="n">
        <v>38</v>
      </c>
      <c r="B44" s="12">
        <f>IF(Нэгтгэл!B44="","",Нэгтгэл!B44)</f>
        <v/>
      </c>
      <c r="C44" s="4" t="n"/>
      <c r="D44" s="13" t="n">
        <v>1</v>
      </c>
      <c r="E44" s="13" t="n">
        <v>1</v>
      </c>
      <c r="F44" s="13" t="n">
        <v>0</v>
      </c>
      <c r="G44" s="13" t="n">
        <v>1</v>
      </c>
      <c r="H44" s="13" t="n">
        <v>0</v>
      </c>
      <c r="I44" s="13" t="n">
        <v>1</v>
      </c>
      <c r="J44" s="13" t="n">
        <v>0</v>
      </c>
      <c r="K44" s="13" t="n">
        <v>0</v>
      </c>
      <c r="L44" s="13" t="n">
        <v>0</v>
      </c>
      <c r="M44" s="13" t="n">
        <v>0</v>
      </c>
      <c r="N44" s="13" t="n">
        <v>1</v>
      </c>
      <c r="O44" s="13" t="n">
        <v>1</v>
      </c>
      <c r="P44" s="13" t="n">
        <v>1</v>
      </c>
      <c r="Q44" s="13" t="n">
        <v>1</v>
      </c>
      <c r="R44" s="13" t="n">
        <v>1</v>
      </c>
      <c r="S44" s="13" t="n">
        <v>0</v>
      </c>
      <c r="T44" s="13" t="n">
        <v>0</v>
      </c>
      <c r="U44" s="13" t="n">
        <v>1</v>
      </c>
      <c r="V44" s="13" t="n">
        <v>1</v>
      </c>
      <c r="W44" s="13" t="n">
        <v>1</v>
      </c>
      <c r="X44" s="13" t="n">
        <v>1</v>
      </c>
      <c r="Y44" s="13" t="n">
        <v>1</v>
      </c>
      <c r="Z44" s="13" t="n">
        <v>1</v>
      </c>
      <c r="AA44" s="13" t="n">
        <v>1</v>
      </c>
      <c r="AB44" s="13" t="n">
        <v>1</v>
      </c>
      <c r="AC44" s="13" t="n">
        <v>0</v>
      </c>
      <c r="AD44" s="13" t="n">
        <v>1</v>
      </c>
      <c r="AE44" s="13" t="n">
        <v>1</v>
      </c>
      <c r="AF44" s="12">
        <f>COUNTIF(D44:AE44,1)</f>
        <v/>
      </c>
      <c r="AG44" s="12">
        <f>IF(COUNT(D44:AE44)=0,"",ROUND(AF44/28*100,1))</f>
        <v/>
      </c>
      <c r="AH44" s="12">
        <f>COUNTIF(D44:AE44,0)</f>
        <v/>
      </c>
      <c r="AI44" s="12">
        <f>IF(COUNT(D44:AE44)=0,"",ROUND(AH44/28*100,1))</f>
        <v/>
      </c>
      <c r="AJ44" s="20">
        <f>IF(AG44="","",IF(AG44&gt;=Нэгтгэл!$K$4,"Хангалттай эзэмшиж байна",IF(AG44&gt;=Нэгтгэл!$K$5,"Ахиж байна","Хөгжиж байна")))</f>
        <v/>
      </c>
    </row>
    <row r="45" ht="16" customHeight="1">
      <c r="A45" s="12" t="n">
        <v>39</v>
      </c>
      <c r="B45" s="12">
        <f>IF(Нэгтгэл!B45="","",Нэгтгэл!B45)</f>
        <v/>
      </c>
      <c r="C45" s="4" t="n"/>
      <c r="D45" s="13" t="n">
        <v>0</v>
      </c>
      <c r="E45" s="13" t="n">
        <v>1</v>
      </c>
      <c r="F45" s="13" t="n">
        <v>1</v>
      </c>
      <c r="G45" s="13" t="n">
        <v>0</v>
      </c>
      <c r="H45" s="13" t="n">
        <v>1</v>
      </c>
      <c r="I45" s="13" t="n">
        <v>1</v>
      </c>
      <c r="J45" s="13" t="n">
        <v>1</v>
      </c>
      <c r="K45" s="13" t="n">
        <v>0</v>
      </c>
      <c r="L45" s="13" t="n">
        <v>0</v>
      </c>
      <c r="M45" s="13" t="n">
        <v>1</v>
      </c>
      <c r="N45" s="13" t="n">
        <v>1</v>
      </c>
      <c r="O45" s="13" t="n">
        <v>1</v>
      </c>
      <c r="P45" s="13" t="n">
        <v>1</v>
      </c>
      <c r="Q45" s="13" t="n">
        <v>1</v>
      </c>
      <c r="R45" s="13" t="n">
        <v>1</v>
      </c>
      <c r="S45" s="13" t="n">
        <v>1</v>
      </c>
      <c r="T45" s="13" t="n">
        <v>1</v>
      </c>
      <c r="U45" s="13" t="n">
        <v>1</v>
      </c>
      <c r="V45" s="13" t="n">
        <v>1</v>
      </c>
      <c r="W45" s="13" t="n">
        <v>1</v>
      </c>
      <c r="X45" s="13" t="n">
        <v>1</v>
      </c>
      <c r="Y45" s="13" t="n">
        <v>0</v>
      </c>
      <c r="Z45" s="13" t="n">
        <v>1</v>
      </c>
      <c r="AA45" s="13" t="n">
        <v>1</v>
      </c>
      <c r="AB45" s="13" t="n">
        <v>1</v>
      </c>
      <c r="AC45" s="13" t="n">
        <v>1</v>
      </c>
      <c r="AD45" s="13" t="n">
        <v>0</v>
      </c>
      <c r="AE45" s="13" t="n">
        <v>1</v>
      </c>
      <c r="AF45" s="12">
        <f>COUNTIF(D45:AE45,1)</f>
        <v/>
      </c>
      <c r="AG45" s="12">
        <f>IF(COUNT(D45:AE45)=0,"",ROUND(AF45/28*100,1))</f>
        <v/>
      </c>
      <c r="AH45" s="12">
        <f>COUNTIF(D45:AE45,0)</f>
        <v/>
      </c>
      <c r="AI45" s="12">
        <f>IF(COUNT(D45:AE45)=0,"",ROUND(AH45/28*100,1))</f>
        <v/>
      </c>
      <c r="AJ45" s="20">
        <f>IF(AG45="","",IF(AG45&gt;=Нэгтгэл!$K$4,"Хангалттай эзэмшиж байна",IF(AG45&gt;=Нэгтгэл!$K$5,"Ахиж байна","Хөгжиж байна")))</f>
        <v/>
      </c>
    </row>
    <row r="46" ht="16" customHeight="1">
      <c r="A46" s="12" t="n">
        <v>40</v>
      </c>
      <c r="B46" s="12">
        <f>IF(Нэгтгэл!B46="","",Нэгтгэл!B46)</f>
        <v/>
      </c>
      <c r="C46" s="4" t="n"/>
      <c r="D46" s="13" t="n">
        <v>1</v>
      </c>
      <c r="E46" s="13" t="n">
        <v>0</v>
      </c>
      <c r="F46" s="13" t="n">
        <v>1</v>
      </c>
      <c r="G46" s="13" t="n">
        <v>1</v>
      </c>
      <c r="H46" s="13" t="n">
        <v>0</v>
      </c>
      <c r="I46" s="13" t="n">
        <v>1</v>
      </c>
      <c r="J46" s="13" t="n">
        <v>1</v>
      </c>
      <c r="K46" s="13" t="n">
        <v>0</v>
      </c>
      <c r="L46" s="13" t="n">
        <v>1</v>
      </c>
      <c r="M46" s="13" t="n">
        <v>0</v>
      </c>
      <c r="N46" s="13" t="n">
        <v>1</v>
      </c>
      <c r="O46" s="13" t="n">
        <v>0</v>
      </c>
      <c r="P46" s="13" t="n">
        <v>1</v>
      </c>
      <c r="Q46" s="13" t="n">
        <v>1</v>
      </c>
      <c r="R46" s="13" t="n">
        <v>1</v>
      </c>
      <c r="S46" s="13" t="n">
        <v>1</v>
      </c>
      <c r="T46" s="13" t="n">
        <v>1</v>
      </c>
      <c r="U46" s="13" t="n">
        <v>1</v>
      </c>
      <c r="V46" s="13" t="n">
        <v>1</v>
      </c>
      <c r="W46" s="13" t="n">
        <v>0</v>
      </c>
      <c r="X46" s="13" t="n">
        <v>1</v>
      </c>
      <c r="Y46" s="13" t="n">
        <v>1</v>
      </c>
      <c r="Z46" s="13" t="n">
        <v>0</v>
      </c>
      <c r="AA46" s="13" t="n">
        <v>0</v>
      </c>
      <c r="AB46" s="13" t="n">
        <v>1</v>
      </c>
      <c r="AC46" s="13" t="n">
        <v>0</v>
      </c>
      <c r="AD46" s="13" t="n">
        <v>0</v>
      </c>
      <c r="AE46" s="13" t="n">
        <v>1</v>
      </c>
      <c r="AF46" s="12">
        <f>COUNTIF(D46:AE46,1)</f>
        <v/>
      </c>
      <c r="AG46" s="12">
        <f>IF(COUNT(D46:AE46)=0,"",ROUND(AF46/28*100,1))</f>
        <v/>
      </c>
      <c r="AH46" s="12">
        <f>COUNTIF(D46:AE46,0)</f>
        <v/>
      </c>
      <c r="AI46" s="12">
        <f>IF(COUNT(D46:AE46)=0,"",ROUND(AH46/28*100,1))</f>
        <v/>
      </c>
      <c r="AJ46" s="20">
        <f>IF(AG46="","",IF(AG46&gt;=Нэгтгэл!$K$4,"Хангалттай эзэмшиж байна",IF(AG46&gt;=Нэгтгэл!$K$5,"Ахиж байна","Хөгжиж байна")))</f>
        <v/>
      </c>
    </row>
    <row r="47" ht="16" customHeight="1">
      <c r="A47" s="12" t="n">
        <v>41</v>
      </c>
      <c r="B47" s="12">
        <f>IF(Нэгтгэл!B47="","",Нэгтгэл!B47)</f>
        <v/>
      </c>
      <c r="C47" s="4" t="n"/>
      <c r="D47" s="13" t="n">
        <v>1</v>
      </c>
      <c r="E47" s="13" t="n">
        <v>1</v>
      </c>
      <c r="F47" s="13" t="n">
        <v>1</v>
      </c>
      <c r="G47" s="13" t="n">
        <v>0</v>
      </c>
      <c r="H47" s="13" t="n">
        <v>1</v>
      </c>
      <c r="I47" s="13" t="n">
        <v>1</v>
      </c>
      <c r="J47" s="13" t="n">
        <v>0</v>
      </c>
      <c r="K47" s="13" t="n">
        <v>1</v>
      </c>
      <c r="L47" s="13" t="n">
        <v>1</v>
      </c>
      <c r="M47" s="13" t="n">
        <v>1</v>
      </c>
      <c r="N47" s="13" t="n">
        <v>0</v>
      </c>
      <c r="O47" s="13" t="n">
        <v>1</v>
      </c>
      <c r="P47" s="13" t="n">
        <v>1</v>
      </c>
      <c r="Q47" s="13" t="n">
        <v>1</v>
      </c>
      <c r="R47" s="13" t="n">
        <v>1</v>
      </c>
      <c r="S47" s="13" t="n">
        <v>1</v>
      </c>
      <c r="T47" s="13" t="n">
        <v>0</v>
      </c>
      <c r="U47" s="13" t="n">
        <v>1</v>
      </c>
      <c r="V47" s="13" t="n">
        <v>1</v>
      </c>
      <c r="W47" s="13" t="n">
        <v>1</v>
      </c>
      <c r="X47" s="13" t="n">
        <v>1</v>
      </c>
      <c r="Y47" s="13" t="n">
        <v>1</v>
      </c>
      <c r="Z47" s="13" t="n">
        <v>0</v>
      </c>
      <c r="AA47" s="13" t="n">
        <v>0</v>
      </c>
      <c r="AB47" s="13" t="n">
        <v>1</v>
      </c>
      <c r="AC47" s="13" t="n">
        <v>1</v>
      </c>
      <c r="AD47" s="13" t="n">
        <v>1</v>
      </c>
      <c r="AE47" s="13" t="n">
        <v>1</v>
      </c>
      <c r="AF47" s="12">
        <f>COUNTIF(D47:AE47,1)</f>
        <v/>
      </c>
      <c r="AG47" s="12">
        <f>IF(COUNT(D47:AE47)=0,"",ROUND(AF47/28*100,1))</f>
        <v/>
      </c>
      <c r="AH47" s="12">
        <f>COUNTIF(D47:AE47,0)</f>
        <v/>
      </c>
      <c r="AI47" s="12">
        <f>IF(COUNT(D47:AE47)=0,"",ROUND(AH47/28*100,1))</f>
        <v/>
      </c>
      <c r="AJ47" s="20">
        <f>IF(AG47="","",IF(AG47&gt;=Нэгтгэл!$K$4,"Хангалттай эзэмшиж байна",IF(AG47&gt;=Нэгтгэл!$K$5,"Ахиж байна","Хөгжиж байна")))</f>
        <v/>
      </c>
    </row>
    <row r="48" ht="16" customHeight="1">
      <c r="A48" s="12" t="n">
        <v>42</v>
      </c>
      <c r="B48" s="12">
        <f>IF(Нэгтгэл!B48="","",Нэгтгэл!B48)</f>
        <v/>
      </c>
      <c r="C48" s="4" t="n"/>
      <c r="D48" s="13" t="n">
        <v>1</v>
      </c>
      <c r="E48" s="13" t="n">
        <v>1</v>
      </c>
      <c r="F48" s="13" t="n">
        <v>1</v>
      </c>
      <c r="G48" s="13" t="n">
        <v>0</v>
      </c>
      <c r="H48" s="13" t="n">
        <v>1</v>
      </c>
      <c r="I48" s="13" t="n">
        <v>0</v>
      </c>
      <c r="J48" s="13" t="n">
        <v>0</v>
      </c>
      <c r="K48" s="13" t="n">
        <v>0</v>
      </c>
      <c r="L48" s="13" t="n">
        <v>0</v>
      </c>
      <c r="M48" s="13" t="n">
        <v>1</v>
      </c>
      <c r="N48" s="13" t="n">
        <v>1</v>
      </c>
      <c r="O48" s="13" t="n">
        <v>1</v>
      </c>
      <c r="P48" s="13" t="n">
        <v>1</v>
      </c>
      <c r="Q48" s="13" t="n">
        <v>1</v>
      </c>
      <c r="R48" s="13" t="n">
        <v>1</v>
      </c>
      <c r="S48" s="13" t="n">
        <v>0</v>
      </c>
      <c r="T48" s="13" t="n">
        <v>1</v>
      </c>
      <c r="U48" s="13" t="n">
        <v>1</v>
      </c>
      <c r="V48" s="13" t="n">
        <v>0</v>
      </c>
      <c r="W48" s="13" t="n">
        <v>0</v>
      </c>
      <c r="X48" s="13" t="n">
        <v>1</v>
      </c>
      <c r="Y48" s="13" t="n">
        <v>1</v>
      </c>
      <c r="Z48" s="13" t="n">
        <v>1</v>
      </c>
      <c r="AA48" s="13" t="n">
        <v>0</v>
      </c>
      <c r="AB48" s="13" t="n">
        <v>1</v>
      </c>
      <c r="AC48" s="13" t="n">
        <v>0</v>
      </c>
      <c r="AD48" s="13" t="n">
        <v>1</v>
      </c>
      <c r="AE48" s="13" t="n">
        <v>1</v>
      </c>
      <c r="AF48" s="12">
        <f>COUNTIF(D48:AE48,1)</f>
        <v/>
      </c>
      <c r="AG48" s="12">
        <f>IF(COUNT(D48:AE48)=0,"",ROUND(AF48/28*100,1))</f>
        <v/>
      </c>
      <c r="AH48" s="12">
        <f>COUNTIF(D48:AE48,0)</f>
        <v/>
      </c>
      <c r="AI48" s="12">
        <f>IF(COUNT(D48:AE48)=0,"",ROUND(AH48/28*100,1))</f>
        <v/>
      </c>
      <c r="AJ48" s="20">
        <f>IF(AG48="","",IF(AG48&gt;=Нэгтгэл!$K$4,"Хангалттай эзэмшиж байна",IF(AG48&gt;=Нэгтгэл!$K$5,"Ахиж байна","Хөгжиж байна")))</f>
        <v/>
      </c>
    </row>
    <row r="49" ht="16" customHeight="1">
      <c r="A49" s="12" t="n">
        <v>43</v>
      </c>
      <c r="B49" s="12">
        <f>IF(Нэгтгэл!B49="","",Нэгтгэл!B49)</f>
        <v/>
      </c>
      <c r="C49" s="4" t="n"/>
      <c r="D49" s="13" t="n">
        <v>1</v>
      </c>
      <c r="E49" s="13" t="n">
        <v>1</v>
      </c>
      <c r="F49" s="13" t="n">
        <v>0</v>
      </c>
      <c r="G49" s="13" t="n">
        <v>1</v>
      </c>
      <c r="H49" s="13" t="n">
        <v>1</v>
      </c>
      <c r="I49" s="13" t="n">
        <v>1</v>
      </c>
      <c r="J49" s="13" t="n">
        <v>1</v>
      </c>
      <c r="K49" s="13" t="n">
        <v>1</v>
      </c>
      <c r="L49" s="13" t="n">
        <v>1</v>
      </c>
      <c r="M49" s="13" t="n">
        <v>1</v>
      </c>
      <c r="N49" s="13" t="n">
        <v>1</v>
      </c>
      <c r="O49" s="13" t="n">
        <v>1</v>
      </c>
      <c r="P49" s="13" t="n">
        <v>1</v>
      </c>
      <c r="Q49" s="13" t="n">
        <v>1</v>
      </c>
      <c r="R49" s="13" t="n">
        <v>1</v>
      </c>
      <c r="S49" s="13" t="n">
        <v>1</v>
      </c>
      <c r="T49" s="13" t="n">
        <v>0</v>
      </c>
      <c r="U49" s="13" t="n">
        <v>1</v>
      </c>
      <c r="V49" s="13" t="n">
        <v>1</v>
      </c>
      <c r="W49" s="13" t="n">
        <v>1</v>
      </c>
      <c r="X49" s="13" t="n">
        <v>1</v>
      </c>
      <c r="Y49" s="13" t="n">
        <v>1</v>
      </c>
      <c r="Z49" s="13" t="n">
        <v>1</v>
      </c>
      <c r="AA49" s="13" t="n">
        <v>1</v>
      </c>
      <c r="AB49" s="13" t="n">
        <v>1</v>
      </c>
      <c r="AC49" s="13" t="n">
        <v>1</v>
      </c>
      <c r="AD49" s="13" t="n">
        <v>1</v>
      </c>
      <c r="AE49" s="13" t="n">
        <v>1</v>
      </c>
      <c r="AF49" s="12">
        <f>COUNTIF(D49:AE49,1)</f>
        <v/>
      </c>
      <c r="AG49" s="12">
        <f>IF(COUNT(D49:AE49)=0,"",ROUND(AF49/28*100,1))</f>
        <v/>
      </c>
      <c r="AH49" s="12">
        <f>COUNTIF(D49:AE49,0)</f>
        <v/>
      </c>
      <c r="AI49" s="12">
        <f>IF(COUNT(D49:AE49)=0,"",ROUND(AH49/28*100,1))</f>
        <v/>
      </c>
      <c r="AJ49" s="20">
        <f>IF(AG49="","",IF(AG49&gt;=Нэгтгэл!$K$4,"Хангалттай эзэмшиж байна",IF(AG49&gt;=Нэгтгэл!$K$5,"Ахиж байна","Хөгжиж байна")))</f>
        <v/>
      </c>
    </row>
    <row r="50" ht="16" customHeight="1">
      <c r="A50" s="12" t="n">
        <v>44</v>
      </c>
      <c r="B50" s="12">
        <f>IF(Нэгтгэл!B50="","",Нэгтгэл!B50)</f>
        <v/>
      </c>
      <c r="C50" s="4" t="n"/>
      <c r="D50" s="13" t="n">
        <v>1</v>
      </c>
      <c r="E50" s="13" t="n">
        <v>0</v>
      </c>
      <c r="F50" s="13" t="n">
        <v>1</v>
      </c>
      <c r="G50" s="13" t="n">
        <v>1</v>
      </c>
      <c r="H50" s="13" t="n">
        <v>0</v>
      </c>
      <c r="I50" s="13" t="n">
        <v>1</v>
      </c>
      <c r="J50" s="13" t="n">
        <v>0</v>
      </c>
      <c r="K50" s="13" t="n">
        <v>0</v>
      </c>
      <c r="L50" s="13" t="n">
        <v>1</v>
      </c>
      <c r="M50" s="13" t="n">
        <v>1</v>
      </c>
      <c r="N50" s="13" t="n">
        <v>0</v>
      </c>
      <c r="O50" s="13" t="n">
        <v>1</v>
      </c>
      <c r="P50" s="13" t="n">
        <v>1</v>
      </c>
      <c r="Q50" s="13" t="n">
        <v>0</v>
      </c>
      <c r="R50" s="13" t="n">
        <v>1</v>
      </c>
      <c r="S50" s="13" t="n">
        <v>1</v>
      </c>
      <c r="T50" s="13" t="n">
        <v>0</v>
      </c>
      <c r="U50" s="13" t="n">
        <v>1</v>
      </c>
      <c r="V50" s="13" t="n">
        <v>1</v>
      </c>
      <c r="W50" s="13" t="n">
        <v>0</v>
      </c>
      <c r="X50" s="13" t="n">
        <v>1</v>
      </c>
      <c r="Y50" s="13" t="n">
        <v>1</v>
      </c>
      <c r="Z50" s="13" t="n">
        <v>1</v>
      </c>
      <c r="AA50" s="13" t="n">
        <v>1</v>
      </c>
      <c r="AB50" s="13" t="n">
        <v>1</v>
      </c>
      <c r="AC50" s="13" t="n">
        <v>1</v>
      </c>
      <c r="AD50" s="13" t="n">
        <v>1</v>
      </c>
      <c r="AE50" s="13" t="n">
        <v>0</v>
      </c>
      <c r="AF50" s="12">
        <f>COUNTIF(D50:AE50,1)</f>
        <v/>
      </c>
      <c r="AG50" s="12">
        <f>IF(COUNT(D50:AE50)=0,"",ROUND(AF50/28*100,1))</f>
        <v/>
      </c>
      <c r="AH50" s="12">
        <f>COUNTIF(D50:AE50,0)</f>
        <v/>
      </c>
      <c r="AI50" s="12">
        <f>IF(COUNT(D50:AE50)=0,"",ROUND(AH50/28*100,1))</f>
        <v/>
      </c>
      <c r="AJ50" s="20">
        <f>IF(AG50="","",IF(AG50&gt;=Нэгтгэл!$K$4,"Хангалттай эзэмшиж байна",IF(AG50&gt;=Нэгтгэл!$K$5,"Ахиж байна","Хөгжиж байна")))</f>
        <v/>
      </c>
    </row>
    <row r="51" ht="16" customHeight="1">
      <c r="A51" s="12" t="n">
        <v>45</v>
      </c>
      <c r="B51" s="12">
        <f>IF(Нэгтгэл!B51="","",Нэгтгэл!B51)</f>
        <v/>
      </c>
      <c r="C51" s="4" t="n"/>
      <c r="D51" s="13" t="n">
        <v>1</v>
      </c>
      <c r="E51" s="13" t="n">
        <v>1</v>
      </c>
      <c r="F51" s="13" t="n">
        <v>0</v>
      </c>
      <c r="G51" s="13" t="n">
        <v>1</v>
      </c>
      <c r="H51" s="13" t="n">
        <v>1</v>
      </c>
      <c r="I51" s="13" t="n">
        <v>1</v>
      </c>
      <c r="J51" s="13" t="n">
        <v>1</v>
      </c>
      <c r="K51" s="13" t="n">
        <v>0</v>
      </c>
      <c r="L51" s="13" t="n">
        <v>1</v>
      </c>
      <c r="M51" s="13" t="n">
        <v>1</v>
      </c>
      <c r="N51" s="13" t="n">
        <v>1</v>
      </c>
      <c r="O51" s="13" t="n">
        <v>1</v>
      </c>
      <c r="P51" s="13" t="n">
        <v>1</v>
      </c>
      <c r="Q51" s="13" t="n">
        <v>0</v>
      </c>
      <c r="R51" s="13" t="n">
        <v>1</v>
      </c>
      <c r="S51" s="13" t="n">
        <v>1</v>
      </c>
      <c r="T51" s="13" t="n">
        <v>1</v>
      </c>
      <c r="U51" s="13" t="n">
        <v>0</v>
      </c>
      <c r="V51" s="13" t="n">
        <v>0</v>
      </c>
      <c r="W51" s="13" t="n">
        <v>1</v>
      </c>
      <c r="X51" s="13" t="n">
        <v>0</v>
      </c>
      <c r="Y51" s="13" t="n">
        <v>1</v>
      </c>
      <c r="Z51" s="13" t="n">
        <v>1</v>
      </c>
      <c r="AA51" s="13" t="n">
        <v>1</v>
      </c>
      <c r="AB51" s="13" t="n">
        <v>0</v>
      </c>
      <c r="AC51" s="13" t="n">
        <v>0</v>
      </c>
      <c r="AD51" s="13" t="n">
        <v>1</v>
      </c>
      <c r="AE51" s="13" t="n">
        <v>1</v>
      </c>
      <c r="AF51" s="12">
        <f>COUNTIF(D51:AE51,1)</f>
        <v/>
      </c>
      <c r="AG51" s="12">
        <f>IF(COUNT(D51:AE51)=0,"",ROUND(AF51/28*100,1))</f>
        <v/>
      </c>
      <c r="AH51" s="12">
        <f>COUNTIF(D51:AE51,0)</f>
        <v/>
      </c>
      <c r="AI51" s="12">
        <f>IF(COUNT(D51:AE51)=0,"",ROUND(AH51/28*100,1))</f>
        <v/>
      </c>
      <c r="AJ51" s="20">
        <f>IF(AG51="","",IF(AG51&gt;=Нэгтгэл!$K$4,"Хангалттай эзэмшиж байна",IF(AG51&gt;=Нэгтгэл!$K$5,"Ахиж байна","Хөгжиж байна")))</f>
        <v/>
      </c>
    </row>
    <row r="52" ht="16" customHeight="1">
      <c r="A52" s="12" t="n">
        <v>46</v>
      </c>
      <c r="B52" s="12">
        <f>IF(Нэгтгэл!B52="","",Нэгтгэл!B52)</f>
        <v/>
      </c>
      <c r="C52" s="4" t="n"/>
      <c r="D52" s="13" t="n">
        <v>0</v>
      </c>
      <c r="E52" s="13" t="n">
        <v>0</v>
      </c>
      <c r="F52" s="13" t="n">
        <v>1</v>
      </c>
      <c r="G52" s="13" t="n">
        <v>1</v>
      </c>
      <c r="H52" s="13" t="n">
        <v>1</v>
      </c>
      <c r="I52" s="13" t="n">
        <v>1</v>
      </c>
      <c r="J52" s="13" t="n">
        <v>0</v>
      </c>
      <c r="K52" s="13" t="n">
        <v>0</v>
      </c>
      <c r="L52" s="13" t="n">
        <v>1</v>
      </c>
      <c r="M52" s="13" t="n">
        <v>1</v>
      </c>
      <c r="N52" s="13" t="n">
        <v>0</v>
      </c>
      <c r="O52" s="13" t="n">
        <v>0</v>
      </c>
      <c r="P52" s="13" t="n">
        <v>1</v>
      </c>
      <c r="Q52" s="13" t="n">
        <v>0</v>
      </c>
      <c r="R52" s="13" t="n">
        <v>1</v>
      </c>
      <c r="S52" s="13" t="n">
        <v>0</v>
      </c>
      <c r="T52" s="13" t="n">
        <v>1</v>
      </c>
      <c r="U52" s="13" t="n">
        <v>1</v>
      </c>
      <c r="V52" s="13" t="n">
        <v>1</v>
      </c>
      <c r="W52" s="13" t="n">
        <v>1</v>
      </c>
      <c r="X52" s="13" t="n">
        <v>1</v>
      </c>
      <c r="Y52" s="13" t="n">
        <v>0</v>
      </c>
      <c r="Z52" s="13" t="n">
        <v>1</v>
      </c>
      <c r="AA52" s="13" t="n">
        <v>1</v>
      </c>
      <c r="AB52" s="13" t="n">
        <v>0</v>
      </c>
      <c r="AC52" s="13" t="n">
        <v>1</v>
      </c>
      <c r="AD52" s="13" t="n">
        <v>0</v>
      </c>
      <c r="AE52" s="13" t="n">
        <v>1</v>
      </c>
      <c r="AF52" s="12">
        <f>COUNTIF(D52:AE52,1)</f>
        <v/>
      </c>
      <c r="AG52" s="12">
        <f>IF(COUNT(D52:AE52)=0,"",ROUND(AF52/28*100,1))</f>
        <v/>
      </c>
      <c r="AH52" s="12">
        <f>COUNTIF(D52:AE52,0)</f>
        <v/>
      </c>
      <c r="AI52" s="12">
        <f>IF(COUNT(D52:AE52)=0,"",ROUND(AH52/28*100,1))</f>
        <v/>
      </c>
      <c r="AJ52" s="20">
        <f>IF(AG52="","",IF(AG52&gt;=Нэгтгэл!$K$4,"Хангалттай эзэмшиж байна",IF(AG52&gt;=Нэгтгэл!$K$5,"Ахиж байна","Хөгжиж байна")))</f>
        <v/>
      </c>
    </row>
    <row r="53" ht="16" customHeight="1">
      <c r="A53" s="12" t="n">
        <v>47</v>
      </c>
      <c r="B53" s="12">
        <f>IF(Нэгтгэл!B53="","",Нэгтгэл!B53)</f>
        <v/>
      </c>
      <c r="C53" s="4" t="n"/>
      <c r="D53" s="13" t="n">
        <v>1</v>
      </c>
      <c r="E53" s="13" t="n">
        <v>1</v>
      </c>
      <c r="F53" s="13" t="n">
        <v>1</v>
      </c>
      <c r="G53" s="13" t="n">
        <v>1</v>
      </c>
      <c r="H53" s="13" t="n">
        <v>1</v>
      </c>
      <c r="I53" s="13" t="n">
        <v>1</v>
      </c>
      <c r="J53" s="13" t="n">
        <v>0</v>
      </c>
      <c r="K53" s="13" t="n">
        <v>1</v>
      </c>
      <c r="L53" s="13" t="n">
        <v>1</v>
      </c>
      <c r="M53" s="13" t="n">
        <v>1</v>
      </c>
      <c r="N53" s="13" t="n">
        <v>1</v>
      </c>
      <c r="O53" s="13" t="n">
        <v>1</v>
      </c>
      <c r="P53" s="13" t="n">
        <v>1</v>
      </c>
      <c r="Q53" s="13" t="n">
        <v>1</v>
      </c>
      <c r="R53" s="13" t="n">
        <v>0</v>
      </c>
      <c r="S53" s="13" t="n">
        <v>1</v>
      </c>
      <c r="T53" s="13" t="n">
        <v>1</v>
      </c>
      <c r="U53" s="13" t="n">
        <v>0</v>
      </c>
      <c r="V53" s="13" t="n">
        <v>0</v>
      </c>
      <c r="W53" s="13" t="n">
        <v>0</v>
      </c>
      <c r="X53" s="13" t="n">
        <v>1</v>
      </c>
      <c r="Y53" s="13" t="n">
        <v>1</v>
      </c>
      <c r="Z53" s="13" t="n">
        <v>1</v>
      </c>
      <c r="AA53" s="13" t="n">
        <v>1</v>
      </c>
      <c r="AB53" s="13" t="n">
        <v>1</v>
      </c>
      <c r="AC53" s="13" t="n">
        <v>1</v>
      </c>
      <c r="AD53" s="13" t="n">
        <v>1</v>
      </c>
      <c r="AE53" s="13" t="n">
        <v>1</v>
      </c>
      <c r="AF53" s="12">
        <f>COUNTIF(D53:AE53,1)</f>
        <v/>
      </c>
      <c r="AG53" s="12">
        <f>IF(COUNT(D53:AE53)=0,"",ROUND(AF53/28*100,1))</f>
        <v/>
      </c>
      <c r="AH53" s="12">
        <f>COUNTIF(D53:AE53,0)</f>
        <v/>
      </c>
      <c r="AI53" s="12">
        <f>IF(COUNT(D53:AE53)=0,"",ROUND(AH53/28*100,1))</f>
        <v/>
      </c>
      <c r="AJ53" s="20">
        <f>IF(AG53="","",IF(AG53&gt;=Нэгтгэл!$K$4,"Хангалттай эзэмшиж байна",IF(AG53&gt;=Нэгтгэл!$K$5,"Ахиж байна","Хөгжиж байна")))</f>
        <v/>
      </c>
    </row>
    <row r="54" ht="16" customHeight="1">
      <c r="A54" s="12" t="n">
        <v>48</v>
      </c>
      <c r="B54" s="12">
        <f>IF(Нэгтгэл!B54="","",Нэгтгэл!B54)</f>
        <v/>
      </c>
      <c r="C54" s="4" t="n"/>
      <c r="D54" s="13" t="n">
        <v>0</v>
      </c>
      <c r="E54" s="13" t="n">
        <v>1</v>
      </c>
      <c r="F54" s="13" t="n">
        <v>1</v>
      </c>
      <c r="G54" s="13" t="n">
        <v>0</v>
      </c>
      <c r="H54" s="13" t="n">
        <v>1</v>
      </c>
      <c r="I54" s="13" t="n">
        <v>1</v>
      </c>
      <c r="J54" s="13" t="n">
        <v>0</v>
      </c>
      <c r="K54" s="13" t="n">
        <v>1</v>
      </c>
      <c r="L54" s="13" t="n">
        <v>1</v>
      </c>
      <c r="M54" s="13" t="n">
        <v>1</v>
      </c>
      <c r="N54" s="13" t="n">
        <v>0</v>
      </c>
      <c r="O54" s="13" t="n">
        <v>1</v>
      </c>
      <c r="P54" s="13" t="n">
        <v>1</v>
      </c>
      <c r="Q54" s="13" t="n">
        <v>0</v>
      </c>
      <c r="R54" s="13" t="n">
        <v>1</v>
      </c>
      <c r="S54" s="13" t="n">
        <v>1</v>
      </c>
      <c r="T54" s="13" t="n">
        <v>0</v>
      </c>
      <c r="U54" s="13" t="n">
        <v>1</v>
      </c>
      <c r="V54" s="13" t="n">
        <v>0</v>
      </c>
      <c r="W54" s="13" t="n">
        <v>0</v>
      </c>
      <c r="X54" s="13" t="n">
        <v>0</v>
      </c>
      <c r="Y54" s="13" t="n">
        <v>1</v>
      </c>
      <c r="Z54" s="13" t="n">
        <v>1</v>
      </c>
      <c r="AA54" s="13" t="n">
        <v>1</v>
      </c>
      <c r="AB54" s="13" t="n">
        <v>0</v>
      </c>
      <c r="AC54" s="13" t="n">
        <v>0</v>
      </c>
      <c r="AD54" s="13" t="n">
        <v>1</v>
      </c>
      <c r="AE54" s="13" t="n">
        <v>0</v>
      </c>
      <c r="AF54" s="12">
        <f>COUNTIF(D54:AE54,1)</f>
        <v/>
      </c>
      <c r="AG54" s="12">
        <f>IF(COUNT(D54:AE54)=0,"",ROUND(AF54/28*100,1))</f>
        <v/>
      </c>
      <c r="AH54" s="12">
        <f>COUNTIF(D54:AE54,0)</f>
        <v/>
      </c>
      <c r="AI54" s="12">
        <f>IF(COUNT(D54:AE54)=0,"",ROUND(AH54/28*100,1))</f>
        <v/>
      </c>
      <c r="AJ54" s="20">
        <f>IF(AG54="","",IF(AG54&gt;=Нэгтгэл!$K$4,"Хангалттай эзэмшиж байна",IF(AG54&gt;=Нэгтгэл!$K$5,"Ахиж байна","Хөгжиж байна")))</f>
        <v/>
      </c>
    </row>
    <row r="55" ht="16" customHeight="1">
      <c r="A55" s="12" t="n">
        <v>49</v>
      </c>
      <c r="B55" s="12">
        <f>IF(Нэгтгэл!B55="","",Нэгтгэл!B55)</f>
        <v/>
      </c>
      <c r="C55" s="4" t="n"/>
      <c r="D55" s="13" t="n">
        <v>0</v>
      </c>
      <c r="E55" s="13" t="n">
        <v>1</v>
      </c>
      <c r="F55" s="13" t="n">
        <v>1</v>
      </c>
      <c r="G55" s="13" t="n">
        <v>0</v>
      </c>
      <c r="H55" s="13" t="n">
        <v>1</v>
      </c>
      <c r="I55" s="13" t="n">
        <v>1</v>
      </c>
      <c r="J55" s="13" t="n">
        <v>1</v>
      </c>
      <c r="K55" s="13" t="n">
        <v>1</v>
      </c>
      <c r="L55" s="13" t="n">
        <v>1</v>
      </c>
      <c r="M55" s="13" t="n">
        <v>1</v>
      </c>
      <c r="N55" s="13" t="n">
        <v>1</v>
      </c>
      <c r="O55" s="13" t="n">
        <v>1</v>
      </c>
      <c r="P55" s="13" t="n">
        <v>1</v>
      </c>
      <c r="Q55" s="13" t="n">
        <v>1</v>
      </c>
      <c r="R55" s="13" t="n">
        <v>1</v>
      </c>
      <c r="S55" s="13" t="n">
        <v>1</v>
      </c>
      <c r="T55" s="13" t="n">
        <v>1</v>
      </c>
      <c r="U55" s="13" t="n">
        <v>0</v>
      </c>
      <c r="V55" s="13" t="n">
        <v>0</v>
      </c>
      <c r="W55" s="13" t="n">
        <v>1</v>
      </c>
      <c r="X55" s="13" t="n">
        <v>0</v>
      </c>
      <c r="Y55" s="13" t="n">
        <v>0</v>
      </c>
      <c r="Z55" s="13" t="n">
        <v>1</v>
      </c>
      <c r="AA55" s="13" t="n">
        <v>1</v>
      </c>
      <c r="AB55" s="13" t="n">
        <v>1</v>
      </c>
      <c r="AC55" s="13" t="n">
        <v>0</v>
      </c>
      <c r="AD55" s="13" t="n">
        <v>0</v>
      </c>
      <c r="AE55" s="13" t="n">
        <v>1</v>
      </c>
      <c r="AF55" s="12">
        <f>COUNTIF(D55:AE55,1)</f>
        <v/>
      </c>
      <c r="AG55" s="12">
        <f>IF(COUNT(D55:AE55)=0,"",ROUND(AF55/28*100,1))</f>
        <v/>
      </c>
      <c r="AH55" s="12">
        <f>COUNTIF(D55:AE55,0)</f>
        <v/>
      </c>
      <c r="AI55" s="12">
        <f>IF(COUNT(D55:AE55)=0,"",ROUND(AH55/28*100,1))</f>
        <v/>
      </c>
      <c r="AJ55" s="20">
        <f>IF(AG55="","",IF(AG55&gt;=Нэгтгэл!$K$4,"Хангалттай эзэмшиж байна",IF(AG55&gt;=Нэгтгэл!$K$5,"Ахиж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5">
        <f>COUNTIF(L7:L55,1)</f>
        <v/>
      </c>
      <c r="M56" s="5">
        <f>COUNTIF(M7:M55,1)</f>
        <v/>
      </c>
      <c r="N56" s="5">
        <f>COUNTIF(N7:N55,1)</f>
        <v/>
      </c>
      <c r="O56" s="5">
        <f>COUNTIF(O7:O55,1)</f>
        <v/>
      </c>
      <c r="P56" s="5">
        <f>COUNTIF(P7:P55,1)</f>
        <v/>
      </c>
      <c r="Q56" s="5">
        <f>COUNTIF(Q7:Q55,1)</f>
        <v/>
      </c>
      <c r="R56" s="5">
        <f>COUNTIF(R7:R55,1)</f>
        <v/>
      </c>
      <c r="S56" s="5">
        <f>COUNTIF(S7:S55,1)</f>
        <v/>
      </c>
      <c r="T56" s="5">
        <f>COUNTIF(T7:T55,1)</f>
        <v/>
      </c>
      <c r="U56" s="5">
        <f>COUNTIF(U7:U55,1)</f>
        <v/>
      </c>
      <c r="V56" s="5">
        <f>COUNTIF(V7:V55,1)</f>
        <v/>
      </c>
      <c r="W56" s="5">
        <f>COUNTIF(W7:W55,1)</f>
        <v/>
      </c>
      <c r="X56" s="5">
        <f>COUNTIF(X7:X55,1)</f>
        <v/>
      </c>
      <c r="Y56" s="5">
        <f>COUNTIF(Y7:Y55,1)</f>
        <v/>
      </c>
      <c r="Z56" s="5">
        <f>COUNTIF(Z7:Z55,1)</f>
        <v/>
      </c>
      <c r="AA56" s="5">
        <f>COUNTIF(AA7:AA55,1)</f>
        <v/>
      </c>
      <c r="AB56" s="5">
        <f>COUNTIF(AB7:AB55,1)</f>
        <v/>
      </c>
      <c r="AC56" s="5">
        <f>COUNTIF(AC7:AC55,1)</f>
        <v/>
      </c>
      <c r="AD56" s="5">
        <f>COUNTIF(AD7:AD55,1)</f>
        <v/>
      </c>
      <c r="AE56" s="5">
        <f>COUNTIF(AE7:AE55,1)</f>
        <v/>
      </c>
      <c r="AF56" s="21" t="inlineStr">
        <is>
          <t>Хангалттай эзэмшиж байна</t>
        </is>
      </c>
      <c r="AG56" s="22" t="n"/>
      <c r="AH56" s="22" t="n"/>
      <c r="AI56" s="23" t="n"/>
      <c r="AJ56" s="5">
        <f>COUNTIF(AJ7:AJ55,"Хангалттай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5">
        <f>IF(COUNT(L7:L55)=0,"",ROUND(COUNTIF(L7:L55,1)/COUNT(L7:L55)*100,1))</f>
        <v/>
      </c>
      <c r="M57" s="5">
        <f>IF(COUNT(M7:M55)=0,"",ROUND(COUNTIF(M7:M55,1)/COUNT(M7:M55)*100,1))</f>
        <v/>
      </c>
      <c r="N57" s="5">
        <f>IF(COUNT(N7:N55)=0,"",ROUND(COUNTIF(N7:N55,1)/COUNT(N7:N55)*100,1))</f>
        <v/>
      </c>
      <c r="O57" s="5">
        <f>IF(COUNT(O7:O55)=0,"",ROUND(COUNTIF(O7:O55,1)/COUNT(O7:O55)*100,1))</f>
        <v/>
      </c>
      <c r="P57" s="5">
        <f>IF(COUNT(P7:P55)=0,"",ROUND(COUNTIF(P7:P55,1)/COUNT(P7:P55)*100,1))</f>
        <v/>
      </c>
      <c r="Q57" s="5">
        <f>IF(COUNT(Q7:Q55)=0,"",ROUND(COUNTIF(Q7:Q55,1)/COUNT(Q7:Q55)*100,1))</f>
        <v/>
      </c>
      <c r="R57" s="5">
        <f>IF(COUNT(R7:R55)=0,"",ROUND(COUNTIF(R7:R55,1)/COUNT(R7:R55)*100,1))</f>
        <v/>
      </c>
      <c r="S57" s="5">
        <f>IF(COUNT(S7:S55)=0,"",ROUND(COUNTIF(S7:S55,1)/COUNT(S7:S55)*100,1))</f>
        <v/>
      </c>
      <c r="T57" s="5">
        <f>IF(COUNT(T7:T55)=0,"",ROUND(COUNTIF(T7:T55,1)/COUNT(T7:T55)*100,1))</f>
        <v/>
      </c>
      <c r="U57" s="5">
        <f>IF(COUNT(U7:U55)=0,"",ROUND(COUNTIF(U7:U55,1)/COUNT(U7:U55)*100,1))</f>
        <v/>
      </c>
      <c r="V57" s="5">
        <f>IF(COUNT(V7:V55)=0,"",ROUND(COUNTIF(V7:V55,1)/COUNT(V7:V55)*100,1))</f>
        <v/>
      </c>
      <c r="W57" s="5">
        <f>IF(COUNT(W7:W55)=0,"",ROUND(COUNTIF(W7:W55,1)/COUNT(W7:W55)*100,1))</f>
        <v/>
      </c>
      <c r="X57" s="5">
        <f>IF(COUNT(X7:X55)=0,"",ROUND(COUNTIF(X7:X55,1)/COUNT(X7:X55)*100,1))</f>
        <v/>
      </c>
      <c r="Y57" s="5">
        <f>IF(COUNT(Y7:Y55)=0,"",ROUND(COUNTIF(Y7:Y55,1)/COUNT(Y7:Y55)*100,1))</f>
        <v/>
      </c>
      <c r="Z57" s="5">
        <f>IF(COUNT(Z7:Z55)=0,"",ROUND(COUNTIF(Z7:Z55,1)/COUNT(Z7:Z55)*100,1))</f>
        <v/>
      </c>
      <c r="AA57" s="5">
        <f>IF(COUNT(AA7:AA55)=0,"",ROUND(COUNTIF(AA7:AA55,1)/COUNT(AA7:AA55)*100,1))</f>
        <v/>
      </c>
      <c r="AB57" s="5">
        <f>IF(COUNT(AB7:AB55)=0,"",ROUND(COUNTIF(AB7:AB55,1)/COUNT(AB7:AB55)*100,1))</f>
        <v/>
      </c>
      <c r="AC57" s="5">
        <f>IF(COUNT(AC7:AC55)=0,"",ROUND(COUNTIF(AC7:AC55,1)/COUNT(AC7:AC55)*100,1))</f>
        <v/>
      </c>
      <c r="AD57" s="5">
        <f>IF(COUNT(AD7:AD55)=0,"",ROUND(COUNTIF(AD7:AD55,1)/COUNT(AD7:AD55)*100,1))</f>
        <v/>
      </c>
      <c r="AE57" s="5">
        <f>IF(COUNT(AE7:AE55)=0,"",ROUND(COUNTIF(AE7:AE55,1)/COUNT(AE7:AE55)*100,1))</f>
        <v/>
      </c>
      <c r="AF57" s="21" t="inlineStr">
        <is>
          <t>Ахиж байна</t>
        </is>
      </c>
      <c r="AG57" s="22" t="n"/>
      <c r="AH57" s="22" t="n"/>
      <c r="AI57" s="23" t="n"/>
      <c r="AJ57" s="5">
        <f>COUNTIF(AJ7:AJ55,"Ахиж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5">
        <f>COUNTIF(L7:L55,0)</f>
        <v/>
      </c>
      <c r="M58" s="5">
        <f>COUNTIF(M7:M55,0)</f>
        <v/>
      </c>
      <c r="N58" s="5">
        <f>COUNTIF(N7:N55,0)</f>
        <v/>
      </c>
      <c r="O58" s="5">
        <f>COUNTIF(O7:O55,0)</f>
        <v/>
      </c>
      <c r="P58" s="5">
        <f>COUNTIF(P7:P55,0)</f>
        <v/>
      </c>
      <c r="Q58" s="5">
        <f>COUNTIF(Q7:Q55,0)</f>
        <v/>
      </c>
      <c r="R58" s="5">
        <f>COUNTIF(R7:R55,0)</f>
        <v/>
      </c>
      <c r="S58" s="5">
        <f>COUNTIF(S7:S55,0)</f>
        <v/>
      </c>
      <c r="T58" s="5">
        <f>COUNTIF(T7:T55,0)</f>
        <v/>
      </c>
      <c r="U58" s="5">
        <f>COUNTIF(U7:U55,0)</f>
        <v/>
      </c>
      <c r="V58" s="5">
        <f>COUNTIF(V7:V55,0)</f>
        <v/>
      </c>
      <c r="W58" s="5">
        <f>COUNTIF(W7:W55,0)</f>
        <v/>
      </c>
      <c r="X58" s="5">
        <f>COUNTIF(X7:X55,0)</f>
        <v/>
      </c>
      <c r="Y58" s="5">
        <f>COUNTIF(Y7:Y55,0)</f>
        <v/>
      </c>
      <c r="Z58" s="5">
        <f>COUNTIF(Z7:Z55,0)</f>
        <v/>
      </c>
      <c r="AA58" s="5">
        <f>COUNTIF(AA7:AA55,0)</f>
        <v/>
      </c>
      <c r="AB58" s="5">
        <f>COUNTIF(AB7:AB55,0)</f>
        <v/>
      </c>
      <c r="AC58" s="5">
        <f>COUNTIF(AC7:AC55,0)</f>
        <v/>
      </c>
      <c r="AD58" s="5">
        <f>COUNTIF(AD7:AD55,0)</f>
        <v/>
      </c>
      <c r="AE58" s="5">
        <f>COUNTIF(AE7:AE55,0)</f>
        <v/>
      </c>
      <c r="AF58" s="21" t="inlineStr">
        <is>
          <t>Хөгжиж байна</t>
        </is>
      </c>
      <c r="AG58" s="22" t="n"/>
      <c r="AH58" s="22" t="n"/>
      <c r="AI58" s="23" t="n"/>
      <c r="AJ58" s="5">
        <f>COUNTIF(AJ7:AJ55,"Хөгжиж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5">
        <f>IF(COUNT(L7:L55)=0,"",ROUND(COUNTIF(L7:L55,0)/COUNT(L7:L55)*100,1))</f>
        <v/>
      </c>
      <c r="M59" s="5">
        <f>IF(COUNT(M7:M55)=0,"",ROUND(COUNTIF(M7:M55,0)/COUNT(M7:M55)*100,1))</f>
        <v/>
      </c>
      <c r="N59" s="5">
        <f>IF(COUNT(N7:N55)=0,"",ROUND(COUNTIF(N7:N55,0)/COUNT(N7:N55)*100,1))</f>
        <v/>
      </c>
      <c r="O59" s="5">
        <f>IF(COUNT(O7:O55)=0,"",ROUND(COUNTIF(O7:O55,0)/COUNT(O7:O55)*100,1))</f>
        <v/>
      </c>
      <c r="P59" s="5">
        <f>IF(COUNT(P7:P55)=0,"",ROUND(COUNTIF(P7:P55,0)/COUNT(P7:P55)*100,1))</f>
        <v/>
      </c>
      <c r="Q59" s="5">
        <f>IF(COUNT(Q7:Q55)=0,"",ROUND(COUNTIF(Q7:Q55,0)/COUNT(Q7:Q55)*100,1))</f>
        <v/>
      </c>
      <c r="R59" s="5">
        <f>IF(COUNT(R7:R55)=0,"",ROUND(COUNTIF(R7:R55,0)/COUNT(R7:R55)*100,1))</f>
        <v/>
      </c>
      <c r="S59" s="5">
        <f>IF(COUNT(S7:S55)=0,"",ROUND(COUNTIF(S7:S55,0)/COUNT(S7:S55)*100,1))</f>
        <v/>
      </c>
      <c r="T59" s="5">
        <f>IF(COUNT(T7:T55)=0,"",ROUND(COUNTIF(T7:T55,0)/COUNT(T7:T55)*100,1))</f>
        <v/>
      </c>
      <c r="U59" s="5">
        <f>IF(COUNT(U7:U55)=0,"",ROUND(COUNTIF(U7:U55,0)/COUNT(U7:U55)*100,1))</f>
        <v/>
      </c>
      <c r="V59" s="5">
        <f>IF(COUNT(V7:V55)=0,"",ROUND(COUNTIF(V7:V55,0)/COUNT(V7:V55)*100,1))</f>
        <v/>
      </c>
      <c r="W59" s="5">
        <f>IF(COUNT(W7:W55)=0,"",ROUND(COUNTIF(W7:W55,0)/COUNT(W7:W55)*100,1))</f>
        <v/>
      </c>
      <c r="X59" s="5">
        <f>IF(COUNT(X7:X55)=0,"",ROUND(COUNTIF(X7:X55,0)/COUNT(X7:X55)*100,1))</f>
        <v/>
      </c>
      <c r="Y59" s="5">
        <f>IF(COUNT(Y7:Y55)=0,"",ROUND(COUNTIF(Y7:Y55,0)/COUNT(Y7:Y55)*100,1))</f>
        <v/>
      </c>
      <c r="Z59" s="5">
        <f>IF(COUNT(Z7:Z55)=0,"",ROUND(COUNTIF(Z7:Z55,0)/COUNT(Z7:Z55)*100,1))</f>
        <v/>
      </c>
      <c r="AA59" s="5">
        <f>IF(COUNT(AA7:AA55)=0,"",ROUND(COUNTIF(AA7:AA55,0)/COUNT(AA7:AA55)*100,1))</f>
        <v/>
      </c>
      <c r="AB59" s="5">
        <f>IF(COUNT(AB7:AB55)=0,"",ROUND(COUNTIF(AB7:AB55,0)/COUNT(AB7:AB55)*100,1))</f>
        <v/>
      </c>
      <c r="AC59" s="5">
        <f>IF(COUNT(AC7:AC55)=0,"",ROUND(COUNTIF(AC7:AC55,0)/COUNT(AC7:AC55)*100,1))</f>
        <v/>
      </c>
      <c r="AD59" s="5">
        <f>IF(COUNT(AD7:AD55)=0,"",ROUND(COUNTIF(AD7:AD55,0)/COUNT(AD7:AD55)*100,1))</f>
        <v/>
      </c>
      <c r="AE59" s="5">
        <f>IF(COUNT(AE7:AE55)=0,"",ROUND(COUNTIF(AE7:AE55,0)/COUNT(AE7:AE55)*100,1))</f>
        <v/>
      </c>
      <c r="AF59" s="15" t="n"/>
      <c r="AG59" s="15" t="n"/>
      <c r="AH59" s="15" t="n"/>
      <c r="AI59" s="15" t="n"/>
      <c r="AJ59" s="15" t="n"/>
    </row>
  </sheetData>
  <mergeCells count="66">
    <mergeCell ref="B47:C47"/>
    <mergeCell ref="B16:C16"/>
    <mergeCell ref="B54:C54"/>
    <mergeCell ref="B7:C7"/>
    <mergeCell ref="B25:C25"/>
    <mergeCell ref="B46:C46"/>
    <mergeCell ref="A56:C56"/>
    <mergeCell ref="B22:C22"/>
    <mergeCell ref="B31:C31"/>
    <mergeCell ref="D3:AE3"/>
    <mergeCell ref="B18:C18"/>
    <mergeCell ref="B27:C27"/>
    <mergeCell ref="A57:C57"/>
    <mergeCell ref="B43:C43"/>
    <mergeCell ref="B12:C12"/>
    <mergeCell ref="B39:C39"/>
    <mergeCell ref="B52:C52"/>
    <mergeCell ref="B21:C21"/>
    <mergeCell ref="B48:C48"/>
    <mergeCell ref="B11:C11"/>
    <mergeCell ref="AF56:AI56"/>
    <mergeCell ref="B42:C42"/>
    <mergeCell ref="B23:C23"/>
    <mergeCell ref="A3:A6"/>
    <mergeCell ref="B14:C14"/>
    <mergeCell ref="A2:AJ2"/>
    <mergeCell ref="AJ3:AJ6"/>
    <mergeCell ref="B17:C17"/>
    <mergeCell ref="B8:C8"/>
    <mergeCell ref="B53:C53"/>
    <mergeCell ref="B13:C13"/>
    <mergeCell ref="B38:C38"/>
    <mergeCell ref="B44:C44"/>
    <mergeCell ref="B29:C29"/>
    <mergeCell ref="AF57:AI57"/>
    <mergeCell ref="B19:C19"/>
    <mergeCell ref="B34:C34"/>
    <mergeCell ref="B37:C37"/>
    <mergeCell ref="B10:C10"/>
    <mergeCell ref="B28:C28"/>
    <mergeCell ref="A58:C58"/>
    <mergeCell ref="AG3:AG6"/>
    <mergeCell ref="AI3:AI6"/>
    <mergeCell ref="B40:C40"/>
    <mergeCell ref="B9:C9"/>
    <mergeCell ref="A59:C59"/>
    <mergeCell ref="B49:C49"/>
    <mergeCell ref="B55:C55"/>
    <mergeCell ref="B3:C6"/>
    <mergeCell ref="B24:C24"/>
    <mergeCell ref="B30:C30"/>
    <mergeCell ref="B15:C15"/>
    <mergeCell ref="B33:C33"/>
    <mergeCell ref="B51:C51"/>
    <mergeCell ref="B20:C20"/>
    <mergeCell ref="B45:C45"/>
    <mergeCell ref="AF3:AF6"/>
    <mergeCell ref="B36:C36"/>
    <mergeCell ref="B32:C32"/>
    <mergeCell ref="AH3:AH6"/>
    <mergeCell ref="B50:C50"/>
    <mergeCell ref="B26:C26"/>
    <mergeCell ref="B41:C41"/>
    <mergeCell ref="AF58:AI58"/>
    <mergeCell ref="B35:C35"/>
    <mergeCell ref="A1:AJ1"/>
  </mergeCells>
  <conditionalFormatting sqref="D7:AE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L7 L8 L9 L10 L11 L12 L13 L14 L15 L16 L17 L18 L19 L20 L21 L22 L23 L24 L25 L26 L27 L28 L29 L30 L31 L32 L33 L34 L35 L36 L37 L38 L39 L40 L41 L42 L43 L44 L45 L46 L47 L48 L49 L50 L51 L52 L53 L54 L55 M7 M8 M9 M10 M11 M12 M13 M14 M15 M16 M17 M18 M19 M20 M21 M22 M23 M24 M25 M26 M27 M28 M29 M30 M31 M32 M33 M34 M35 M36 M37 M38 M39 M40 M41 M42 M43 M44 M45 M46 M47 M48 M49 M50 M51 M52 M53 M54 M55 N7 N8 N9 N10 N11 N12 N13 N14 N15 N16 N17 N18 N19 N20 N21 N22 N23 N24 N25 N26 N27 N28 N29 N30 N31 N32 N33 N34 N35 N36 N37 N38 N39 N40 N41 N42 N43 N44 N45 N46 N47 N48 N49 N50 N51 N52 N53 N54 N55 O7 O8 O9 O10 O11 O12 O13 O14 O15 O16 O17 O18 O19 O20 O21 O22 O23 O24 O25 O26 O27 O28 O29 O30 O31 O32 O33 O34 O35 O36 O37 O38 O39 O40 O41 O42 O43 O44 O45 O46 O47 O48 O49 O50 O51 O52 O53 O54 O55 P7 P8 P9 P10 P11 P12 P13 P14 P15 P16 P17 P18 P19 P20 P21 P22 P23 P24 P25 P26 P27 P28 P29 P30 P31 P32 P33 P34 P35 P36 P37 P38 P39 P40 P41 P42 P43 P44 P45 P46 P47 P48 P49 P50 P51 P52 P53 P54 P55 Q7 Q8 Q9 Q10 Q11 Q12 Q13 Q14 Q15 Q16 Q17 Q18 Q19 Q20 Q21 Q22 Q23 Q24 Q25 Q26 Q27 Q28 Q29 Q30 Q31 Q32 Q33 Q34 Q35 Q36 Q37 Q38 Q39 Q40 Q41 Q42 Q43 Q44 Q45 Q46 Q47 Q48 Q49 Q50 Q51 Q52 Q53 Q54 Q55 R7 R8 R9 R10 R11 R12 R13 R14 R15 R16 R17 R18 R19 R20 R21 R22 R23 R24 R25 R26 R27 R28 R29 R30 R31 R32 R33 R34 R35 R36 R37 R38 R39 R40 R41 R42 R43 R44 R45 R46 R47 R48 R49 R50 R51 R52 R53 R54 R55 S7 S8 S9 S10 S11 S12 S13 S14 S15 S16 S17 S18 S19 S20 S21 S22 S23 S24 S25 S26 S27 S28 S29 S30 S31 S32 S33 S34 S35 S36 S37 S38 S39 S40 S41 S42 S43 S44 S45 S46 S47 S48 S49 S50 S51 S52 S53 S54 S55 T7 T8 T9 T10 T11 T12 T13 T14 T15 T16 T17 T18 T19 T20 T21 T22 T23 T24 T25 T26 T27 T28 T29 T30 T31 T32 T33 T34 T35 T36 T37 T38 T39 T40 T41 T42 T43 T44 T45 T46 T47 T48 T49 T50 T51 T52 T53 T54 T55 U7 U8 U9 U10 U11 U12 U13 U14 U15 U16 U17 U18 U19 U20 U21 U22 U23 U24 U25 U26 U27 U28 U29 U30 U31 U32 U33 U34 U35 U36 U37 U38 U39 U40 U41 U42 U43 U44 U45 U46 U47 U48 U49 U50 U51 U52 U53 U54 U55 V7 V8 V9 V10 V11 V12 V13 V14 V15 V16 V17 V18 V19 V20 V21 V22 V23 V24 V25 V26 V27 V28 V29 V30 V31 V32 V33 V34 V35 V36 V37 V38 V39 V40 V41 V42 V43 V44 V45 V46 V47 V48 V49 V50 V51 V52 V53 V54 V55 W7 W8 W9 W10 W11 W12 W13 W14 W15 W16 W17 W18 W19 W20 W21 W22 W23 W24 W25 W26 W27 W28 W29 W30 W31 W32 W33 W34 W35 W36 W37 W38 W39 W40 W41 W42 W43 W44 W45 W46 W47 W48 W49 W50 W51 W52 W53 W54 W55 X7 X8 X9 X10 X11 X12 X13 X14 X15 X16 X17 X18 X19 X20 X21 X22 X23 X24 X25 X26 X27 X28 X29 X30 X31 X32 X33 X34 X35 X36 X37 X38 X39 X40 X41 X42 X43 X44 X45 X46 X47 X48 X49 X50 X51 X52 X53 X54 X55 Y7 Y8 Y9 Y10 Y11 Y12 Y13 Y14 Y15 Y16 Y17 Y18 Y19 Y20 Y21 Y22 Y23 Y24 Y25 Y26 Y27 Y28 Y29 Y30 Y31 Y32 Y33 Y34 Y35 Y36 Y37 Y38 Y39 Y40 Y41 Y42 Y43 Y44 Y45 Y46 Y47 Y48 Y49 Y50 Y51 Y52 Y53 Y54 Y55 Z7 Z8 Z9 Z10 Z11 Z12 Z13 Z14 Z15 Z16 Z17 Z18 Z19 Z20 Z21 Z22 Z23 Z24 Z25 Z26 Z27 Z28 Z29 Z30 Z31 Z32 Z33 Z34 Z35 Z36 Z37 Z38 Z39 Z40 Z41 Z42 Z43 Z44 Z45 Z46 Z47 Z48 Z49 Z50 Z51 Z52 Z53 Z54 Z55 AA7 AA8 AA9 AA10 AA11 AA12 AA13 AA14 AA15 AA16 AA17 AA18 AA19 AA20 AA21 AA22 AA23 AA24 AA25 AA26 AA27 AA28 AA29 AA30 AA31 AA32 AA33 AA34 AA35 AA36 AA37 AA38 AA39 AA40 AA41 AA42 AA43 AA44 AA45 AA46 AA47 AA48 AA49 AA50 AA51 AA52 AA53 AA54 AA55 AB7 AB8 AB9 AB10 AB11 AB12 AB13 AB14 AB15 AB16 AB17 AB18 AB19 AB20 AB21 AB22 AB23 AB24 AB25 AB26 AB27 AB28 AB29 AB30 AB31 AB32 AB33 AB34 AB35 AB36 AB37 AB38 AB39 AB40 AB41 AB42 AB43 AB44 AB45 AB46 AB47 AB48 AB49 AB50 AB51 AB52 AB53 AB54 AB55 AC7 AC8 AC9 AC10 AC11 AC12 AC13 AC14 AC15 AC16 AC17 AC18 AC19 AC20 AC21 AC22 AC23 AC24 AC25 AC26 AC27 AC28 AC29 AC30 AC31 AC32 AC33 AC34 AC35 AC36 AC37 AC38 AC39 AC40 AC41 AC42 AC43 AC44 AC45 AC46 AC47 AC48 AC49 AC50 AC51 AC52 AC53 AC54 AC55 AD7 AD8 AD9 AD10 AD11 AD12 AD13 AD14 AD15 AD16 AD17 AD18 AD19 AD20 AD21 AD22 AD23 AD24 AD25 AD26 AD27 AD28 AD29 AD30 AD31 AD32 AD33 AD34 AD35 AD36 AD37 AD38 AD39 AD40 AD41 AD42 AD43 AD44 AD45 AD46 AD47 AD48 AD49 AD50 AD51 AD52 AD53 AD54 AD55 AE7 AE8 AE9 AE10 AE11 AE12 AE13 AE14 AE15 AE16 AE17 AE18 AE19 AE20 AE21 AE22 AE23 AE24 AE25 AE26 AE27 AE28 AE29 AE30 AE31 AE32 AE33 AE34 AE35 AE36 AE37 AE38 AE39 AE40 AE41 AE42 AE43 AE44 AE45 AE46 AE47 AE48 AE49 AE50 AE51 AE52 AE53 AE54 AE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4.xml><?xml version="1.0" encoding="utf-8"?>
<worksheet xmlns="http://schemas.openxmlformats.org/spreadsheetml/2006/main">
  <sheetPr>
    <outlinePr summaryBelow="1" summaryRight="1"/>
    <pageSetUpPr fitToPage="1"/>
  </sheetPr>
  <dimension ref="A1:U59"/>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7" customWidth="1" min="17" max="17"/>
    <col width="7" customWidth="1" min="18" max="18"/>
    <col width="8" customWidth="1" min="19" max="19"/>
    <col width="7" customWidth="1" min="20" max="20"/>
    <col width="14" customWidth="1" min="21" max="21"/>
  </cols>
  <sheetData>
    <row r="1">
      <c r="A1" s="1" t="inlineStr">
        <is>
          <t>................ ЦЭЦЭРЛЭГИЙН БЭЛТГЭЛ БҮЛГИЙН (5 НАС) ГАРААНЫ (ОНОШЛОХ) ҮНЭЛГЭЭ</t>
        </is>
      </c>
    </row>
    <row r="2">
      <c r="A2" s="18" t="inlineStr">
        <is>
          <t>Үнэлгээний хүрээ: Төлөвшил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Төлөвшил</t>
        </is>
      </c>
      <c r="E3" s="4" t="n"/>
      <c r="F3" s="4" t="n"/>
      <c r="G3" s="4" t="n"/>
      <c r="H3" s="4" t="n"/>
      <c r="I3" s="4" t="n"/>
      <c r="J3" s="4" t="n"/>
      <c r="K3" s="4" t="n"/>
      <c r="L3" s="4" t="n"/>
      <c r="M3" s="4" t="n"/>
      <c r="N3" s="4" t="n"/>
      <c r="O3" s="4" t="n"/>
      <c r="P3" s="4" t="n"/>
      <c r="Q3" s="5" t="inlineStr">
        <is>
          <t>Чадна (1)</t>
        </is>
      </c>
      <c r="R3" s="5" t="inlineStr">
        <is>
          <t>Хувь</t>
        </is>
      </c>
      <c r="S3" s="5" t="inlineStr">
        <is>
          <t>Чадахгүй (0)</t>
        </is>
      </c>
      <c r="T3" s="5" t="inlineStr">
        <is>
          <t>Хувь</t>
        </is>
      </c>
      <c r="U3" s="5" t="inlineStr">
        <is>
          <t>Түвшин</t>
        </is>
      </c>
    </row>
    <row r="4" ht="140" customHeight="1">
      <c r="A4" s="4" t="n"/>
      <c r="B4" s="4" t="n"/>
      <c r="C4" s="4" t="n"/>
      <c r="D4" s="6" t="inlineStr">
        <is>
          <t>Хувийн ариун цэвэр сахихын ач холбогдлыг ойлгож, тогтмол дагаж мөрддөг.</t>
        </is>
      </c>
      <c r="E4" s="6" t="inlineStr">
        <is>
          <t>Хоол хүнс, зууш бэлтгэхэд өөрийн хэмжээнд оролцож тусалдаг.</t>
        </is>
      </c>
      <c r="F4" s="6" t="inlineStr">
        <is>
          <t>Бохирдсон хоолны хэрэгслийг насанд хүрэгчидтэй хамтран цэвэрлэдэг.</t>
        </is>
      </c>
      <c r="G4" s="6" t="inlineStr">
        <is>
          <t>Ухаалаг төхөөрөмжийг хэрэглэх үедээ бусдын заавар, дүрмийг мөрддөг.</t>
        </is>
      </c>
      <c r="H4" s="6" t="inlineStr">
        <is>
          <t>Тоглоомын дүрэм баримтлан хамтран тоглодог.</t>
        </is>
      </c>
      <c r="I4" s="6" t="inlineStr">
        <is>
          <t>Гэр бүл, цэцэрлэг, анги, олон нийтийн газарт тогтсон дүрмийг баримталдаг.</t>
        </is>
      </c>
      <c r="J4" s="6" t="inlineStr">
        <is>
          <t>Өөрийнх нь үйлдэл бусдын сэтгэлийн хөдөлгөөнд нөлөөлж буйг мэдэж зохицон харилцдаг.</t>
        </is>
      </c>
      <c r="K4" s="6" t="inlineStr">
        <is>
          <t>Харилцан ярианд идэвх санаачилга (асуулт асуух гэх мэт)-тай оролцдог.</t>
        </is>
      </c>
      <c r="L4" s="6" t="inlineStr">
        <is>
          <t>Амьтдыг хайрлан хамгаалдаг.</t>
        </is>
      </c>
      <c r="M4" s="6" t="inlineStr">
        <is>
          <t>Бусдын сонирхол, ялгаатай байдалд хүндэтгэлтэй ханддаг.</t>
        </is>
      </c>
      <c r="N4" s="6" t="inlineStr">
        <is>
          <t>Орчиндоо хариуцлагатай байж, хог ангилж, байгаль бохирдуулахгүй байх үйлийг хийдэг.</t>
        </is>
      </c>
      <c r="O4" s="6" t="inlineStr">
        <is>
          <t>Үндэсний соёл, зан заншлын зарим үйлийг бие даан болон найз нөхөдтэйгээ хамтран хийдэг.</t>
        </is>
      </c>
      <c r="P4" s="6" t="inlineStr">
        <is>
          <t>Дүрийн зан чанарын талаар харилцан ярилцдаг.</t>
        </is>
      </c>
      <c r="Q4" s="4" t="n"/>
      <c r="R4" s="4" t="n"/>
      <c r="S4" s="4" t="n"/>
      <c r="T4" s="4" t="n"/>
      <c r="U4" s="4" t="n"/>
    </row>
    <row r="5" ht="173" customHeight="1">
      <c r="A5" s="4" t="n"/>
      <c r="B5" s="4" t="n"/>
      <c r="C5" s="4" t="n"/>
      <c r="D5" s="19" t="inlineStr">
        <is>
          <t>СҮД: ХЭМ4.2а. Хувийн ариун цэвэр сахих үйлийг өөрийн санаачилгаар бие даан хийнэ.</t>
        </is>
      </c>
      <c r="E5" s="19" t="inlineStr">
        <is>
          <t>СҮД: ХЭМ4.2в. Хүнсний бүтээгдэхүүний төрлийг мэдэж, насанд хүрэгчтэй хамтран хялбар зууш бэлтгэнэ.</t>
        </is>
      </c>
      <c r="F5" s="19" t="inlineStr">
        <is>
          <t>СҮД: ХЭМ4.2г. Хоолны хэрэгслийг угааж, цэвэрлэхэд насанд хүрэгчтэй хамтран оролцоно.</t>
        </is>
      </c>
      <c r="G5" s="19" t="inlineStr">
        <is>
          <t>СҮД: ХЭМ4.2з. Ухаалаг төхөөрөмжийн хэрэглээний эерэг, сөрөг нөлөөг тайлбарлан, зохистой хэрэглэх цаг, дүрмийг мөрдөж, бусдад сануулна.</t>
        </is>
      </c>
      <c r="H5" s="19" t="inlineStr">
        <is>
          <t>СҮД: НСХ4.3в. Өдөр тутмын үйл ажиллагаанд тодорхой дүрэм баримтлан хамтран оролцдог болно.</t>
        </is>
      </c>
      <c r="I5" s="19" t="inlineStr">
        <is>
          <t>СҮД: НСХ4.3в. Өдөр тутмын үйл ажиллагаанд тодорхой дүрэм баримтлан хамтран оролцдог болно.</t>
        </is>
      </c>
      <c r="J5" s="19" t="inlineStr">
        <is>
          <t>СҮД: НСХ4.3а. Хүмүүс хоорондоо хэрхэн харилцан хамааралтай байдгийг тайлбарладаг болно.</t>
        </is>
      </c>
      <c r="K5" s="19" t="inlineStr">
        <is>
          <t>СҮД: ХЯ4.2а. Тодорхой сэдвээр санаа бодлоо илэрхийлж, идэвхтэй ярилцана.</t>
        </is>
      </c>
      <c r="L5" s="19" t="inlineStr">
        <is>
          <t>СҮД: БНО4.1а. Амьтдын үр төл, идэш тэжээл, амьдрах орчны ялгааг тайлбарлаж, хайрлан хамгаалах үйлд оролцоно.</t>
        </is>
      </c>
      <c r="M5" s="19" t="inlineStr">
        <is>
          <t>СҮД: БНО4.2а. Өөрийнхөө тухай танилцуулж, бусдын сонирхол, ялгаатай байдалд хүндэтгэлтэй хандана.</t>
        </is>
      </c>
      <c r="N5" s="19" t="inlineStr">
        <is>
          <t>СҮД: БНО4.2г. Орчны эд зүйлсийг гамтай хэрэглэж, ус бохирдуулахгүй байх, хог хаягдал ангилах үйлд хариуцлагатай хандана.</t>
        </is>
      </c>
      <c r="O5" s="19" t="inlineStr">
        <is>
          <t>СҮД: БНО4.2д. Өөрийн үндэсний өв соёлыг бусад үндэстний соёлоос ялган таньж, уламжлалт зан үйл, ёс заншлаар бахархана.</t>
        </is>
      </c>
      <c r="P5" s="19" t="inlineStr">
        <is>
          <t>СҮД: ХӨГ4.1д. Дүрийн зан чанар, харилцааг илэрхийлж хамтран тоглоно.</t>
        </is>
      </c>
      <c r="Q5" s="4" t="n"/>
      <c r="R5" s="4" t="n"/>
      <c r="S5" s="4" t="n"/>
      <c r="T5" s="4" t="n"/>
      <c r="U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4" t="n"/>
      <c r="R6" s="4" t="n"/>
      <c r="S6" s="4" t="n"/>
      <c r="T6" s="4" t="n"/>
      <c r="U6" s="4" t="n"/>
    </row>
    <row r="7" ht="16" customHeight="1">
      <c r="A7" s="12" t="n">
        <v>1</v>
      </c>
      <c r="B7" s="12">
        <f>IF(Нэгтгэл!B7="","",Нэгтгэл!B7)</f>
        <v/>
      </c>
      <c r="C7" s="4" t="n"/>
      <c r="D7" s="13" t="n">
        <v>0</v>
      </c>
      <c r="E7" s="13" t="n">
        <v>1</v>
      </c>
      <c r="F7" s="13" t="n">
        <v>1</v>
      </c>
      <c r="G7" s="13" t="n">
        <v>0</v>
      </c>
      <c r="H7" s="13" t="n">
        <v>0</v>
      </c>
      <c r="I7" s="13" t="n">
        <v>0</v>
      </c>
      <c r="J7" s="13" t="n">
        <v>1</v>
      </c>
      <c r="K7" s="13" t="n">
        <v>0</v>
      </c>
      <c r="L7" s="13" t="n">
        <v>1</v>
      </c>
      <c r="M7" s="13" t="n">
        <v>1</v>
      </c>
      <c r="N7" s="13" t="n">
        <v>1</v>
      </c>
      <c r="O7" s="13" t="n">
        <v>1</v>
      </c>
      <c r="P7" s="13" t="n">
        <v>1</v>
      </c>
      <c r="Q7" s="12">
        <f>COUNTIF(D7:P7,1)</f>
        <v/>
      </c>
      <c r="R7" s="12">
        <f>IF(COUNT(D7:P7)=0,"",ROUND(Q7/13*100,1))</f>
        <v/>
      </c>
      <c r="S7" s="12">
        <f>COUNTIF(D7:P7,0)</f>
        <v/>
      </c>
      <c r="T7" s="12">
        <f>IF(COUNT(D7:P7)=0,"",ROUND(S7/13*100,1))</f>
        <v/>
      </c>
      <c r="U7" s="20">
        <f>IF(R7="","",IF(R7&gt;=Нэгтгэл!$K$4,"Хангалттай эзэмшиж байна",IF(R7&gt;=Нэгтгэл!$K$5,"Ахиж байна","Хөгжиж байна")))</f>
        <v/>
      </c>
    </row>
    <row r="8" ht="16" customHeight="1">
      <c r="A8" s="12" t="n">
        <v>2</v>
      </c>
      <c r="B8" s="12">
        <f>IF(Нэгтгэл!B8="","",Нэгтгэл!B8)</f>
        <v/>
      </c>
      <c r="C8" s="4" t="n"/>
      <c r="D8" s="13" t="n">
        <v>1</v>
      </c>
      <c r="E8" s="13" t="n">
        <v>1</v>
      </c>
      <c r="F8" s="13" t="n">
        <v>0</v>
      </c>
      <c r="G8" s="13" t="n">
        <v>1</v>
      </c>
      <c r="H8" s="13" t="n">
        <v>1</v>
      </c>
      <c r="I8" s="13" t="n">
        <v>1</v>
      </c>
      <c r="J8" s="13" t="n">
        <v>0</v>
      </c>
      <c r="K8" s="13" t="n">
        <v>1</v>
      </c>
      <c r="L8" s="13" t="n">
        <v>1</v>
      </c>
      <c r="M8" s="13" t="n">
        <v>0</v>
      </c>
      <c r="N8" s="13" t="n">
        <v>1</v>
      </c>
      <c r="O8" s="13" t="n">
        <v>1</v>
      </c>
      <c r="P8" s="13" t="n">
        <v>0</v>
      </c>
      <c r="Q8" s="12">
        <f>COUNTIF(D8:P8,1)</f>
        <v/>
      </c>
      <c r="R8" s="12">
        <f>IF(COUNT(D8:P8)=0,"",ROUND(Q8/13*100,1))</f>
        <v/>
      </c>
      <c r="S8" s="12">
        <f>COUNTIF(D8:P8,0)</f>
        <v/>
      </c>
      <c r="T8" s="12">
        <f>IF(COUNT(D8:P8)=0,"",ROUND(S8/13*100,1))</f>
        <v/>
      </c>
      <c r="U8" s="20">
        <f>IF(R8="","",IF(R8&gt;=Нэгтгэл!$K$4,"Хангалттай эзэмшиж байна",IF(R8&gt;=Нэгтгэл!$K$5,"Ахиж байна","Хөгжиж байна")))</f>
        <v/>
      </c>
    </row>
    <row r="9" ht="16" customHeight="1">
      <c r="A9" s="12" t="n">
        <v>3</v>
      </c>
      <c r="B9" s="12">
        <f>IF(Нэгтгэл!B9="","",Нэгтгэл!B9)</f>
        <v/>
      </c>
      <c r="C9" s="4" t="n"/>
      <c r="D9" s="13" t="n">
        <v>1</v>
      </c>
      <c r="E9" s="13" t="n">
        <v>1</v>
      </c>
      <c r="F9" s="13" t="n">
        <v>0</v>
      </c>
      <c r="G9" s="13" t="n">
        <v>1</v>
      </c>
      <c r="H9" s="13" t="n">
        <v>1</v>
      </c>
      <c r="I9" s="13" t="n">
        <v>1</v>
      </c>
      <c r="J9" s="13" t="n">
        <v>0</v>
      </c>
      <c r="K9" s="13" t="n">
        <v>1</v>
      </c>
      <c r="L9" s="13" t="n">
        <v>0</v>
      </c>
      <c r="M9" s="13" t="n">
        <v>1</v>
      </c>
      <c r="N9" s="13" t="n">
        <v>0</v>
      </c>
      <c r="O9" s="13" t="n">
        <v>0</v>
      </c>
      <c r="P9" s="13" t="n">
        <v>0</v>
      </c>
      <c r="Q9" s="12">
        <f>COUNTIF(D9:P9,1)</f>
        <v/>
      </c>
      <c r="R9" s="12">
        <f>IF(COUNT(D9:P9)=0,"",ROUND(Q9/13*100,1))</f>
        <v/>
      </c>
      <c r="S9" s="12">
        <f>COUNTIF(D9:P9,0)</f>
        <v/>
      </c>
      <c r="T9" s="12">
        <f>IF(COUNT(D9:P9)=0,"",ROUND(S9/13*100,1))</f>
        <v/>
      </c>
      <c r="U9" s="20">
        <f>IF(R9="","",IF(R9&gt;=Нэгтгэл!$K$4,"Хангалттай эзэмшиж байна",IF(R9&gt;=Нэгтгэл!$K$5,"Ахиж байна","Хөгжиж байна")))</f>
        <v/>
      </c>
    </row>
    <row r="10" ht="16" customHeight="1">
      <c r="A10" s="12" t="n">
        <v>4</v>
      </c>
      <c r="B10" s="12">
        <f>IF(Нэгтгэл!B10="","",Нэгтгэл!B10)</f>
        <v/>
      </c>
      <c r="C10" s="4" t="n"/>
      <c r="D10" s="13" t="n">
        <v>0</v>
      </c>
      <c r="E10" s="13" t="n">
        <v>1</v>
      </c>
      <c r="F10" s="13" t="n">
        <v>0</v>
      </c>
      <c r="G10" s="13" t="n">
        <v>1</v>
      </c>
      <c r="H10" s="13" t="n">
        <v>0</v>
      </c>
      <c r="I10" s="13" t="n">
        <v>1</v>
      </c>
      <c r="J10" s="13" t="n">
        <v>0</v>
      </c>
      <c r="K10" s="13" t="n">
        <v>1</v>
      </c>
      <c r="L10" s="13" t="n">
        <v>1</v>
      </c>
      <c r="M10" s="13" t="n">
        <v>1</v>
      </c>
      <c r="N10" s="13" t="n">
        <v>1</v>
      </c>
      <c r="O10" s="13" t="n">
        <v>1</v>
      </c>
      <c r="P10" s="13" t="n">
        <v>1</v>
      </c>
      <c r="Q10" s="12">
        <f>COUNTIF(D10:P10,1)</f>
        <v/>
      </c>
      <c r="R10" s="12">
        <f>IF(COUNT(D10:P10)=0,"",ROUND(Q10/13*100,1))</f>
        <v/>
      </c>
      <c r="S10" s="12">
        <f>COUNTIF(D10:P10,0)</f>
        <v/>
      </c>
      <c r="T10" s="12">
        <f>IF(COUNT(D10:P10)=0,"",ROUND(S10/13*100,1))</f>
        <v/>
      </c>
      <c r="U10" s="20">
        <f>IF(R10="","",IF(R10&gt;=Нэгтгэл!$K$4,"Хангалттай эзэмшиж байна",IF(R10&gt;=Нэгтгэл!$K$5,"Ахиж байна","Хөгжиж байна")))</f>
        <v/>
      </c>
    </row>
    <row r="11" ht="16" customHeight="1">
      <c r="A11" s="12" t="n">
        <v>5</v>
      </c>
      <c r="B11" s="12">
        <f>IF(Нэгтгэл!B11="","",Нэгтгэл!B11)</f>
        <v/>
      </c>
      <c r="C11" s="4" t="n"/>
      <c r="D11" s="13" t="n">
        <v>1</v>
      </c>
      <c r="E11" s="13" t="n">
        <v>0</v>
      </c>
      <c r="F11" s="13" t="n">
        <v>1</v>
      </c>
      <c r="G11" s="13" t="n">
        <v>1</v>
      </c>
      <c r="H11" s="13" t="n">
        <v>0</v>
      </c>
      <c r="I11" s="13" t="n">
        <v>1</v>
      </c>
      <c r="J11" s="13" t="n">
        <v>1</v>
      </c>
      <c r="K11" s="13" t="n">
        <v>1</v>
      </c>
      <c r="L11" s="13" t="n">
        <v>1</v>
      </c>
      <c r="M11" s="13" t="n">
        <v>1</v>
      </c>
      <c r="N11" s="13" t="n">
        <v>0</v>
      </c>
      <c r="O11" s="13" t="n">
        <v>0</v>
      </c>
      <c r="P11" s="13" t="n">
        <v>1</v>
      </c>
      <c r="Q11" s="12">
        <f>COUNTIF(D11:P11,1)</f>
        <v/>
      </c>
      <c r="R11" s="12">
        <f>IF(COUNT(D11:P11)=0,"",ROUND(Q11/13*100,1))</f>
        <v/>
      </c>
      <c r="S11" s="12">
        <f>COUNTIF(D11:P11,0)</f>
        <v/>
      </c>
      <c r="T11" s="12">
        <f>IF(COUNT(D11:P11)=0,"",ROUND(S11/13*100,1))</f>
        <v/>
      </c>
      <c r="U11" s="20">
        <f>IF(R11="","",IF(R11&gt;=Нэгтгэл!$K$4,"Хангалттай эзэмшиж байна",IF(R11&gt;=Нэгтгэл!$K$5,"Ахиж байна","Хөгжиж байна")))</f>
        <v/>
      </c>
    </row>
    <row r="12" ht="16" customHeight="1">
      <c r="A12" s="12" t="n">
        <v>6</v>
      </c>
      <c r="B12" s="12">
        <f>IF(Нэгтгэл!B12="","",Нэгтгэл!B12)</f>
        <v/>
      </c>
      <c r="C12" s="4" t="n"/>
      <c r="D12" s="13" t="n">
        <v>1</v>
      </c>
      <c r="E12" s="13" t="n">
        <v>0</v>
      </c>
      <c r="F12" s="13" t="n">
        <v>1</v>
      </c>
      <c r="G12" s="13" t="n">
        <v>0</v>
      </c>
      <c r="H12" s="13" t="n">
        <v>1</v>
      </c>
      <c r="I12" s="13" t="n">
        <v>1</v>
      </c>
      <c r="J12" s="13" t="n">
        <v>0</v>
      </c>
      <c r="K12" s="13" t="n">
        <v>1</v>
      </c>
      <c r="L12" s="13" t="n">
        <v>1</v>
      </c>
      <c r="M12" s="13" t="n">
        <v>0</v>
      </c>
      <c r="N12" s="13" t="n">
        <v>1</v>
      </c>
      <c r="O12" s="13" t="n">
        <v>0</v>
      </c>
      <c r="P12" s="13" t="n">
        <v>1</v>
      </c>
      <c r="Q12" s="12">
        <f>COUNTIF(D12:P12,1)</f>
        <v/>
      </c>
      <c r="R12" s="12">
        <f>IF(COUNT(D12:P12)=0,"",ROUND(Q12/13*100,1))</f>
        <v/>
      </c>
      <c r="S12" s="12">
        <f>COUNTIF(D12:P12,0)</f>
        <v/>
      </c>
      <c r="T12" s="12">
        <f>IF(COUNT(D12:P12)=0,"",ROUND(S12/13*100,1))</f>
        <v/>
      </c>
      <c r="U12" s="20">
        <f>IF(R12="","",IF(R12&gt;=Нэгтгэл!$K$4,"Хангалттай эзэмшиж байна",IF(R12&gt;=Нэгтгэл!$K$5,"Ахиж байна","Хөгжиж байна")))</f>
        <v/>
      </c>
    </row>
    <row r="13" ht="16" customHeight="1">
      <c r="A13" s="12" t="n">
        <v>7</v>
      </c>
      <c r="B13" s="12">
        <f>IF(Нэгтгэл!B13="","",Нэгтгэл!B13)</f>
        <v/>
      </c>
      <c r="C13" s="4" t="n"/>
      <c r="D13" s="13" t="n">
        <v>1</v>
      </c>
      <c r="E13" s="13" t="n">
        <v>0</v>
      </c>
      <c r="F13" s="13" t="n">
        <v>0</v>
      </c>
      <c r="G13" s="13" t="n">
        <v>1</v>
      </c>
      <c r="H13" s="13" t="n">
        <v>0</v>
      </c>
      <c r="I13" s="13" t="n">
        <v>1</v>
      </c>
      <c r="J13" s="13" t="n">
        <v>1</v>
      </c>
      <c r="K13" s="13" t="n">
        <v>1</v>
      </c>
      <c r="L13" s="13" t="n">
        <v>1</v>
      </c>
      <c r="M13" s="13" t="n">
        <v>0</v>
      </c>
      <c r="N13" s="13" t="n">
        <v>1</v>
      </c>
      <c r="O13" s="13" t="n">
        <v>1</v>
      </c>
      <c r="P13" s="13" t="n">
        <v>1</v>
      </c>
      <c r="Q13" s="12">
        <f>COUNTIF(D13:P13,1)</f>
        <v/>
      </c>
      <c r="R13" s="12">
        <f>IF(COUNT(D13:P13)=0,"",ROUND(Q13/13*100,1))</f>
        <v/>
      </c>
      <c r="S13" s="12">
        <f>COUNTIF(D13:P13,0)</f>
        <v/>
      </c>
      <c r="T13" s="12">
        <f>IF(COUNT(D13:P13)=0,"",ROUND(S13/13*100,1))</f>
        <v/>
      </c>
      <c r="U13" s="20">
        <f>IF(R13="","",IF(R13&gt;=Нэгтгэл!$K$4,"Хангалттай эзэмшиж байна",IF(R13&gt;=Нэгтгэл!$K$5,"Ахиж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0</v>
      </c>
      <c r="I14" s="13" t="n">
        <v>1</v>
      </c>
      <c r="J14" s="13" t="n">
        <v>0</v>
      </c>
      <c r="K14" s="13" t="n">
        <v>1</v>
      </c>
      <c r="L14" s="13" t="n">
        <v>1</v>
      </c>
      <c r="M14" s="13" t="n">
        <v>1</v>
      </c>
      <c r="N14" s="13" t="n">
        <v>1</v>
      </c>
      <c r="O14" s="13" t="n">
        <v>1</v>
      </c>
      <c r="P14" s="13" t="n">
        <v>0</v>
      </c>
      <c r="Q14" s="12">
        <f>COUNTIF(D14:P14,1)</f>
        <v/>
      </c>
      <c r="R14" s="12">
        <f>IF(COUNT(D14:P14)=0,"",ROUND(Q14/13*100,1))</f>
        <v/>
      </c>
      <c r="S14" s="12">
        <f>COUNTIF(D14:P14,0)</f>
        <v/>
      </c>
      <c r="T14" s="12">
        <f>IF(COUNT(D14:P14)=0,"",ROUND(S14/13*100,1))</f>
        <v/>
      </c>
      <c r="U14" s="20">
        <f>IF(R14="","",IF(R14&gt;=Нэгтгэл!$K$4,"Хангалттай эзэмшиж байна",IF(R14&gt;=Нэгтгэл!$K$5,"Ахиж байна","Хөгжиж байна")))</f>
        <v/>
      </c>
    </row>
    <row r="15" ht="16" customHeight="1">
      <c r="A15" s="12" t="n">
        <v>9</v>
      </c>
      <c r="B15" s="12">
        <f>IF(Нэгтгэл!B15="","",Нэгтгэл!B15)</f>
        <v/>
      </c>
      <c r="C15" s="4" t="n"/>
      <c r="D15" s="13" t="n">
        <v>1</v>
      </c>
      <c r="E15" s="13" t="n">
        <v>1</v>
      </c>
      <c r="F15" s="13" t="n">
        <v>1</v>
      </c>
      <c r="G15" s="13" t="n">
        <v>1</v>
      </c>
      <c r="H15" s="13" t="n">
        <v>1</v>
      </c>
      <c r="I15" s="13" t="n">
        <v>1</v>
      </c>
      <c r="J15" s="13" t="n">
        <v>0</v>
      </c>
      <c r="K15" s="13" t="n">
        <v>1</v>
      </c>
      <c r="L15" s="13" t="n">
        <v>1</v>
      </c>
      <c r="M15" s="13" t="n">
        <v>1</v>
      </c>
      <c r="N15" s="13" t="n">
        <v>1</v>
      </c>
      <c r="O15" s="13" t="n">
        <v>1</v>
      </c>
      <c r="P15" s="13" t="n">
        <v>1</v>
      </c>
      <c r="Q15" s="12">
        <f>COUNTIF(D15:P15,1)</f>
        <v/>
      </c>
      <c r="R15" s="12">
        <f>IF(COUNT(D15:P15)=0,"",ROUND(Q15/13*100,1))</f>
        <v/>
      </c>
      <c r="S15" s="12">
        <f>COUNTIF(D15:P15,0)</f>
        <v/>
      </c>
      <c r="T15" s="12">
        <f>IF(COUNT(D15:P15)=0,"",ROUND(S15/13*100,1))</f>
        <v/>
      </c>
      <c r="U15" s="20">
        <f>IF(R15="","",IF(R15&gt;=Нэгтгэл!$K$4,"Хангалттай эзэмшиж байна",IF(R15&gt;=Нэгтгэл!$K$5,"Ахиж байна","Хөгжиж байна")))</f>
        <v/>
      </c>
    </row>
    <row r="16" ht="16" customHeight="1">
      <c r="A16" s="12" t="n">
        <v>10</v>
      </c>
      <c r="B16" s="12">
        <f>IF(Нэгтгэл!B16="","",Нэгтгэл!B16)</f>
        <v/>
      </c>
      <c r="C16" s="4" t="n"/>
      <c r="D16" s="13" t="n">
        <v>1</v>
      </c>
      <c r="E16" s="13" t="n">
        <v>1</v>
      </c>
      <c r="F16" s="13" t="n">
        <v>1</v>
      </c>
      <c r="G16" s="13" t="n">
        <v>1</v>
      </c>
      <c r="H16" s="13" t="n">
        <v>1</v>
      </c>
      <c r="I16" s="13" t="n">
        <v>1</v>
      </c>
      <c r="J16" s="13" t="n">
        <v>1</v>
      </c>
      <c r="K16" s="13" t="n">
        <v>0</v>
      </c>
      <c r="L16" s="13" t="n">
        <v>1</v>
      </c>
      <c r="M16" s="13" t="n">
        <v>1</v>
      </c>
      <c r="N16" s="13" t="n">
        <v>1</v>
      </c>
      <c r="O16" s="13" t="n">
        <v>1</v>
      </c>
      <c r="P16" s="13" t="n">
        <v>1</v>
      </c>
      <c r="Q16" s="12">
        <f>COUNTIF(D16:P16,1)</f>
        <v/>
      </c>
      <c r="R16" s="12">
        <f>IF(COUNT(D16:P16)=0,"",ROUND(Q16/13*100,1))</f>
        <v/>
      </c>
      <c r="S16" s="12">
        <f>COUNTIF(D16:P16,0)</f>
        <v/>
      </c>
      <c r="T16" s="12">
        <f>IF(COUNT(D16:P16)=0,"",ROUND(S16/13*100,1))</f>
        <v/>
      </c>
      <c r="U16" s="20">
        <f>IF(R16="","",IF(R16&gt;=Нэгтгэл!$K$4,"Хангалттай эзэмшиж байна",IF(R16&gt;=Нэгтгэл!$K$5,"Ахиж байна","Хөгжиж байна")))</f>
        <v/>
      </c>
    </row>
    <row r="17" ht="16" customHeight="1">
      <c r="A17" s="12" t="n">
        <v>11</v>
      </c>
      <c r="B17" s="12">
        <f>IF(Нэгтгэл!B17="","",Нэгтгэл!B17)</f>
        <v/>
      </c>
      <c r="C17" s="4" t="n"/>
      <c r="D17" s="13" t="n">
        <v>1</v>
      </c>
      <c r="E17" s="13" t="n">
        <v>1</v>
      </c>
      <c r="F17" s="13" t="n">
        <v>1</v>
      </c>
      <c r="G17" s="13" t="n">
        <v>1</v>
      </c>
      <c r="H17" s="13" t="n">
        <v>1</v>
      </c>
      <c r="I17" s="13" t="n">
        <v>0</v>
      </c>
      <c r="J17" s="13" t="n">
        <v>1</v>
      </c>
      <c r="K17" s="13" t="n">
        <v>1</v>
      </c>
      <c r="L17" s="13" t="n">
        <v>1</v>
      </c>
      <c r="M17" s="13" t="n">
        <v>1</v>
      </c>
      <c r="N17" s="13" t="n">
        <v>0</v>
      </c>
      <c r="O17" s="13" t="n">
        <v>1</v>
      </c>
      <c r="P17" s="13" t="n">
        <v>1</v>
      </c>
      <c r="Q17" s="12">
        <f>COUNTIF(D17:P17,1)</f>
        <v/>
      </c>
      <c r="R17" s="12">
        <f>IF(COUNT(D17:P17)=0,"",ROUND(Q17/13*100,1))</f>
        <v/>
      </c>
      <c r="S17" s="12">
        <f>COUNTIF(D17:P17,0)</f>
        <v/>
      </c>
      <c r="T17" s="12">
        <f>IF(COUNT(D17:P17)=0,"",ROUND(S17/13*100,1))</f>
        <v/>
      </c>
      <c r="U17" s="20">
        <f>IF(R17="","",IF(R17&gt;=Нэгтгэл!$K$4,"Хангалттай эзэмшиж байна",IF(R17&gt;=Нэгтгэл!$K$5,"Ахиж байна","Хөгжиж байна")))</f>
        <v/>
      </c>
    </row>
    <row r="18" ht="16" customHeight="1">
      <c r="A18" s="12" t="n">
        <v>12</v>
      </c>
      <c r="B18" s="12">
        <f>IF(Нэгтгэл!B18="","",Нэгтгэл!B18)</f>
        <v/>
      </c>
      <c r="C18" s="4" t="n"/>
      <c r="D18" s="13" t="n">
        <v>1</v>
      </c>
      <c r="E18" s="13" t="n">
        <v>1</v>
      </c>
      <c r="F18" s="13" t="n">
        <v>1</v>
      </c>
      <c r="G18" s="13" t="n">
        <v>0</v>
      </c>
      <c r="H18" s="13" t="n">
        <v>1</v>
      </c>
      <c r="I18" s="13" t="n">
        <v>0</v>
      </c>
      <c r="J18" s="13" t="n">
        <v>1</v>
      </c>
      <c r="K18" s="13" t="n">
        <v>1</v>
      </c>
      <c r="L18" s="13" t="n">
        <v>1</v>
      </c>
      <c r="M18" s="13" t="n">
        <v>0</v>
      </c>
      <c r="N18" s="13" t="n">
        <v>1</v>
      </c>
      <c r="O18" s="13" t="n">
        <v>1</v>
      </c>
      <c r="P18" s="13" t="n">
        <v>1</v>
      </c>
      <c r="Q18" s="12">
        <f>COUNTIF(D18:P18,1)</f>
        <v/>
      </c>
      <c r="R18" s="12">
        <f>IF(COUNT(D18:P18)=0,"",ROUND(Q18/13*100,1))</f>
        <v/>
      </c>
      <c r="S18" s="12">
        <f>COUNTIF(D18:P18,0)</f>
        <v/>
      </c>
      <c r="T18" s="12">
        <f>IF(COUNT(D18:P18)=0,"",ROUND(S18/13*100,1))</f>
        <v/>
      </c>
      <c r="U18" s="20">
        <f>IF(R18="","",IF(R18&gt;=Нэгтгэл!$K$4,"Хангалттай эзэмшиж байна",IF(R18&gt;=Нэгтгэл!$K$5,"Ахиж байна","Хөгжиж байна")))</f>
        <v/>
      </c>
    </row>
    <row r="19" ht="16" customHeight="1">
      <c r="A19" s="12" t="n">
        <v>13</v>
      </c>
      <c r="B19" s="12">
        <f>IF(Нэгтгэл!B19="","",Нэгтгэл!B19)</f>
        <v/>
      </c>
      <c r="C19" s="4" t="n"/>
      <c r="D19" s="13" t="n">
        <v>1</v>
      </c>
      <c r="E19" s="13" t="n">
        <v>0</v>
      </c>
      <c r="F19" s="13" t="n">
        <v>0</v>
      </c>
      <c r="G19" s="13" t="n">
        <v>1</v>
      </c>
      <c r="H19" s="13" t="n">
        <v>0</v>
      </c>
      <c r="I19" s="13" t="n">
        <v>0</v>
      </c>
      <c r="J19" s="13" t="n">
        <v>0</v>
      </c>
      <c r="K19" s="13" t="n">
        <v>1</v>
      </c>
      <c r="L19" s="13" t="n">
        <v>1</v>
      </c>
      <c r="M19" s="13" t="n">
        <v>1</v>
      </c>
      <c r="N19" s="13" t="n">
        <v>0</v>
      </c>
      <c r="O19" s="13" t="n">
        <v>0</v>
      </c>
      <c r="P19" s="13" t="n">
        <v>0</v>
      </c>
      <c r="Q19" s="12">
        <f>COUNTIF(D19:P19,1)</f>
        <v/>
      </c>
      <c r="R19" s="12">
        <f>IF(COUNT(D19:P19)=0,"",ROUND(Q19/13*100,1))</f>
        <v/>
      </c>
      <c r="S19" s="12">
        <f>COUNTIF(D19:P19,0)</f>
        <v/>
      </c>
      <c r="T19" s="12">
        <f>IF(COUNT(D19:P19)=0,"",ROUND(S19/13*100,1))</f>
        <v/>
      </c>
      <c r="U19" s="20">
        <f>IF(R19="","",IF(R19&gt;=Нэгтгэл!$K$4,"Хангалттай эзэмшиж байна",IF(R19&gt;=Нэгтгэл!$K$5,"Ахиж байна","Хөгжиж байна")))</f>
        <v/>
      </c>
    </row>
    <row r="20" ht="16" customHeight="1">
      <c r="A20" s="12" t="n">
        <v>14</v>
      </c>
      <c r="B20" s="12">
        <f>IF(Нэгтгэл!B20="","",Нэгтгэл!B20)</f>
        <v/>
      </c>
      <c r="C20" s="4" t="n"/>
      <c r="D20" s="13" t="n">
        <v>1</v>
      </c>
      <c r="E20" s="13" t="n">
        <v>1</v>
      </c>
      <c r="F20" s="13" t="n">
        <v>0</v>
      </c>
      <c r="G20" s="13" t="n">
        <v>0</v>
      </c>
      <c r="H20" s="13" t="n">
        <v>1</v>
      </c>
      <c r="I20" s="13" t="n">
        <v>0</v>
      </c>
      <c r="J20" s="13" t="n">
        <v>1</v>
      </c>
      <c r="K20" s="13" t="n">
        <v>1</v>
      </c>
      <c r="L20" s="13" t="n">
        <v>1</v>
      </c>
      <c r="M20" s="13" t="n">
        <v>1</v>
      </c>
      <c r="N20" s="13" t="n">
        <v>1</v>
      </c>
      <c r="O20" s="13" t="n">
        <v>1</v>
      </c>
      <c r="P20" s="13" t="n">
        <v>1</v>
      </c>
      <c r="Q20" s="12">
        <f>COUNTIF(D20:P20,1)</f>
        <v/>
      </c>
      <c r="R20" s="12">
        <f>IF(COUNT(D20:P20)=0,"",ROUND(Q20/13*100,1))</f>
        <v/>
      </c>
      <c r="S20" s="12">
        <f>COUNTIF(D20:P20,0)</f>
        <v/>
      </c>
      <c r="T20" s="12">
        <f>IF(COUNT(D20:P20)=0,"",ROUND(S20/13*100,1))</f>
        <v/>
      </c>
      <c r="U20" s="20">
        <f>IF(R20="","",IF(R20&gt;=Нэгтгэл!$K$4,"Хангалттай эзэмшиж байна",IF(R20&gt;=Нэгтгэл!$K$5,"Ахиж байна","Хөгжиж байна")))</f>
        <v/>
      </c>
    </row>
    <row r="21" ht="16" customHeight="1">
      <c r="A21" s="12" t="n">
        <v>15</v>
      </c>
      <c r="B21" s="12">
        <f>IF(Нэгтгэл!B21="","",Нэгтгэл!B21)</f>
        <v/>
      </c>
      <c r="C21" s="4" t="n"/>
      <c r="D21" s="13" t="n">
        <v>1</v>
      </c>
      <c r="E21" s="13" t="n">
        <v>0</v>
      </c>
      <c r="F21" s="13" t="n">
        <v>1</v>
      </c>
      <c r="G21" s="13" t="n">
        <v>1</v>
      </c>
      <c r="H21" s="13" t="n">
        <v>0</v>
      </c>
      <c r="I21" s="13" t="n">
        <v>1</v>
      </c>
      <c r="J21" s="13" t="n">
        <v>0</v>
      </c>
      <c r="K21" s="13" t="n">
        <v>1</v>
      </c>
      <c r="L21" s="13" t="n">
        <v>1</v>
      </c>
      <c r="M21" s="13" t="n">
        <v>1</v>
      </c>
      <c r="N21" s="13" t="n">
        <v>1</v>
      </c>
      <c r="O21" s="13" t="n">
        <v>1</v>
      </c>
      <c r="P21" s="13" t="n">
        <v>1</v>
      </c>
      <c r="Q21" s="12">
        <f>COUNTIF(D21:P21,1)</f>
        <v/>
      </c>
      <c r="R21" s="12">
        <f>IF(COUNT(D21:P21)=0,"",ROUND(Q21/13*100,1))</f>
        <v/>
      </c>
      <c r="S21" s="12">
        <f>COUNTIF(D21:P21,0)</f>
        <v/>
      </c>
      <c r="T21" s="12">
        <f>IF(COUNT(D21:P21)=0,"",ROUND(S21/13*100,1))</f>
        <v/>
      </c>
      <c r="U21" s="20">
        <f>IF(R21="","",IF(R21&gt;=Нэгтгэл!$K$4,"Хангалттай эзэмшиж байна",IF(R21&gt;=Нэгтгэл!$K$5,"Ахиж байна","Хөгжиж байна")))</f>
        <v/>
      </c>
    </row>
    <row r="22" ht="16" customHeight="1">
      <c r="A22" s="12" t="n">
        <v>16</v>
      </c>
      <c r="B22" s="12">
        <f>IF(Нэгтгэл!B22="","",Нэгтгэл!B22)</f>
        <v/>
      </c>
      <c r="C22" s="4" t="n"/>
      <c r="D22" s="13" t="n">
        <v>0</v>
      </c>
      <c r="E22" s="13" t="n">
        <v>1</v>
      </c>
      <c r="F22" s="13" t="n">
        <v>0</v>
      </c>
      <c r="G22" s="13" t="n">
        <v>1</v>
      </c>
      <c r="H22" s="13" t="n">
        <v>0</v>
      </c>
      <c r="I22" s="13" t="n">
        <v>1</v>
      </c>
      <c r="J22" s="13" t="n">
        <v>1</v>
      </c>
      <c r="K22" s="13" t="n">
        <v>1</v>
      </c>
      <c r="L22" s="13" t="n">
        <v>0</v>
      </c>
      <c r="M22" s="13" t="n">
        <v>0</v>
      </c>
      <c r="N22" s="13" t="n">
        <v>1</v>
      </c>
      <c r="O22" s="13" t="n">
        <v>1</v>
      </c>
      <c r="P22" s="13" t="n">
        <v>1</v>
      </c>
      <c r="Q22" s="12">
        <f>COUNTIF(D22:P22,1)</f>
        <v/>
      </c>
      <c r="R22" s="12">
        <f>IF(COUNT(D22:P22)=0,"",ROUND(Q22/13*100,1))</f>
        <v/>
      </c>
      <c r="S22" s="12">
        <f>COUNTIF(D22:P22,0)</f>
        <v/>
      </c>
      <c r="T22" s="12">
        <f>IF(COUNT(D22:P22)=0,"",ROUND(S22/13*100,1))</f>
        <v/>
      </c>
      <c r="U22" s="20">
        <f>IF(R22="","",IF(R22&gt;=Нэгтгэл!$K$4,"Хангалттай эзэмшиж байна",IF(R22&gt;=Нэгтгэл!$K$5,"Ахиж байна","Хөгжиж байна")))</f>
        <v/>
      </c>
    </row>
    <row r="23" ht="16" customHeight="1">
      <c r="A23" s="12" t="n">
        <v>17</v>
      </c>
      <c r="B23" s="12">
        <f>IF(Нэгтгэл!B23="","",Нэгтгэл!B23)</f>
        <v/>
      </c>
      <c r="C23" s="4" t="n"/>
      <c r="D23" s="13" t="n">
        <v>0</v>
      </c>
      <c r="E23" s="13" t="n">
        <v>1</v>
      </c>
      <c r="F23" s="13" t="n">
        <v>1</v>
      </c>
      <c r="G23" s="13" t="n">
        <v>1</v>
      </c>
      <c r="H23" s="13" t="n">
        <v>1</v>
      </c>
      <c r="I23" s="13" t="n">
        <v>0</v>
      </c>
      <c r="J23" s="13" t="n">
        <v>0</v>
      </c>
      <c r="K23" s="13" t="n">
        <v>1</v>
      </c>
      <c r="L23" s="13" t="n">
        <v>0</v>
      </c>
      <c r="M23" s="13" t="n">
        <v>1</v>
      </c>
      <c r="N23" s="13" t="n">
        <v>1</v>
      </c>
      <c r="O23" s="13" t="n">
        <v>1</v>
      </c>
      <c r="P23" s="13" t="n">
        <v>1</v>
      </c>
      <c r="Q23" s="12">
        <f>COUNTIF(D23:P23,1)</f>
        <v/>
      </c>
      <c r="R23" s="12">
        <f>IF(COUNT(D23:P23)=0,"",ROUND(Q23/13*100,1))</f>
        <v/>
      </c>
      <c r="S23" s="12">
        <f>COUNTIF(D23:P23,0)</f>
        <v/>
      </c>
      <c r="T23" s="12">
        <f>IF(COUNT(D23:P23)=0,"",ROUND(S23/13*100,1))</f>
        <v/>
      </c>
      <c r="U23" s="20">
        <f>IF(R23="","",IF(R23&gt;=Нэгтгэл!$K$4,"Хангалттай эзэмшиж байна",IF(R23&gt;=Нэгтгэл!$K$5,"Ахиж байна","Хөгжиж байна")))</f>
        <v/>
      </c>
    </row>
    <row r="24" ht="16" customHeight="1">
      <c r="A24" s="12" t="n">
        <v>18</v>
      </c>
      <c r="B24" s="12">
        <f>IF(Нэгтгэл!B24="","",Нэгтгэл!B24)</f>
        <v/>
      </c>
      <c r="C24" s="4" t="n"/>
      <c r="D24" s="13" t="n">
        <v>1</v>
      </c>
      <c r="E24" s="13" t="n">
        <v>1</v>
      </c>
      <c r="F24" s="13" t="n">
        <v>1</v>
      </c>
      <c r="G24" s="13" t="n">
        <v>0</v>
      </c>
      <c r="H24" s="13" t="n">
        <v>1</v>
      </c>
      <c r="I24" s="13" t="n">
        <v>1</v>
      </c>
      <c r="J24" s="13" t="n">
        <v>0</v>
      </c>
      <c r="K24" s="13" t="n">
        <v>1</v>
      </c>
      <c r="L24" s="13" t="n">
        <v>1</v>
      </c>
      <c r="M24" s="13" t="n">
        <v>1</v>
      </c>
      <c r="N24" s="13" t="n">
        <v>0</v>
      </c>
      <c r="O24" s="13" t="n">
        <v>1</v>
      </c>
      <c r="P24" s="13" t="n">
        <v>1</v>
      </c>
      <c r="Q24" s="12">
        <f>COUNTIF(D24:P24,1)</f>
        <v/>
      </c>
      <c r="R24" s="12">
        <f>IF(COUNT(D24:P24)=0,"",ROUND(Q24/13*100,1))</f>
        <v/>
      </c>
      <c r="S24" s="12">
        <f>COUNTIF(D24:P24,0)</f>
        <v/>
      </c>
      <c r="T24" s="12">
        <f>IF(COUNT(D24:P24)=0,"",ROUND(S24/13*100,1))</f>
        <v/>
      </c>
      <c r="U24" s="20">
        <f>IF(R24="","",IF(R24&gt;=Нэгтгэл!$K$4,"Хангалттай эзэмшиж байна",IF(R24&gt;=Нэгтгэл!$K$5,"Ахиж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1</v>
      </c>
      <c r="I25" s="13" t="n">
        <v>0</v>
      </c>
      <c r="J25" s="13" t="n">
        <v>0</v>
      </c>
      <c r="K25" s="13" t="n">
        <v>0</v>
      </c>
      <c r="L25" s="13" t="n">
        <v>1</v>
      </c>
      <c r="M25" s="13" t="n">
        <v>1</v>
      </c>
      <c r="N25" s="13" t="n">
        <v>1</v>
      </c>
      <c r="O25" s="13" t="n">
        <v>1</v>
      </c>
      <c r="P25" s="13" t="n">
        <v>1</v>
      </c>
      <c r="Q25" s="12">
        <f>COUNTIF(D25:P25,1)</f>
        <v/>
      </c>
      <c r="R25" s="12">
        <f>IF(COUNT(D25:P25)=0,"",ROUND(Q25/13*100,1))</f>
        <v/>
      </c>
      <c r="S25" s="12">
        <f>COUNTIF(D25:P25,0)</f>
        <v/>
      </c>
      <c r="T25" s="12">
        <f>IF(COUNT(D25:P25)=0,"",ROUND(S25/13*100,1))</f>
        <v/>
      </c>
      <c r="U25" s="20">
        <f>IF(R25="","",IF(R25&gt;=Нэгтгэл!$K$4,"Хангалттай эзэмшиж байна",IF(R25&gt;=Нэгтгэл!$K$5,"Ахиж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1</v>
      </c>
      <c r="J26" s="13" t="n">
        <v>1</v>
      </c>
      <c r="K26" s="13" t="n">
        <v>1</v>
      </c>
      <c r="L26" s="13" t="n">
        <v>0</v>
      </c>
      <c r="M26" s="13" t="n">
        <v>1</v>
      </c>
      <c r="N26" s="13" t="n">
        <v>0</v>
      </c>
      <c r="O26" s="13" t="n">
        <v>1</v>
      </c>
      <c r="P26" s="13" t="n">
        <v>0</v>
      </c>
      <c r="Q26" s="12">
        <f>COUNTIF(D26:P26,1)</f>
        <v/>
      </c>
      <c r="R26" s="12">
        <f>IF(COUNT(D26:P26)=0,"",ROUND(Q26/13*100,1))</f>
        <v/>
      </c>
      <c r="S26" s="12">
        <f>COUNTIF(D26:P26,0)</f>
        <v/>
      </c>
      <c r="T26" s="12">
        <f>IF(COUNT(D26:P26)=0,"",ROUND(S26/13*100,1))</f>
        <v/>
      </c>
      <c r="U26" s="20">
        <f>IF(R26="","",IF(R26&gt;=Нэгтгэл!$K$4,"Хангалттай эзэмшиж байна",IF(R26&gt;=Нэгтгэл!$K$5,"Ахиж байна","Хөгжиж байна")))</f>
        <v/>
      </c>
    </row>
    <row r="27" ht="16" customHeight="1">
      <c r="A27" s="12" t="n">
        <v>21</v>
      </c>
      <c r="B27" s="12">
        <f>IF(Нэгтгэл!B27="","",Нэгтгэл!B27)</f>
        <v/>
      </c>
      <c r="C27" s="4" t="n"/>
      <c r="D27" s="13" t="n">
        <v>1</v>
      </c>
      <c r="E27" s="13" t="n">
        <v>1</v>
      </c>
      <c r="F27" s="13" t="n">
        <v>1</v>
      </c>
      <c r="G27" s="13" t="n">
        <v>0</v>
      </c>
      <c r="H27" s="13" t="n">
        <v>1</v>
      </c>
      <c r="I27" s="13" t="n">
        <v>1</v>
      </c>
      <c r="J27" s="13" t="n">
        <v>1</v>
      </c>
      <c r="K27" s="13" t="n">
        <v>1</v>
      </c>
      <c r="L27" s="13" t="n">
        <v>1</v>
      </c>
      <c r="M27" s="13" t="n">
        <v>1</v>
      </c>
      <c r="N27" s="13" t="n">
        <v>0</v>
      </c>
      <c r="O27" s="13" t="n">
        <v>1</v>
      </c>
      <c r="P27" s="13" t="n">
        <v>1</v>
      </c>
      <c r="Q27" s="12">
        <f>COUNTIF(D27:P27,1)</f>
        <v/>
      </c>
      <c r="R27" s="12">
        <f>IF(COUNT(D27:P27)=0,"",ROUND(Q27/13*100,1))</f>
        <v/>
      </c>
      <c r="S27" s="12">
        <f>COUNTIF(D27:P27,0)</f>
        <v/>
      </c>
      <c r="T27" s="12">
        <f>IF(COUNT(D27:P27)=0,"",ROUND(S27/13*100,1))</f>
        <v/>
      </c>
      <c r="U27" s="20">
        <f>IF(R27="","",IF(R27&gt;=Нэгтгэл!$K$4,"Хангалттай эзэмшиж байна",IF(R27&gt;=Нэгтгэл!$K$5,"Ахиж байна","Хөгжиж байна")))</f>
        <v/>
      </c>
    </row>
    <row r="28" ht="16" customHeight="1">
      <c r="A28" s="12" t="n">
        <v>22</v>
      </c>
      <c r="B28" s="12">
        <f>IF(Нэгтгэл!B28="","",Нэгтгэл!B28)</f>
        <v/>
      </c>
      <c r="C28" s="4" t="n"/>
      <c r="D28" s="13" t="n">
        <v>0</v>
      </c>
      <c r="E28" s="13" t="n">
        <v>1</v>
      </c>
      <c r="F28" s="13" t="n">
        <v>1</v>
      </c>
      <c r="G28" s="13" t="n">
        <v>1</v>
      </c>
      <c r="H28" s="13" t="n">
        <v>1</v>
      </c>
      <c r="I28" s="13" t="n">
        <v>1</v>
      </c>
      <c r="J28" s="13" t="n">
        <v>1</v>
      </c>
      <c r="K28" s="13" t="n">
        <v>1</v>
      </c>
      <c r="L28" s="13" t="n">
        <v>0</v>
      </c>
      <c r="M28" s="13" t="n">
        <v>1</v>
      </c>
      <c r="N28" s="13" t="n">
        <v>1</v>
      </c>
      <c r="O28" s="13" t="n">
        <v>0</v>
      </c>
      <c r="P28" s="13" t="n">
        <v>1</v>
      </c>
      <c r="Q28" s="12">
        <f>COUNTIF(D28:P28,1)</f>
        <v/>
      </c>
      <c r="R28" s="12">
        <f>IF(COUNT(D28:P28)=0,"",ROUND(Q28/13*100,1))</f>
        <v/>
      </c>
      <c r="S28" s="12">
        <f>COUNTIF(D28:P28,0)</f>
        <v/>
      </c>
      <c r="T28" s="12">
        <f>IF(COUNT(D28:P28)=0,"",ROUND(S28/13*100,1))</f>
        <v/>
      </c>
      <c r="U28" s="20">
        <f>IF(R28="","",IF(R28&gt;=Нэгтгэл!$K$4,"Хангалттай эзэмшиж байна",IF(R28&gt;=Нэгтгэл!$K$5,"Ахиж байна","Хөгжиж байна")))</f>
        <v/>
      </c>
    </row>
    <row r="29" ht="16" customHeight="1">
      <c r="A29" s="12" t="n">
        <v>23</v>
      </c>
      <c r="B29" s="12">
        <f>IF(Нэгтгэл!B29="","",Нэгтгэл!B29)</f>
        <v/>
      </c>
      <c r="C29" s="4" t="n"/>
      <c r="D29" s="13" t="n">
        <v>1</v>
      </c>
      <c r="E29" s="13" t="n">
        <v>1</v>
      </c>
      <c r="F29" s="13" t="n">
        <v>1</v>
      </c>
      <c r="G29" s="13" t="n">
        <v>0</v>
      </c>
      <c r="H29" s="13" t="n">
        <v>0</v>
      </c>
      <c r="I29" s="13" t="n">
        <v>1</v>
      </c>
      <c r="J29" s="13" t="n">
        <v>1</v>
      </c>
      <c r="K29" s="13" t="n">
        <v>1</v>
      </c>
      <c r="L29" s="13" t="n">
        <v>1</v>
      </c>
      <c r="M29" s="13" t="n">
        <v>0</v>
      </c>
      <c r="N29" s="13" t="n">
        <v>0</v>
      </c>
      <c r="O29" s="13" t="n">
        <v>1</v>
      </c>
      <c r="P29" s="13" t="n">
        <v>0</v>
      </c>
      <c r="Q29" s="12">
        <f>COUNTIF(D29:P29,1)</f>
        <v/>
      </c>
      <c r="R29" s="12">
        <f>IF(COUNT(D29:P29)=0,"",ROUND(Q29/13*100,1))</f>
        <v/>
      </c>
      <c r="S29" s="12">
        <f>COUNTIF(D29:P29,0)</f>
        <v/>
      </c>
      <c r="T29" s="12">
        <f>IF(COUNT(D29:P29)=0,"",ROUND(S29/13*100,1))</f>
        <v/>
      </c>
      <c r="U29" s="20">
        <f>IF(R29="","",IF(R29&gt;=Нэгтгэл!$K$4,"Хангалттай эзэмшиж байна",IF(R29&gt;=Нэгтгэл!$K$5,"Ахиж байна","Хөгжиж байна")))</f>
        <v/>
      </c>
    </row>
    <row r="30" ht="16" customHeight="1">
      <c r="A30" s="12" t="n">
        <v>24</v>
      </c>
      <c r="B30" s="12">
        <f>IF(Нэгтгэл!B30="","",Нэгтгэл!B30)</f>
        <v/>
      </c>
      <c r="C30" s="4" t="n"/>
      <c r="D30" s="13" t="n">
        <v>1</v>
      </c>
      <c r="E30" s="13" t="n">
        <v>1</v>
      </c>
      <c r="F30" s="13" t="n">
        <v>0</v>
      </c>
      <c r="G30" s="13" t="n">
        <v>1</v>
      </c>
      <c r="H30" s="13" t="n">
        <v>1</v>
      </c>
      <c r="I30" s="13" t="n">
        <v>1</v>
      </c>
      <c r="J30" s="13" t="n">
        <v>1</v>
      </c>
      <c r="K30" s="13" t="n">
        <v>1</v>
      </c>
      <c r="L30" s="13" t="n">
        <v>1</v>
      </c>
      <c r="M30" s="13" t="n">
        <v>1</v>
      </c>
      <c r="N30" s="13" t="n">
        <v>0</v>
      </c>
      <c r="O30" s="13" t="n">
        <v>1</v>
      </c>
      <c r="P30" s="13" t="n">
        <v>0</v>
      </c>
      <c r="Q30" s="12">
        <f>COUNTIF(D30:P30,1)</f>
        <v/>
      </c>
      <c r="R30" s="12">
        <f>IF(COUNT(D30:P30)=0,"",ROUND(Q30/13*100,1))</f>
        <v/>
      </c>
      <c r="S30" s="12">
        <f>COUNTIF(D30:P30,0)</f>
        <v/>
      </c>
      <c r="T30" s="12">
        <f>IF(COUNT(D30:P30)=0,"",ROUND(S30/13*100,1))</f>
        <v/>
      </c>
      <c r="U30" s="20">
        <f>IF(R30="","",IF(R30&gt;=Нэгтгэл!$K$4,"Хангалттай эзэмшиж байна",IF(R30&gt;=Нэгтгэл!$K$5,"Ахиж байна","Хөгжиж байна")))</f>
        <v/>
      </c>
    </row>
    <row r="31" ht="16" customHeight="1">
      <c r="A31" s="12" t="n">
        <v>25</v>
      </c>
      <c r="B31" s="12">
        <f>IF(Нэгтгэл!B31="","",Нэгтгэл!B31)</f>
        <v/>
      </c>
      <c r="C31" s="4" t="n"/>
      <c r="D31" s="13" t="n">
        <v>1</v>
      </c>
      <c r="E31" s="13" t="n">
        <v>1</v>
      </c>
      <c r="F31" s="13" t="n">
        <v>1</v>
      </c>
      <c r="G31" s="13" t="n">
        <v>1</v>
      </c>
      <c r="H31" s="13" t="n">
        <v>1</v>
      </c>
      <c r="I31" s="13" t="n">
        <v>1</v>
      </c>
      <c r="J31" s="13" t="n">
        <v>0</v>
      </c>
      <c r="K31" s="13" t="n">
        <v>0</v>
      </c>
      <c r="L31" s="13" t="n">
        <v>0</v>
      </c>
      <c r="M31" s="13" t="n">
        <v>1</v>
      </c>
      <c r="N31" s="13" t="n">
        <v>1</v>
      </c>
      <c r="O31" s="13" t="n">
        <v>1</v>
      </c>
      <c r="P31" s="13" t="n">
        <v>1</v>
      </c>
      <c r="Q31" s="12">
        <f>COUNTIF(D31:P31,1)</f>
        <v/>
      </c>
      <c r="R31" s="12">
        <f>IF(COUNT(D31:P31)=0,"",ROUND(Q31/13*100,1))</f>
        <v/>
      </c>
      <c r="S31" s="12">
        <f>COUNTIF(D31:P31,0)</f>
        <v/>
      </c>
      <c r="T31" s="12">
        <f>IF(COUNT(D31:P31)=0,"",ROUND(S31/13*100,1))</f>
        <v/>
      </c>
      <c r="U31" s="20">
        <f>IF(R31="","",IF(R31&gt;=Нэгтгэл!$K$4,"Хангалттай эзэмшиж байна",IF(R31&gt;=Нэгтгэл!$K$5,"Ахиж байна","Хөгжиж байна")))</f>
        <v/>
      </c>
    </row>
    <row r="32" ht="16" customHeight="1">
      <c r="A32" s="12" t="n">
        <v>26</v>
      </c>
      <c r="B32" s="12">
        <f>IF(Нэгтгэл!B32="","",Нэгтгэл!B32)</f>
        <v/>
      </c>
      <c r="C32" s="4" t="n"/>
      <c r="D32" s="13" t="n">
        <v>1</v>
      </c>
      <c r="E32" s="13" t="n">
        <v>1</v>
      </c>
      <c r="F32" s="13" t="n">
        <v>0</v>
      </c>
      <c r="G32" s="13" t="n">
        <v>1</v>
      </c>
      <c r="H32" s="13" t="n">
        <v>1</v>
      </c>
      <c r="I32" s="13" t="n">
        <v>1</v>
      </c>
      <c r="J32" s="13" t="n">
        <v>1</v>
      </c>
      <c r="K32" s="13" t="n">
        <v>1</v>
      </c>
      <c r="L32" s="13" t="n">
        <v>0</v>
      </c>
      <c r="M32" s="13" t="n">
        <v>0</v>
      </c>
      <c r="N32" s="13" t="n">
        <v>1</v>
      </c>
      <c r="O32" s="13" t="n">
        <v>0</v>
      </c>
      <c r="P32" s="13" t="n">
        <v>1</v>
      </c>
      <c r="Q32" s="12">
        <f>COUNTIF(D32:P32,1)</f>
        <v/>
      </c>
      <c r="R32" s="12">
        <f>IF(COUNT(D32:P32)=0,"",ROUND(Q32/13*100,1))</f>
        <v/>
      </c>
      <c r="S32" s="12">
        <f>COUNTIF(D32:P32,0)</f>
        <v/>
      </c>
      <c r="T32" s="12">
        <f>IF(COUNT(D32:P32)=0,"",ROUND(S32/13*100,1))</f>
        <v/>
      </c>
      <c r="U32" s="20">
        <f>IF(R32="","",IF(R32&gt;=Нэгтгэл!$K$4,"Хангалттай эзэмшиж байна",IF(R32&gt;=Нэгтгэл!$K$5,"Ахиж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1</v>
      </c>
      <c r="I33" s="13" t="n">
        <v>1</v>
      </c>
      <c r="J33" s="13" t="n">
        <v>1</v>
      </c>
      <c r="K33" s="13" t="n">
        <v>1</v>
      </c>
      <c r="L33" s="13" t="n">
        <v>1</v>
      </c>
      <c r="M33" s="13" t="n">
        <v>0</v>
      </c>
      <c r="N33" s="13" t="n">
        <v>1</v>
      </c>
      <c r="O33" s="13" t="n">
        <v>1</v>
      </c>
      <c r="P33" s="13" t="n">
        <v>1</v>
      </c>
      <c r="Q33" s="12">
        <f>COUNTIF(D33:P33,1)</f>
        <v/>
      </c>
      <c r="R33" s="12">
        <f>IF(COUNT(D33:P33)=0,"",ROUND(Q33/13*100,1))</f>
        <v/>
      </c>
      <c r="S33" s="12">
        <f>COUNTIF(D33:P33,0)</f>
        <v/>
      </c>
      <c r="T33" s="12">
        <f>IF(COUNT(D33:P33)=0,"",ROUND(S33/13*100,1))</f>
        <v/>
      </c>
      <c r="U33" s="20">
        <f>IF(R33="","",IF(R33&gt;=Нэгтгэл!$K$4,"Хангалттай эзэмшиж байна",IF(R33&gt;=Нэгтгэл!$K$5,"Ахиж байна","Хөгжиж байна")))</f>
        <v/>
      </c>
    </row>
    <row r="34" ht="16" customHeight="1">
      <c r="A34" s="12" t="n">
        <v>28</v>
      </c>
      <c r="B34" s="12">
        <f>IF(Нэгтгэл!B34="","",Нэгтгэл!B34)</f>
        <v/>
      </c>
      <c r="C34" s="4" t="n"/>
      <c r="D34" s="13" t="n">
        <v>1</v>
      </c>
      <c r="E34" s="13" t="n">
        <v>1</v>
      </c>
      <c r="F34" s="13" t="n">
        <v>0</v>
      </c>
      <c r="G34" s="13" t="n">
        <v>1</v>
      </c>
      <c r="H34" s="13" t="n">
        <v>1</v>
      </c>
      <c r="I34" s="13" t="n">
        <v>1</v>
      </c>
      <c r="J34" s="13" t="n">
        <v>1</v>
      </c>
      <c r="K34" s="13" t="n">
        <v>0</v>
      </c>
      <c r="L34" s="13" t="n">
        <v>1</v>
      </c>
      <c r="M34" s="13" t="n">
        <v>1</v>
      </c>
      <c r="N34" s="13" t="n">
        <v>0</v>
      </c>
      <c r="O34" s="13" t="n">
        <v>1</v>
      </c>
      <c r="P34" s="13" t="n">
        <v>0</v>
      </c>
      <c r="Q34" s="12">
        <f>COUNTIF(D34:P34,1)</f>
        <v/>
      </c>
      <c r="R34" s="12">
        <f>IF(COUNT(D34:P34)=0,"",ROUND(Q34/13*100,1))</f>
        <v/>
      </c>
      <c r="S34" s="12">
        <f>COUNTIF(D34:P34,0)</f>
        <v/>
      </c>
      <c r="T34" s="12">
        <f>IF(COUNT(D34:P34)=0,"",ROUND(S34/13*100,1))</f>
        <v/>
      </c>
      <c r="U34" s="20">
        <f>IF(R34="","",IF(R34&gt;=Нэгтгэл!$K$4,"Хангалттай эзэмшиж байна",IF(R34&gt;=Нэгтгэл!$K$5,"Ахиж байна","Хөгжиж байна")))</f>
        <v/>
      </c>
    </row>
    <row r="35" ht="16" customHeight="1">
      <c r="A35" s="12" t="n">
        <v>29</v>
      </c>
      <c r="B35" s="12">
        <f>IF(Нэгтгэл!B35="","",Нэгтгэл!B35)</f>
        <v/>
      </c>
      <c r="C35" s="4" t="n"/>
      <c r="D35" s="13" t="n">
        <v>0</v>
      </c>
      <c r="E35" s="13" t="n">
        <v>1</v>
      </c>
      <c r="F35" s="13" t="n">
        <v>1</v>
      </c>
      <c r="G35" s="13" t="n">
        <v>1</v>
      </c>
      <c r="H35" s="13" t="n">
        <v>0</v>
      </c>
      <c r="I35" s="13" t="n">
        <v>1</v>
      </c>
      <c r="J35" s="13" t="n">
        <v>1</v>
      </c>
      <c r="K35" s="13" t="n">
        <v>1</v>
      </c>
      <c r="L35" s="13" t="n">
        <v>1</v>
      </c>
      <c r="M35" s="13" t="n">
        <v>1</v>
      </c>
      <c r="N35" s="13" t="n">
        <v>1</v>
      </c>
      <c r="O35" s="13" t="n">
        <v>1</v>
      </c>
      <c r="P35" s="13" t="n">
        <v>0</v>
      </c>
      <c r="Q35" s="12">
        <f>COUNTIF(D35:P35,1)</f>
        <v/>
      </c>
      <c r="R35" s="12">
        <f>IF(COUNT(D35:P35)=0,"",ROUND(Q35/13*100,1))</f>
        <v/>
      </c>
      <c r="S35" s="12">
        <f>COUNTIF(D35:P35,0)</f>
        <v/>
      </c>
      <c r="T35" s="12">
        <f>IF(COUNT(D35:P35)=0,"",ROUND(S35/13*100,1))</f>
        <v/>
      </c>
      <c r="U35" s="20">
        <f>IF(R35="","",IF(R35&gt;=Нэгтгэл!$K$4,"Хангалттай эзэмшиж байна",IF(R35&gt;=Нэгтгэл!$K$5,"Ахиж байна","Хөгжиж байна")))</f>
        <v/>
      </c>
    </row>
    <row r="36" ht="16" customHeight="1">
      <c r="A36" s="12" t="n">
        <v>30</v>
      </c>
      <c r="B36" s="12">
        <f>IF(Нэгтгэл!B36="","",Нэгтгэл!B36)</f>
        <v/>
      </c>
      <c r="C36" s="4" t="n"/>
      <c r="D36" s="13" t="n">
        <v>1</v>
      </c>
      <c r="E36" s="13" t="n">
        <v>0</v>
      </c>
      <c r="F36" s="13" t="n">
        <v>0</v>
      </c>
      <c r="G36" s="13" t="n">
        <v>1</v>
      </c>
      <c r="H36" s="13" t="n">
        <v>1</v>
      </c>
      <c r="I36" s="13" t="n">
        <v>1</v>
      </c>
      <c r="J36" s="13" t="n">
        <v>1</v>
      </c>
      <c r="K36" s="13" t="n">
        <v>1</v>
      </c>
      <c r="L36" s="13" t="n">
        <v>1</v>
      </c>
      <c r="M36" s="13" t="n">
        <v>0</v>
      </c>
      <c r="N36" s="13" t="n">
        <v>1</v>
      </c>
      <c r="O36" s="13" t="n">
        <v>1</v>
      </c>
      <c r="P36" s="13" t="n">
        <v>1</v>
      </c>
      <c r="Q36" s="12">
        <f>COUNTIF(D36:P36,1)</f>
        <v/>
      </c>
      <c r="R36" s="12">
        <f>IF(COUNT(D36:P36)=0,"",ROUND(Q36/13*100,1))</f>
        <v/>
      </c>
      <c r="S36" s="12">
        <f>COUNTIF(D36:P36,0)</f>
        <v/>
      </c>
      <c r="T36" s="12">
        <f>IF(COUNT(D36:P36)=0,"",ROUND(S36/13*100,1))</f>
        <v/>
      </c>
      <c r="U36" s="20">
        <f>IF(R36="","",IF(R36&gt;=Нэгтгэл!$K$4,"Хангалттай эзэмшиж байна",IF(R36&gt;=Нэгтгэл!$K$5,"Ахиж байна","Хөгжиж байна")))</f>
        <v/>
      </c>
    </row>
    <row r="37" ht="16" customHeight="1">
      <c r="A37" s="12" t="n">
        <v>31</v>
      </c>
      <c r="B37" s="12">
        <f>IF(Нэгтгэл!B37="","",Нэгтгэл!B37)</f>
        <v/>
      </c>
      <c r="C37" s="4" t="n"/>
      <c r="D37" s="13" t="n">
        <v>1</v>
      </c>
      <c r="E37" s="13" t="n">
        <v>1</v>
      </c>
      <c r="F37" s="13" t="n">
        <v>0</v>
      </c>
      <c r="G37" s="13" t="n">
        <v>1</v>
      </c>
      <c r="H37" s="13" t="n">
        <v>1</v>
      </c>
      <c r="I37" s="13" t="n">
        <v>0</v>
      </c>
      <c r="J37" s="13" t="n">
        <v>1</v>
      </c>
      <c r="K37" s="13" t="n">
        <v>1</v>
      </c>
      <c r="L37" s="13" t="n">
        <v>1</v>
      </c>
      <c r="M37" s="13" t="n">
        <v>1</v>
      </c>
      <c r="N37" s="13" t="n">
        <v>1</v>
      </c>
      <c r="O37" s="13" t="n">
        <v>1</v>
      </c>
      <c r="P37" s="13" t="n">
        <v>1</v>
      </c>
      <c r="Q37" s="12">
        <f>COUNTIF(D37:P37,1)</f>
        <v/>
      </c>
      <c r="R37" s="12">
        <f>IF(COUNT(D37:P37)=0,"",ROUND(Q37/13*100,1))</f>
        <v/>
      </c>
      <c r="S37" s="12">
        <f>COUNTIF(D37:P37,0)</f>
        <v/>
      </c>
      <c r="T37" s="12">
        <f>IF(COUNT(D37:P37)=0,"",ROUND(S37/13*100,1))</f>
        <v/>
      </c>
      <c r="U37" s="20">
        <f>IF(R37="","",IF(R37&gt;=Нэгтгэл!$K$4,"Хангалттай эзэмшиж байна",IF(R37&gt;=Нэгтгэл!$K$5,"Ахиж байна","Хөгжиж байна")))</f>
        <v/>
      </c>
    </row>
    <row r="38" ht="16" customHeight="1">
      <c r="A38" s="12" t="n">
        <v>32</v>
      </c>
      <c r="B38" s="12">
        <f>IF(Нэгтгэл!B38="","",Нэгтгэл!B38)</f>
        <v/>
      </c>
      <c r="C38" s="4" t="n"/>
      <c r="D38" s="13" t="n">
        <v>1</v>
      </c>
      <c r="E38" s="13" t="n">
        <v>0</v>
      </c>
      <c r="F38" s="13" t="n">
        <v>0</v>
      </c>
      <c r="G38" s="13" t="n">
        <v>1</v>
      </c>
      <c r="H38" s="13" t="n">
        <v>1</v>
      </c>
      <c r="I38" s="13" t="n">
        <v>1</v>
      </c>
      <c r="J38" s="13" t="n">
        <v>1</v>
      </c>
      <c r="K38" s="13" t="n">
        <v>0</v>
      </c>
      <c r="L38" s="13" t="n">
        <v>1</v>
      </c>
      <c r="M38" s="13" t="n">
        <v>1</v>
      </c>
      <c r="N38" s="13" t="n">
        <v>1</v>
      </c>
      <c r="O38" s="13" t="n">
        <v>1</v>
      </c>
      <c r="P38" s="13" t="n">
        <v>1</v>
      </c>
      <c r="Q38" s="12">
        <f>COUNTIF(D38:P38,1)</f>
        <v/>
      </c>
      <c r="R38" s="12">
        <f>IF(COUNT(D38:P38)=0,"",ROUND(Q38/13*100,1))</f>
        <v/>
      </c>
      <c r="S38" s="12">
        <f>COUNTIF(D38:P38,0)</f>
        <v/>
      </c>
      <c r="T38" s="12">
        <f>IF(COUNT(D38:P38)=0,"",ROUND(S38/13*100,1))</f>
        <v/>
      </c>
      <c r="U38" s="20">
        <f>IF(R38="","",IF(R38&gt;=Нэгтгэл!$K$4,"Хангалттай эзэмшиж байна",IF(R38&gt;=Нэгтгэл!$K$5,"Ахиж байна","Хөгжиж байна")))</f>
        <v/>
      </c>
    </row>
    <row r="39" ht="16" customHeight="1">
      <c r="A39" s="12" t="n">
        <v>33</v>
      </c>
      <c r="B39" s="12">
        <f>IF(Нэгтгэл!B39="","",Нэгтгэл!B39)</f>
        <v/>
      </c>
      <c r="C39" s="4" t="n"/>
      <c r="D39" s="13" t="n">
        <v>1</v>
      </c>
      <c r="E39" s="13" t="n">
        <v>1</v>
      </c>
      <c r="F39" s="13" t="n">
        <v>1</v>
      </c>
      <c r="G39" s="13" t="n">
        <v>0</v>
      </c>
      <c r="H39" s="13" t="n">
        <v>1</v>
      </c>
      <c r="I39" s="13" t="n">
        <v>1</v>
      </c>
      <c r="J39" s="13" t="n">
        <v>1</v>
      </c>
      <c r="K39" s="13" t="n">
        <v>1</v>
      </c>
      <c r="L39" s="13" t="n">
        <v>0</v>
      </c>
      <c r="M39" s="13" t="n">
        <v>0</v>
      </c>
      <c r="N39" s="13" t="n">
        <v>1</v>
      </c>
      <c r="O39" s="13" t="n">
        <v>1</v>
      </c>
      <c r="P39" s="13" t="n">
        <v>1</v>
      </c>
      <c r="Q39" s="12">
        <f>COUNTIF(D39:P39,1)</f>
        <v/>
      </c>
      <c r="R39" s="12">
        <f>IF(COUNT(D39:P39)=0,"",ROUND(Q39/13*100,1))</f>
        <v/>
      </c>
      <c r="S39" s="12">
        <f>COUNTIF(D39:P39,0)</f>
        <v/>
      </c>
      <c r="T39" s="12">
        <f>IF(COUNT(D39:P39)=0,"",ROUND(S39/13*100,1))</f>
        <v/>
      </c>
      <c r="U39" s="20">
        <f>IF(R39="","",IF(R39&gt;=Нэгтгэл!$K$4,"Хангалттай эзэмшиж байна",IF(R39&gt;=Нэгтгэл!$K$5,"Ахиж байна","Хөгжиж байна")))</f>
        <v/>
      </c>
    </row>
    <row r="40" ht="16" customHeight="1">
      <c r="A40" s="12" t="n">
        <v>34</v>
      </c>
      <c r="B40" s="12">
        <f>IF(Нэгтгэл!B40="","",Нэгтгэл!B40)</f>
        <v/>
      </c>
      <c r="C40" s="4" t="n"/>
      <c r="D40" s="13" t="n">
        <v>1</v>
      </c>
      <c r="E40" s="13" t="n">
        <v>1</v>
      </c>
      <c r="F40" s="13" t="n">
        <v>1</v>
      </c>
      <c r="G40" s="13" t="n">
        <v>0</v>
      </c>
      <c r="H40" s="13" t="n">
        <v>0</v>
      </c>
      <c r="I40" s="13" t="n">
        <v>1</v>
      </c>
      <c r="J40" s="13" t="n">
        <v>1</v>
      </c>
      <c r="K40" s="13" t="n">
        <v>1</v>
      </c>
      <c r="L40" s="13" t="n">
        <v>0</v>
      </c>
      <c r="M40" s="13" t="n">
        <v>1</v>
      </c>
      <c r="N40" s="13" t="n">
        <v>1</v>
      </c>
      <c r="O40" s="13" t="n">
        <v>1</v>
      </c>
      <c r="P40" s="13" t="n">
        <v>0</v>
      </c>
      <c r="Q40" s="12">
        <f>COUNTIF(D40:P40,1)</f>
        <v/>
      </c>
      <c r="R40" s="12">
        <f>IF(COUNT(D40:P40)=0,"",ROUND(Q40/13*100,1))</f>
        <v/>
      </c>
      <c r="S40" s="12">
        <f>COUNTIF(D40:P40,0)</f>
        <v/>
      </c>
      <c r="T40" s="12">
        <f>IF(COUNT(D40:P40)=0,"",ROUND(S40/13*100,1))</f>
        <v/>
      </c>
      <c r="U40" s="20">
        <f>IF(R40="","",IF(R40&gt;=Нэгтгэл!$K$4,"Хангалттай эзэмшиж байна",IF(R40&gt;=Нэгтгэл!$K$5,"Ахиж байна","Хөгжиж байна")))</f>
        <v/>
      </c>
    </row>
    <row r="41" ht="16" customHeight="1">
      <c r="A41" s="12" t="n">
        <v>35</v>
      </c>
      <c r="B41" s="12">
        <f>IF(Нэгтгэл!B41="","",Нэгтгэл!B41)</f>
        <v/>
      </c>
      <c r="C41" s="4" t="n"/>
      <c r="D41" s="13" t="n">
        <v>1</v>
      </c>
      <c r="E41" s="13" t="n">
        <v>0</v>
      </c>
      <c r="F41" s="13" t="n">
        <v>0</v>
      </c>
      <c r="G41" s="13" t="n">
        <v>1</v>
      </c>
      <c r="H41" s="13" t="n">
        <v>1</v>
      </c>
      <c r="I41" s="13" t="n">
        <v>1</v>
      </c>
      <c r="J41" s="13" t="n">
        <v>1</v>
      </c>
      <c r="K41" s="13" t="n">
        <v>1</v>
      </c>
      <c r="L41" s="13" t="n">
        <v>1</v>
      </c>
      <c r="M41" s="13" t="n">
        <v>1</v>
      </c>
      <c r="N41" s="13" t="n">
        <v>1</v>
      </c>
      <c r="O41" s="13" t="n">
        <v>1</v>
      </c>
      <c r="P41" s="13" t="n">
        <v>0</v>
      </c>
      <c r="Q41" s="12">
        <f>COUNTIF(D41:P41,1)</f>
        <v/>
      </c>
      <c r="R41" s="12">
        <f>IF(COUNT(D41:P41)=0,"",ROUND(Q41/13*100,1))</f>
        <v/>
      </c>
      <c r="S41" s="12">
        <f>COUNTIF(D41:P41,0)</f>
        <v/>
      </c>
      <c r="T41" s="12">
        <f>IF(COUNT(D41:P41)=0,"",ROUND(S41/13*100,1))</f>
        <v/>
      </c>
      <c r="U41" s="20">
        <f>IF(R41="","",IF(R41&gt;=Нэгтгэл!$K$4,"Хангалттай эзэмшиж байна",IF(R41&gt;=Нэгтгэл!$K$5,"Ахиж байна","Хөгжиж байна")))</f>
        <v/>
      </c>
    </row>
    <row r="42" ht="16" customHeight="1">
      <c r="A42" s="12" t="n">
        <v>36</v>
      </c>
      <c r="B42" s="12">
        <f>IF(Нэгтгэл!B42="","",Нэгтгэл!B42)</f>
        <v/>
      </c>
      <c r="C42" s="4" t="n"/>
      <c r="D42" s="13" t="n">
        <v>0</v>
      </c>
      <c r="E42" s="13" t="n">
        <v>0</v>
      </c>
      <c r="F42" s="13" t="n">
        <v>1</v>
      </c>
      <c r="G42" s="13" t="n">
        <v>1</v>
      </c>
      <c r="H42" s="13" t="n">
        <v>0</v>
      </c>
      <c r="I42" s="13" t="n">
        <v>1</v>
      </c>
      <c r="J42" s="13" t="n">
        <v>0</v>
      </c>
      <c r="K42" s="13" t="n">
        <v>1</v>
      </c>
      <c r="L42" s="13" t="n">
        <v>0</v>
      </c>
      <c r="M42" s="13" t="n">
        <v>1</v>
      </c>
      <c r="N42" s="13" t="n">
        <v>1</v>
      </c>
      <c r="O42" s="13" t="n">
        <v>0</v>
      </c>
      <c r="P42" s="13" t="n">
        <v>1</v>
      </c>
      <c r="Q42" s="12">
        <f>COUNTIF(D42:P42,1)</f>
        <v/>
      </c>
      <c r="R42" s="12">
        <f>IF(COUNT(D42:P42)=0,"",ROUND(Q42/13*100,1))</f>
        <v/>
      </c>
      <c r="S42" s="12">
        <f>COUNTIF(D42:P42,0)</f>
        <v/>
      </c>
      <c r="T42" s="12">
        <f>IF(COUNT(D42:P42)=0,"",ROUND(S42/13*100,1))</f>
        <v/>
      </c>
      <c r="U42" s="20">
        <f>IF(R42="","",IF(R42&gt;=Нэгтгэл!$K$4,"Хангалттай эзэмшиж байна",IF(R42&gt;=Нэгтгэл!$K$5,"Ахиж байна","Хөгжиж байна")))</f>
        <v/>
      </c>
    </row>
    <row r="43" ht="16" customHeight="1">
      <c r="A43" s="12" t="n">
        <v>37</v>
      </c>
      <c r="B43" s="12">
        <f>IF(Нэгтгэл!B43="","",Нэгтгэл!B43)</f>
        <v/>
      </c>
      <c r="C43" s="4" t="n"/>
      <c r="D43" s="13" t="n">
        <v>0</v>
      </c>
      <c r="E43" s="13" t="n">
        <v>0</v>
      </c>
      <c r="F43" s="13" t="n">
        <v>0</v>
      </c>
      <c r="G43" s="13" t="n">
        <v>1</v>
      </c>
      <c r="H43" s="13" t="n">
        <v>0</v>
      </c>
      <c r="I43" s="13" t="n">
        <v>0</v>
      </c>
      <c r="J43" s="13" t="n">
        <v>1</v>
      </c>
      <c r="K43" s="13" t="n">
        <v>1</v>
      </c>
      <c r="L43" s="13" t="n">
        <v>0</v>
      </c>
      <c r="M43" s="13" t="n">
        <v>1</v>
      </c>
      <c r="N43" s="13" t="n">
        <v>0</v>
      </c>
      <c r="O43" s="13" t="n">
        <v>1</v>
      </c>
      <c r="P43" s="13" t="n">
        <v>1</v>
      </c>
      <c r="Q43" s="12">
        <f>COUNTIF(D43:P43,1)</f>
        <v/>
      </c>
      <c r="R43" s="12">
        <f>IF(COUNT(D43:P43)=0,"",ROUND(Q43/13*100,1))</f>
        <v/>
      </c>
      <c r="S43" s="12">
        <f>COUNTIF(D43:P43,0)</f>
        <v/>
      </c>
      <c r="T43" s="12">
        <f>IF(COUNT(D43:P43)=0,"",ROUND(S43/13*100,1))</f>
        <v/>
      </c>
      <c r="U43" s="20">
        <f>IF(R43="","",IF(R43&gt;=Нэгтгэл!$K$4,"Хангалттай эзэмшиж байна",IF(R43&gt;=Нэгтгэл!$K$5,"Ахиж байна","Хөгжиж байна")))</f>
        <v/>
      </c>
    </row>
    <row r="44" ht="16" customHeight="1">
      <c r="A44" s="12" t="n">
        <v>38</v>
      </c>
      <c r="B44" s="12">
        <f>IF(Нэгтгэл!B44="","",Нэгтгэл!B44)</f>
        <v/>
      </c>
      <c r="C44" s="4" t="n"/>
      <c r="D44" s="13" t="n">
        <v>1</v>
      </c>
      <c r="E44" s="13" t="n">
        <v>1</v>
      </c>
      <c r="F44" s="13" t="n">
        <v>1</v>
      </c>
      <c r="G44" s="13" t="n">
        <v>1</v>
      </c>
      <c r="H44" s="13" t="n">
        <v>1</v>
      </c>
      <c r="I44" s="13" t="n">
        <v>1</v>
      </c>
      <c r="J44" s="13" t="n">
        <v>1</v>
      </c>
      <c r="K44" s="13" t="n">
        <v>1</v>
      </c>
      <c r="L44" s="13" t="n">
        <v>1</v>
      </c>
      <c r="M44" s="13" t="n">
        <v>1</v>
      </c>
      <c r="N44" s="13" t="n">
        <v>0</v>
      </c>
      <c r="O44" s="13" t="n">
        <v>0</v>
      </c>
      <c r="P44" s="13" t="n">
        <v>1</v>
      </c>
      <c r="Q44" s="12">
        <f>COUNTIF(D44:P44,1)</f>
        <v/>
      </c>
      <c r="R44" s="12">
        <f>IF(COUNT(D44:P44)=0,"",ROUND(Q44/13*100,1))</f>
        <v/>
      </c>
      <c r="S44" s="12">
        <f>COUNTIF(D44:P44,0)</f>
        <v/>
      </c>
      <c r="T44" s="12">
        <f>IF(COUNT(D44:P44)=0,"",ROUND(S44/13*100,1))</f>
        <v/>
      </c>
      <c r="U44" s="20">
        <f>IF(R44="","",IF(R44&gt;=Нэгтгэл!$K$4,"Хангалттай эзэмшиж байна",IF(R44&gt;=Нэгтгэл!$K$5,"Ахиж байна","Хөгжиж байна")))</f>
        <v/>
      </c>
    </row>
    <row r="45" ht="16" customHeight="1">
      <c r="A45" s="12" t="n">
        <v>39</v>
      </c>
      <c r="B45" s="12">
        <f>IF(Нэгтгэл!B45="","",Нэгтгэл!B45)</f>
        <v/>
      </c>
      <c r="C45" s="4" t="n"/>
      <c r="D45" s="13" t="n">
        <v>1</v>
      </c>
      <c r="E45" s="13" t="n">
        <v>1</v>
      </c>
      <c r="F45" s="13" t="n">
        <v>1</v>
      </c>
      <c r="G45" s="13" t="n">
        <v>1</v>
      </c>
      <c r="H45" s="13" t="n">
        <v>1</v>
      </c>
      <c r="I45" s="13" t="n">
        <v>1</v>
      </c>
      <c r="J45" s="13" t="n">
        <v>1</v>
      </c>
      <c r="K45" s="13" t="n">
        <v>1</v>
      </c>
      <c r="L45" s="13" t="n">
        <v>1</v>
      </c>
      <c r="M45" s="13" t="n">
        <v>1</v>
      </c>
      <c r="N45" s="13" t="n">
        <v>1</v>
      </c>
      <c r="O45" s="13" t="n">
        <v>1</v>
      </c>
      <c r="P45" s="13" t="n">
        <v>1</v>
      </c>
      <c r="Q45" s="12">
        <f>COUNTIF(D45:P45,1)</f>
        <v/>
      </c>
      <c r="R45" s="12">
        <f>IF(COUNT(D45:P45)=0,"",ROUND(Q45/13*100,1))</f>
        <v/>
      </c>
      <c r="S45" s="12">
        <f>COUNTIF(D45:P45,0)</f>
        <v/>
      </c>
      <c r="T45" s="12">
        <f>IF(COUNT(D45:P45)=0,"",ROUND(S45/13*100,1))</f>
        <v/>
      </c>
      <c r="U45" s="20">
        <f>IF(R45="","",IF(R45&gt;=Нэгтгэл!$K$4,"Хангалттай эзэмшиж байна",IF(R45&gt;=Нэгтгэл!$K$5,"Ахиж байна","Хөгжиж байна")))</f>
        <v/>
      </c>
    </row>
    <row r="46" ht="16" customHeight="1">
      <c r="A46" s="12" t="n">
        <v>40</v>
      </c>
      <c r="B46" s="12">
        <f>IF(Нэгтгэл!B46="","",Нэгтгэл!B46)</f>
        <v/>
      </c>
      <c r="C46" s="4" t="n"/>
      <c r="D46" s="13" t="n">
        <v>1</v>
      </c>
      <c r="E46" s="13" t="n">
        <v>0</v>
      </c>
      <c r="F46" s="13" t="n">
        <v>1</v>
      </c>
      <c r="G46" s="13" t="n">
        <v>1</v>
      </c>
      <c r="H46" s="13" t="n">
        <v>1</v>
      </c>
      <c r="I46" s="13" t="n">
        <v>0</v>
      </c>
      <c r="J46" s="13" t="n">
        <v>0</v>
      </c>
      <c r="K46" s="13" t="n">
        <v>1</v>
      </c>
      <c r="L46" s="13" t="n">
        <v>1</v>
      </c>
      <c r="M46" s="13" t="n">
        <v>1</v>
      </c>
      <c r="N46" s="13" t="n">
        <v>1</v>
      </c>
      <c r="O46" s="13" t="n">
        <v>1</v>
      </c>
      <c r="P46" s="13" t="n">
        <v>1</v>
      </c>
      <c r="Q46" s="12">
        <f>COUNTIF(D46:P46,1)</f>
        <v/>
      </c>
      <c r="R46" s="12">
        <f>IF(COUNT(D46:P46)=0,"",ROUND(Q46/13*100,1))</f>
        <v/>
      </c>
      <c r="S46" s="12">
        <f>COUNTIF(D46:P46,0)</f>
        <v/>
      </c>
      <c r="T46" s="12">
        <f>IF(COUNT(D46:P46)=0,"",ROUND(S46/13*100,1))</f>
        <v/>
      </c>
      <c r="U46" s="20">
        <f>IF(R46="","",IF(R46&gt;=Нэгтгэл!$K$4,"Хангалттай эзэмшиж байна",IF(R46&gt;=Нэгтгэл!$K$5,"Ахиж байна","Хөгжиж байна")))</f>
        <v/>
      </c>
    </row>
    <row r="47" ht="16" customHeight="1">
      <c r="A47" s="12" t="n">
        <v>41</v>
      </c>
      <c r="B47" s="12">
        <f>IF(Нэгтгэл!B47="","",Нэгтгэл!B47)</f>
        <v/>
      </c>
      <c r="C47" s="4" t="n"/>
      <c r="D47" s="13" t="n">
        <v>0</v>
      </c>
      <c r="E47" s="13" t="n">
        <v>1</v>
      </c>
      <c r="F47" s="13" t="n">
        <v>0</v>
      </c>
      <c r="G47" s="13" t="n">
        <v>1</v>
      </c>
      <c r="H47" s="13" t="n">
        <v>1</v>
      </c>
      <c r="I47" s="13" t="n">
        <v>1</v>
      </c>
      <c r="J47" s="13" t="n">
        <v>1</v>
      </c>
      <c r="K47" s="13" t="n">
        <v>1</v>
      </c>
      <c r="L47" s="13" t="n">
        <v>1</v>
      </c>
      <c r="M47" s="13" t="n">
        <v>1</v>
      </c>
      <c r="N47" s="13" t="n">
        <v>1</v>
      </c>
      <c r="O47" s="13" t="n">
        <v>1</v>
      </c>
      <c r="P47" s="13" t="n">
        <v>1</v>
      </c>
      <c r="Q47" s="12">
        <f>COUNTIF(D47:P47,1)</f>
        <v/>
      </c>
      <c r="R47" s="12">
        <f>IF(COUNT(D47:P47)=0,"",ROUND(Q47/13*100,1))</f>
        <v/>
      </c>
      <c r="S47" s="12">
        <f>COUNTIF(D47:P47,0)</f>
        <v/>
      </c>
      <c r="T47" s="12">
        <f>IF(COUNT(D47:P47)=0,"",ROUND(S47/13*100,1))</f>
        <v/>
      </c>
      <c r="U47" s="20">
        <f>IF(R47="","",IF(R47&gt;=Нэгтгэл!$K$4,"Хангалттай эзэмшиж байна",IF(R47&gt;=Нэгтгэл!$K$5,"Ахиж байна","Хөгжиж байна")))</f>
        <v/>
      </c>
    </row>
    <row r="48" ht="16" customHeight="1">
      <c r="A48" s="12" t="n">
        <v>42</v>
      </c>
      <c r="B48" s="12">
        <f>IF(Нэгтгэл!B48="","",Нэгтгэл!B48)</f>
        <v/>
      </c>
      <c r="C48" s="4" t="n"/>
      <c r="D48" s="13" t="n">
        <v>1</v>
      </c>
      <c r="E48" s="13" t="n">
        <v>1</v>
      </c>
      <c r="F48" s="13" t="n">
        <v>1</v>
      </c>
      <c r="G48" s="13" t="n">
        <v>1</v>
      </c>
      <c r="H48" s="13" t="n">
        <v>0</v>
      </c>
      <c r="I48" s="13" t="n">
        <v>1</v>
      </c>
      <c r="J48" s="13" t="n">
        <v>0</v>
      </c>
      <c r="K48" s="13" t="n">
        <v>0</v>
      </c>
      <c r="L48" s="13" t="n">
        <v>0</v>
      </c>
      <c r="M48" s="13" t="n">
        <v>1</v>
      </c>
      <c r="N48" s="13" t="n">
        <v>1</v>
      </c>
      <c r="O48" s="13" t="n">
        <v>1</v>
      </c>
      <c r="P48" s="13" t="n">
        <v>1</v>
      </c>
      <c r="Q48" s="12">
        <f>COUNTIF(D48:P48,1)</f>
        <v/>
      </c>
      <c r="R48" s="12">
        <f>IF(COUNT(D48:P48)=0,"",ROUND(Q48/13*100,1))</f>
        <v/>
      </c>
      <c r="S48" s="12">
        <f>COUNTIF(D48:P48,0)</f>
        <v/>
      </c>
      <c r="T48" s="12">
        <f>IF(COUNT(D48:P48)=0,"",ROUND(S48/13*100,1))</f>
        <v/>
      </c>
      <c r="U48" s="20">
        <f>IF(R48="","",IF(R48&gt;=Нэгтгэл!$K$4,"Хангалттай эзэмшиж байна",IF(R48&gt;=Нэгтгэл!$K$5,"Ахиж байна","Хөгжиж байна")))</f>
        <v/>
      </c>
    </row>
    <row r="49" ht="16" customHeight="1">
      <c r="A49" s="12" t="n">
        <v>43</v>
      </c>
      <c r="B49" s="12">
        <f>IF(Нэгтгэл!B49="","",Нэгтгэл!B49)</f>
        <v/>
      </c>
      <c r="C49" s="4" t="n"/>
      <c r="D49" s="13" t="n">
        <v>1</v>
      </c>
      <c r="E49" s="13" t="n">
        <v>1</v>
      </c>
      <c r="F49" s="13" t="n">
        <v>1</v>
      </c>
      <c r="G49" s="13" t="n">
        <v>1</v>
      </c>
      <c r="H49" s="13" t="n">
        <v>1</v>
      </c>
      <c r="I49" s="13" t="n">
        <v>0</v>
      </c>
      <c r="J49" s="13" t="n">
        <v>1</v>
      </c>
      <c r="K49" s="13" t="n">
        <v>0</v>
      </c>
      <c r="L49" s="13" t="n">
        <v>1</v>
      </c>
      <c r="M49" s="13" t="n">
        <v>0</v>
      </c>
      <c r="N49" s="13" t="n">
        <v>1</v>
      </c>
      <c r="O49" s="13" t="n">
        <v>0</v>
      </c>
      <c r="P49" s="13" t="n">
        <v>1</v>
      </c>
      <c r="Q49" s="12">
        <f>COUNTIF(D49:P49,1)</f>
        <v/>
      </c>
      <c r="R49" s="12">
        <f>IF(COUNT(D49:P49)=0,"",ROUND(Q49/13*100,1))</f>
        <v/>
      </c>
      <c r="S49" s="12">
        <f>COUNTIF(D49:P49,0)</f>
        <v/>
      </c>
      <c r="T49" s="12">
        <f>IF(COUNT(D49:P49)=0,"",ROUND(S49/13*100,1))</f>
        <v/>
      </c>
      <c r="U49" s="20">
        <f>IF(R49="","",IF(R49&gt;=Нэгтгэл!$K$4,"Хангалттай эзэмшиж байна",IF(R49&gt;=Нэгтгэл!$K$5,"Ахиж байна","Хөгжиж байна")))</f>
        <v/>
      </c>
    </row>
    <row r="50" ht="16" customHeight="1">
      <c r="A50" s="12" t="n">
        <v>44</v>
      </c>
      <c r="B50" s="12">
        <f>IF(Нэгтгэл!B50="","",Нэгтгэл!B50)</f>
        <v/>
      </c>
      <c r="C50" s="4" t="n"/>
      <c r="D50" s="13" t="n">
        <v>0</v>
      </c>
      <c r="E50" s="13" t="n">
        <v>0</v>
      </c>
      <c r="F50" s="13" t="n">
        <v>1</v>
      </c>
      <c r="G50" s="13" t="n">
        <v>1</v>
      </c>
      <c r="H50" s="13" t="n">
        <v>1</v>
      </c>
      <c r="I50" s="13" t="n">
        <v>1</v>
      </c>
      <c r="J50" s="13" t="n">
        <v>0</v>
      </c>
      <c r="K50" s="13" t="n">
        <v>1</v>
      </c>
      <c r="L50" s="13" t="n">
        <v>1</v>
      </c>
      <c r="M50" s="13" t="n">
        <v>1</v>
      </c>
      <c r="N50" s="13" t="n">
        <v>1</v>
      </c>
      <c r="O50" s="13" t="n">
        <v>1</v>
      </c>
      <c r="P50" s="13" t="n">
        <v>1</v>
      </c>
      <c r="Q50" s="12">
        <f>COUNTIF(D50:P50,1)</f>
        <v/>
      </c>
      <c r="R50" s="12">
        <f>IF(COUNT(D50:P50)=0,"",ROUND(Q50/13*100,1))</f>
        <v/>
      </c>
      <c r="S50" s="12">
        <f>COUNTIF(D50:P50,0)</f>
        <v/>
      </c>
      <c r="T50" s="12">
        <f>IF(COUNT(D50:P50)=0,"",ROUND(S50/13*100,1))</f>
        <v/>
      </c>
      <c r="U50" s="20">
        <f>IF(R50="","",IF(R50&gt;=Нэгтгэл!$K$4,"Хангалттай эзэмшиж байна",IF(R50&gt;=Нэгтгэл!$K$5,"Ахиж байна","Хөгжиж байна")))</f>
        <v/>
      </c>
    </row>
    <row r="51" ht="16" customHeight="1">
      <c r="A51" s="12" t="n">
        <v>45</v>
      </c>
      <c r="B51" s="12">
        <f>IF(Нэгтгэл!B51="","",Нэгтгэл!B51)</f>
        <v/>
      </c>
      <c r="C51" s="4" t="n"/>
      <c r="D51" s="13" t="n">
        <v>1</v>
      </c>
      <c r="E51" s="13" t="n">
        <v>1</v>
      </c>
      <c r="F51" s="13" t="n">
        <v>1</v>
      </c>
      <c r="G51" s="13" t="n">
        <v>1</v>
      </c>
      <c r="H51" s="13" t="n">
        <v>1</v>
      </c>
      <c r="I51" s="13" t="n">
        <v>1</v>
      </c>
      <c r="J51" s="13" t="n">
        <v>1</v>
      </c>
      <c r="K51" s="13" t="n">
        <v>1</v>
      </c>
      <c r="L51" s="13" t="n">
        <v>0</v>
      </c>
      <c r="M51" s="13" t="n">
        <v>0</v>
      </c>
      <c r="N51" s="13" t="n">
        <v>1</v>
      </c>
      <c r="O51" s="13" t="n">
        <v>0</v>
      </c>
      <c r="P51" s="13" t="n">
        <v>1</v>
      </c>
      <c r="Q51" s="12">
        <f>COUNTIF(D51:P51,1)</f>
        <v/>
      </c>
      <c r="R51" s="12">
        <f>IF(COUNT(D51:P51)=0,"",ROUND(Q51/13*100,1))</f>
        <v/>
      </c>
      <c r="S51" s="12">
        <f>COUNTIF(D51:P51,0)</f>
        <v/>
      </c>
      <c r="T51" s="12">
        <f>IF(COUNT(D51:P51)=0,"",ROUND(S51/13*100,1))</f>
        <v/>
      </c>
      <c r="U51" s="20">
        <f>IF(R51="","",IF(R51&gt;=Нэгтгэл!$K$4,"Хангалттай эзэмшиж байна",IF(R51&gt;=Нэгтгэл!$K$5,"Ахиж байна","Хөгжиж байна")))</f>
        <v/>
      </c>
    </row>
    <row r="52" ht="16" customHeight="1">
      <c r="A52" s="12" t="n">
        <v>46</v>
      </c>
      <c r="B52" s="12">
        <f>IF(Нэгтгэл!B52="","",Нэгтгэл!B52)</f>
        <v/>
      </c>
      <c r="C52" s="4" t="n"/>
      <c r="D52" s="13" t="n">
        <v>1</v>
      </c>
      <c r="E52" s="13" t="n">
        <v>1</v>
      </c>
      <c r="F52" s="13" t="n">
        <v>1</v>
      </c>
      <c r="G52" s="13" t="n">
        <v>0</v>
      </c>
      <c r="H52" s="13" t="n">
        <v>1</v>
      </c>
      <c r="I52" s="13" t="n">
        <v>1</v>
      </c>
      <c r="J52" s="13" t="n">
        <v>0</v>
      </c>
      <c r="K52" s="13" t="n">
        <v>1</v>
      </c>
      <c r="L52" s="13" t="n">
        <v>1</v>
      </c>
      <c r="M52" s="13" t="n">
        <v>1</v>
      </c>
      <c r="N52" s="13" t="n">
        <v>1</v>
      </c>
      <c r="O52" s="13" t="n">
        <v>1</v>
      </c>
      <c r="P52" s="13" t="n">
        <v>1</v>
      </c>
      <c r="Q52" s="12">
        <f>COUNTIF(D52:P52,1)</f>
        <v/>
      </c>
      <c r="R52" s="12">
        <f>IF(COUNT(D52:P52)=0,"",ROUND(Q52/13*100,1))</f>
        <v/>
      </c>
      <c r="S52" s="12">
        <f>COUNTIF(D52:P52,0)</f>
        <v/>
      </c>
      <c r="T52" s="12">
        <f>IF(COUNT(D52:P52)=0,"",ROUND(S52/13*100,1))</f>
        <v/>
      </c>
      <c r="U52" s="20">
        <f>IF(R52="","",IF(R52&gt;=Нэгтгэл!$K$4,"Хангалттай эзэмшиж байна",IF(R52&gt;=Нэгтгэл!$K$5,"Ахиж байна","Хөгжиж байна")))</f>
        <v/>
      </c>
    </row>
    <row r="53" ht="16" customHeight="1">
      <c r="A53" s="12" t="n">
        <v>47</v>
      </c>
      <c r="B53" s="12">
        <f>IF(Нэгтгэл!B53="","",Нэгтгэл!B53)</f>
        <v/>
      </c>
      <c r="C53" s="4" t="n"/>
      <c r="D53" s="13" t="n">
        <v>1</v>
      </c>
      <c r="E53" s="13" t="n">
        <v>1</v>
      </c>
      <c r="F53" s="13" t="n">
        <v>1</v>
      </c>
      <c r="G53" s="13" t="n">
        <v>1</v>
      </c>
      <c r="H53" s="13" t="n">
        <v>1</v>
      </c>
      <c r="I53" s="13" t="n">
        <v>0</v>
      </c>
      <c r="J53" s="13" t="n">
        <v>1</v>
      </c>
      <c r="K53" s="13" t="n">
        <v>0</v>
      </c>
      <c r="L53" s="13" t="n">
        <v>1</v>
      </c>
      <c r="M53" s="13" t="n">
        <v>1</v>
      </c>
      <c r="N53" s="13" t="n">
        <v>0</v>
      </c>
      <c r="O53" s="13" t="n">
        <v>1</v>
      </c>
      <c r="P53" s="13" t="n">
        <v>1</v>
      </c>
      <c r="Q53" s="12">
        <f>COUNTIF(D53:P53,1)</f>
        <v/>
      </c>
      <c r="R53" s="12">
        <f>IF(COUNT(D53:P53)=0,"",ROUND(Q53/13*100,1))</f>
        <v/>
      </c>
      <c r="S53" s="12">
        <f>COUNTIF(D53:P53,0)</f>
        <v/>
      </c>
      <c r="T53" s="12">
        <f>IF(COUNT(D53:P53)=0,"",ROUND(S53/13*100,1))</f>
        <v/>
      </c>
      <c r="U53" s="20">
        <f>IF(R53="","",IF(R53&gt;=Нэгтгэл!$K$4,"Хангалттай эзэмшиж байна",IF(R53&gt;=Нэгтгэл!$K$5,"Ахиж байна","Хөгжиж байна")))</f>
        <v/>
      </c>
    </row>
    <row r="54" ht="16" customHeight="1">
      <c r="A54" s="12" t="n">
        <v>48</v>
      </c>
      <c r="B54" s="12">
        <f>IF(Нэгтгэл!B54="","",Нэгтгэл!B54)</f>
        <v/>
      </c>
      <c r="C54" s="4" t="n"/>
      <c r="D54" s="13" t="n">
        <v>1</v>
      </c>
      <c r="E54" s="13" t="n">
        <v>1</v>
      </c>
      <c r="F54" s="13" t="n">
        <v>1</v>
      </c>
      <c r="G54" s="13" t="n">
        <v>1</v>
      </c>
      <c r="H54" s="13" t="n">
        <v>1</v>
      </c>
      <c r="I54" s="13" t="n">
        <v>1</v>
      </c>
      <c r="J54" s="13" t="n">
        <v>1</v>
      </c>
      <c r="K54" s="13" t="n">
        <v>1</v>
      </c>
      <c r="L54" s="13" t="n">
        <v>1</v>
      </c>
      <c r="M54" s="13" t="n">
        <v>1</v>
      </c>
      <c r="N54" s="13" t="n">
        <v>1</v>
      </c>
      <c r="O54" s="13" t="n">
        <v>0</v>
      </c>
      <c r="P54" s="13" t="n">
        <v>1</v>
      </c>
      <c r="Q54" s="12">
        <f>COUNTIF(D54:P54,1)</f>
        <v/>
      </c>
      <c r="R54" s="12">
        <f>IF(COUNT(D54:P54)=0,"",ROUND(Q54/13*100,1))</f>
        <v/>
      </c>
      <c r="S54" s="12">
        <f>COUNTIF(D54:P54,0)</f>
        <v/>
      </c>
      <c r="T54" s="12">
        <f>IF(COUNT(D54:P54)=0,"",ROUND(S54/13*100,1))</f>
        <v/>
      </c>
      <c r="U54" s="20">
        <f>IF(R54="","",IF(R54&gt;=Нэгтгэл!$K$4,"Хангалттай эзэмшиж байна",IF(R54&gt;=Нэгтгэл!$K$5,"Ахиж байна","Хөгжиж байна")))</f>
        <v/>
      </c>
    </row>
    <row r="55" ht="16" customHeight="1">
      <c r="A55" s="12" t="n">
        <v>49</v>
      </c>
      <c r="B55" s="12">
        <f>IF(Нэгтгэл!B55="","",Нэгтгэл!B55)</f>
        <v/>
      </c>
      <c r="C55" s="4" t="n"/>
      <c r="D55" s="13" t="n">
        <v>0</v>
      </c>
      <c r="E55" s="13" t="n">
        <v>1</v>
      </c>
      <c r="F55" s="13" t="n">
        <v>1</v>
      </c>
      <c r="G55" s="13" t="n">
        <v>1</v>
      </c>
      <c r="H55" s="13" t="n">
        <v>0</v>
      </c>
      <c r="I55" s="13" t="n">
        <v>1</v>
      </c>
      <c r="J55" s="13" t="n">
        <v>1</v>
      </c>
      <c r="K55" s="13" t="n">
        <v>1</v>
      </c>
      <c r="L55" s="13" t="n">
        <v>1</v>
      </c>
      <c r="M55" s="13" t="n">
        <v>1</v>
      </c>
      <c r="N55" s="13" t="n">
        <v>1</v>
      </c>
      <c r="O55" s="13" t="n">
        <v>1</v>
      </c>
      <c r="P55" s="13" t="n">
        <v>1</v>
      </c>
      <c r="Q55" s="12">
        <f>COUNTIF(D55:P55,1)</f>
        <v/>
      </c>
      <c r="R55" s="12">
        <f>IF(COUNT(D55:P55)=0,"",ROUND(Q55/13*100,1))</f>
        <v/>
      </c>
      <c r="S55" s="12">
        <f>COUNTIF(D55:P55,0)</f>
        <v/>
      </c>
      <c r="T55" s="12">
        <f>IF(COUNT(D55:P55)=0,"",ROUND(S55/13*100,1))</f>
        <v/>
      </c>
      <c r="U55" s="20">
        <f>IF(R55="","",IF(R55&gt;=Нэгтгэл!$K$4,"Хангалттай эзэмшиж байна",IF(R55&gt;=Нэгтгэл!$K$5,"Ахиж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5">
        <f>COUNTIF(L7:L55,1)</f>
        <v/>
      </c>
      <c r="M56" s="5">
        <f>COUNTIF(M7:M55,1)</f>
        <v/>
      </c>
      <c r="N56" s="5">
        <f>COUNTIF(N7:N55,1)</f>
        <v/>
      </c>
      <c r="O56" s="5">
        <f>COUNTIF(O7:O55,1)</f>
        <v/>
      </c>
      <c r="P56" s="5">
        <f>COUNTIF(P7:P55,1)</f>
        <v/>
      </c>
      <c r="Q56" s="21" t="inlineStr">
        <is>
          <t>Хангалттай эзэмшиж байна</t>
        </is>
      </c>
      <c r="R56" s="22" t="n"/>
      <c r="S56" s="22" t="n"/>
      <c r="T56" s="23" t="n"/>
      <c r="U56" s="5">
        <f>COUNTIF(U7:U55,"Хангалттай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5">
        <f>IF(COUNT(L7:L55)=0,"",ROUND(COUNTIF(L7:L55,1)/COUNT(L7:L55)*100,1))</f>
        <v/>
      </c>
      <c r="M57" s="5">
        <f>IF(COUNT(M7:M55)=0,"",ROUND(COUNTIF(M7:M55,1)/COUNT(M7:M55)*100,1))</f>
        <v/>
      </c>
      <c r="N57" s="5">
        <f>IF(COUNT(N7:N55)=0,"",ROUND(COUNTIF(N7:N55,1)/COUNT(N7:N55)*100,1))</f>
        <v/>
      </c>
      <c r="O57" s="5">
        <f>IF(COUNT(O7:O55)=0,"",ROUND(COUNTIF(O7:O55,1)/COUNT(O7:O55)*100,1))</f>
        <v/>
      </c>
      <c r="P57" s="5">
        <f>IF(COUNT(P7:P55)=0,"",ROUND(COUNTIF(P7:P55,1)/COUNT(P7:P55)*100,1))</f>
        <v/>
      </c>
      <c r="Q57" s="21" t="inlineStr">
        <is>
          <t>Ахиж байна</t>
        </is>
      </c>
      <c r="R57" s="22" t="n"/>
      <c r="S57" s="22" t="n"/>
      <c r="T57" s="23" t="n"/>
      <c r="U57" s="5">
        <f>COUNTIF(U7:U55,"Ахиж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5">
        <f>COUNTIF(L7:L55,0)</f>
        <v/>
      </c>
      <c r="M58" s="5">
        <f>COUNTIF(M7:M55,0)</f>
        <v/>
      </c>
      <c r="N58" s="5">
        <f>COUNTIF(N7:N55,0)</f>
        <v/>
      </c>
      <c r="O58" s="5">
        <f>COUNTIF(O7:O55,0)</f>
        <v/>
      </c>
      <c r="P58" s="5">
        <f>COUNTIF(P7:P55,0)</f>
        <v/>
      </c>
      <c r="Q58" s="21" t="inlineStr">
        <is>
          <t>Хөгжиж байна</t>
        </is>
      </c>
      <c r="R58" s="22" t="n"/>
      <c r="S58" s="22" t="n"/>
      <c r="T58" s="23" t="n"/>
      <c r="U58" s="5">
        <f>COUNTIF(U7:U55,"Хөгжиж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5">
        <f>IF(COUNT(L7:L55)=0,"",ROUND(COUNTIF(L7:L55,0)/COUNT(L7:L55)*100,1))</f>
        <v/>
      </c>
      <c r="M59" s="5">
        <f>IF(COUNT(M7:M55)=0,"",ROUND(COUNTIF(M7:M55,0)/COUNT(M7:M55)*100,1))</f>
        <v/>
      </c>
      <c r="N59" s="5">
        <f>IF(COUNT(N7:N55)=0,"",ROUND(COUNTIF(N7:N55,0)/COUNT(N7:N55)*100,1))</f>
        <v/>
      </c>
      <c r="O59" s="5">
        <f>IF(COUNT(O7:O55)=0,"",ROUND(COUNTIF(O7:O55,0)/COUNT(O7:O55)*100,1))</f>
        <v/>
      </c>
      <c r="P59" s="5">
        <f>IF(COUNT(P7:P55)=0,"",ROUND(COUNTIF(P7:P55,0)/COUNT(P7:P55)*100,1))</f>
        <v/>
      </c>
      <c r="Q59" s="15" t="n"/>
      <c r="R59" s="15" t="n"/>
      <c r="S59" s="15" t="n"/>
      <c r="T59" s="15" t="n"/>
      <c r="U59" s="15" t="n"/>
    </row>
  </sheetData>
  <mergeCells count="66">
    <mergeCell ref="B47:C47"/>
    <mergeCell ref="B16:C16"/>
    <mergeCell ref="B54:C54"/>
    <mergeCell ref="B7:C7"/>
    <mergeCell ref="B25:C25"/>
    <mergeCell ref="S3:S6"/>
    <mergeCell ref="Q3:Q6"/>
    <mergeCell ref="B46:C46"/>
    <mergeCell ref="D3:P3"/>
    <mergeCell ref="B22:C22"/>
    <mergeCell ref="A56:C56"/>
    <mergeCell ref="B31:C31"/>
    <mergeCell ref="B18:C18"/>
    <mergeCell ref="B27:C27"/>
    <mergeCell ref="A57:C57"/>
    <mergeCell ref="B43:C43"/>
    <mergeCell ref="B12:C12"/>
    <mergeCell ref="B39:C39"/>
    <mergeCell ref="B52:C52"/>
    <mergeCell ref="B21:C21"/>
    <mergeCell ref="B48:C48"/>
    <mergeCell ref="Q57:T57"/>
    <mergeCell ref="A2:U2"/>
    <mergeCell ref="B11:C11"/>
    <mergeCell ref="Q56:T56"/>
    <mergeCell ref="B42:C42"/>
    <mergeCell ref="B23:C23"/>
    <mergeCell ref="A3:A6"/>
    <mergeCell ref="B14:C14"/>
    <mergeCell ref="B17:C17"/>
    <mergeCell ref="B8:C8"/>
    <mergeCell ref="B53:C53"/>
    <mergeCell ref="B13:C13"/>
    <mergeCell ref="B38:C38"/>
    <mergeCell ref="B44:C44"/>
    <mergeCell ref="B29:C29"/>
    <mergeCell ref="U3:U6"/>
    <mergeCell ref="B19:C19"/>
    <mergeCell ref="B34:C34"/>
    <mergeCell ref="B37:C37"/>
    <mergeCell ref="B10:C10"/>
    <mergeCell ref="B28:C28"/>
    <mergeCell ref="A58:C58"/>
    <mergeCell ref="R3:R6"/>
    <mergeCell ref="B40:C40"/>
    <mergeCell ref="B9:C9"/>
    <mergeCell ref="A59:C59"/>
    <mergeCell ref="Q58:T58"/>
    <mergeCell ref="B49:C49"/>
    <mergeCell ref="B55:C55"/>
    <mergeCell ref="B3:C6"/>
    <mergeCell ref="B24:C24"/>
    <mergeCell ref="B30:C30"/>
    <mergeCell ref="B15:C15"/>
    <mergeCell ref="B33:C33"/>
    <mergeCell ref="T3:T6"/>
    <mergeCell ref="B51:C51"/>
    <mergeCell ref="B20:C20"/>
    <mergeCell ref="B45:C45"/>
    <mergeCell ref="B36:C36"/>
    <mergeCell ref="B32:C32"/>
    <mergeCell ref="B50:C50"/>
    <mergeCell ref="B26:C26"/>
    <mergeCell ref="B41:C41"/>
    <mergeCell ref="A1:U1"/>
    <mergeCell ref="B35:C35"/>
  </mergeCells>
  <conditionalFormatting sqref="D7:P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L7 L8 L9 L10 L11 L12 L13 L14 L15 L16 L17 L18 L19 L20 L21 L22 L23 L24 L25 L26 L27 L28 L29 L30 L31 L32 L33 L34 L35 L36 L37 L38 L39 L40 L41 L42 L43 L44 L45 L46 L47 L48 L49 L50 L51 L52 L53 L54 L55 M7 M8 M9 M10 M11 M12 M13 M14 M15 M16 M17 M18 M19 M20 M21 M22 M23 M24 M25 M26 M27 M28 M29 M30 M31 M32 M33 M34 M35 M36 M37 M38 M39 M40 M41 M42 M43 M44 M45 M46 M47 M48 M49 M50 M51 M52 M53 M54 M55 N7 N8 N9 N10 N11 N12 N13 N14 N15 N16 N17 N18 N19 N20 N21 N22 N23 N24 N25 N26 N27 N28 N29 N30 N31 N32 N33 N34 N35 N36 N37 N38 N39 N40 N41 N42 N43 N44 N45 N46 N47 N48 N49 N50 N51 N52 N53 N54 N55 O7 O8 O9 O10 O11 O12 O13 O14 O15 O16 O17 O18 O19 O20 O21 O22 O23 O24 O25 O26 O27 O28 O29 O30 O31 O32 O33 O34 O35 O36 O37 O38 O39 O40 O41 O42 O43 O44 O45 O46 O47 O48 O49 O50 O51 O52 O53 O54 O55 P7 P8 P9 P10 P11 P12 P13 P14 P15 P16 P17 P18 P19 P20 P21 P22 P23 P24 P25 P26 P27 P28 P29 P30 P31 P32 P33 P34 P35 P36 P37 P38 P39 P40 P41 P42 P43 P44 P45 P46 P47 P48 P49 P50 P51 P52 P53 P54 P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2026-10-18T13:12:35Z</dcterms:created>
  <dcterms:modified xmlns:dcterms="http://purl.org/dc/terms/" xmlns:xsi="http://www.w3.org/2001/XMLSchema-instance" xsi:type="dcterms:W3CDTF">2026-10-18T13:12:36Z</dcterms:modified>
</cp:coreProperties>
</file>
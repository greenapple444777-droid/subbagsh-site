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Нэгтгэл" sheetId="1" state="visible" r:id="rId1"/>
    <sheet xmlns:r="http://schemas.openxmlformats.org/officeDocument/2006/relationships" name="Бие бялдар" sheetId="2" state="visible" r:id="rId2"/>
    <sheet xmlns:r="http://schemas.openxmlformats.org/officeDocument/2006/relationships" name="Нийгэмшихүй, сэтгэл хөдлөл" sheetId="3" state="visible" r:id="rId3"/>
    <sheet xmlns:r="http://schemas.openxmlformats.org/officeDocument/2006/relationships" name="Танин мэдэхүй" sheetId="4" state="visible" r:id="rId4"/>
  </sheets>
  <definedNames>
    <definedName name="_xlnm.Print_Titles" localSheetId="0">'Нэгтгэл'!$3:$6</definedName>
    <definedName name="_xlnm.Print_Area" localSheetId="0">'Нэгтгэл'!$A$1:$H$59</definedName>
    <definedName name="_xlnm.Print_Titles" localSheetId="1">'Бие бялдар'!$3:$6</definedName>
    <definedName name="_xlnm.Print_Area" localSheetId="1">'Бие бялдар'!$A$1:$P$59</definedName>
    <definedName name="_xlnm.Print_Titles" localSheetId="2">'Нийгэмшихүй, сэтгэл хөдлөл'!$3:$6</definedName>
    <definedName name="_xlnm.Print_Area" localSheetId="2">'Нийгэмшихүй, сэтгэл хөдлөл'!$A$1:$M$59</definedName>
    <definedName name="_xlnm.Print_Titles" localSheetId="3">'Танин мэдэхүй'!$3:$6</definedName>
    <definedName name="_xlnm.Print_Area" localSheetId="3">'Танин мэдэхүй'!$A$1:$Z$59</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sz val="12"/>
    </font>
    <font>
      <name val="Arial"/>
      <sz val="11"/>
    </font>
    <font>
      <name val="Arial"/>
      <b val="1"/>
      <sz val="10"/>
    </font>
    <font>
      <name val="Arial"/>
      <b val="1"/>
      <sz val="9"/>
    </font>
    <font>
      <name val="Arial"/>
      <sz val="8"/>
    </font>
    <font>
      <name val="Arial"/>
      <b val="1"/>
      <sz val="8"/>
    </font>
    <font>
      <name val="Arial"/>
      <sz val="10"/>
    </font>
    <font>
      <name val="Arial"/>
      <sz val="9"/>
    </font>
    <font>
      <name val="Arial"/>
      <i val="1"/>
      <sz val="8"/>
    </font>
  </fonts>
  <fills count="6">
    <fill>
      <patternFill/>
    </fill>
    <fill>
      <patternFill patternType="gray125"/>
    </fill>
    <fill>
      <patternFill patternType="solid">
        <fgColor rgb="00DDEBF7"/>
      </patternFill>
    </fill>
    <fill>
      <patternFill patternType="solid">
        <fgColor rgb="00E2EFDA"/>
      </patternFill>
    </fill>
    <fill>
      <patternFill patternType="solid">
        <fgColor rgb="00F2F2F2"/>
      </patternFill>
    </fill>
    <fill>
      <patternFill patternType="solid">
        <fgColor rgb="00FFFDE7"/>
      </patternFill>
    </fill>
  </fills>
  <borders count="6">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24">
    <xf numFmtId="0" fontId="0" fillId="0" borderId="0" pivotButton="0" quotePrefix="0" xfId="0"/>
    <xf numFmtId="0" fontId="1" fillId="0" borderId="0" applyAlignment="1" pivotButton="0" quotePrefix="0" xfId="0">
      <alignment horizontal="center" vertical="center" wrapText="1"/>
    </xf>
    <xf numFmtId="0" fontId="7" fillId="0" borderId="0"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1" pivotButton="0" quotePrefix="0" xfId="0"/>
    <xf numFmtId="0" fontId="3" fillId="3" borderId="1" applyAlignment="1" pivotButton="0" quotePrefix="0" xfId="0">
      <alignment horizontal="center" vertical="center" wrapText="1"/>
    </xf>
    <xf numFmtId="0" fontId="4" fillId="2" borderId="1" applyAlignment="1" pivotButton="0" quotePrefix="0" xfId="0">
      <alignment horizontal="center" vertical="center" wrapText="1"/>
    </xf>
    <xf numFmtId="0" fontId="0" fillId="2" borderId="1" pivotButton="0" quotePrefix="0" xfId="0"/>
    <xf numFmtId="0" fontId="8" fillId="0" borderId="1" applyAlignment="1" pivotButton="0" quotePrefix="0" xfId="0">
      <alignment horizontal="left" vertical="center" wrapText="1"/>
    </xf>
    <xf numFmtId="0" fontId="3" fillId="5" borderId="1" applyAlignment="1" pivotButton="0" quotePrefix="0" xfId="0">
      <alignment horizontal="center" vertical="center" wrapText="1"/>
    </xf>
    <xf numFmtId="0" fontId="6" fillId="2" borderId="1" applyAlignment="1" pivotButton="0" quotePrefix="0" xfId="0">
      <alignment horizontal="center" vertical="center" wrapText="1"/>
    </xf>
    <xf numFmtId="0" fontId="9" fillId="0" borderId="0" applyAlignment="1" pivotButton="0" quotePrefix="0" xfId="0">
      <alignment horizontal="left" vertical="center" wrapText="1"/>
    </xf>
    <xf numFmtId="0" fontId="7" fillId="0" borderId="1" applyAlignment="1" pivotButton="0" quotePrefix="0" xfId="0">
      <alignment horizontal="center" vertical="center" wrapText="1"/>
    </xf>
    <xf numFmtId="0" fontId="7" fillId="5" borderId="1" applyAlignment="1" pivotButton="0" quotePrefix="0" xfId="0">
      <alignment horizontal="center" vertical="center" wrapText="1"/>
    </xf>
    <xf numFmtId="0" fontId="8" fillId="0" borderId="1" applyAlignment="1" pivotButton="0" quotePrefix="0" xfId="0">
      <alignment horizontal="center" vertical="center" wrapText="1"/>
    </xf>
    <xf numFmtId="0" fontId="0" fillId="3" borderId="1" pivotButton="0" quotePrefix="0" xfId="0"/>
    <xf numFmtId="0" fontId="7" fillId="3"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0" borderId="0" applyAlignment="1" pivotButton="0" quotePrefix="0" xfId="0">
      <alignment horizontal="left" vertical="center" wrapText="1"/>
    </xf>
    <xf numFmtId="0" fontId="5" fillId="4" borderId="1" applyAlignment="1" pivotButton="0" quotePrefix="0" xfId="0">
      <alignment horizontal="left" vertical="center" wrapText="1"/>
    </xf>
    <xf numFmtId="0" fontId="5" fillId="0" borderId="1" applyAlignment="1" pivotButton="0" quotePrefix="0" xfId="0">
      <alignment horizontal="center" vertical="center" wrapText="1"/>
    </xf>
    <xf numFmtId="0" fontId="6" fillId="3"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dxfs count="1">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59"/>
  <sheetViews>
    <sheetView workbookViewId="0">
      <selection activeCell="A1" sqref="A1"/>
    </sheetView>
  </sheetViews>
  <sheetFormatPr baseColWidth="8" defaultRowHeight="15"/>
  <cols>
    <col width="5" customWidth="1" min="1" max="1"/>
    <col width="14" customWidth="1" min="2" max="2"/>
    <col width="16" customWidth="1" min="3" max="3"/>
    <col width="16" customWidth="1" min="4" max="4"/>
    <col width="16" customWidth="1" min="5" max="5"/>
    <col width="14" customWidth="1" min="6" max="6"/>
    <col width="12" customWidth="1" min="7" max="7"/>
    <col width="30" customWidth="1" min="8" max="8"/>
    <col width="2" customWidth="1" min="9" max="9"/>
    <col width="26" customWidth="1" min="10" max="10"/>
    <col width="8" customWidth="1" min="11" max="11"/>
  </cols>
  <sheetData>
    <row r="1">
      <c r="A1" s="1" t="inlineStr">
        <is>
          <t>................ ЦЭЦЭРЛЭГИЙН БАГА БҮЛГИЙН (2 НАС) ГАРААНЫ (ОНОШЛОХ) ҮНЭЛГЭЭНИЙ НЭГТГЭЛ</t>
        </is>
      </c>
    </row>
    <row r="2" ht="28" customHeight="1">
      <c r="A2" s="2" t="inlineStr">
        <is>
          <t>Огноо: 20.... оны .... сар     Багш: ....................     Хүүхдийн кодыг B баганад бичнэ.     (хөтөлбөрийн 25–36 сарын үзүүлэлт)</t>
        </is>
      </c>
    </row>
    <row r="3">
      <c r="A3" s="3" t="inlineStr">
        <is>
          <t>№</t>
        </is>
      </c>
      <c r="B3" s="3" t="inlineStr">
        <is>
          <t>Хүүхдийн код</t>
        </is>
      </c>
      <c r="C3" s="3" t="inlineStr">
        <is>
          <t>«Чадна» хувь (%)</t>
        </is>
      </c>
      <c r="D3" s="4" t="n"/>
      <c r="E3" s="4" t="n"/>
      <c r="F3" s="5" t="inlineStr">
        <is>
          <t>Нийт чадна (31-аас)</t>
        </is>
      </c>
      <c r="G3" s="5" t="inlineStr">
        <is>
          <t>Нийт хувь</t>
        </is>
      </c>
      <c r="H3" s="5" t="inlineStr">
        <is>
          <t>Түвшин</t>
        </is>
      </c>
      <c r="J3" s="6" t="inlineStr">
        <is>
          <t>Түвшний босго (%) — өөрчилж болно</t>
        </is>
      </c>
      <c r="K3" s="7" t="n"/>
    </row>
    <row r="4">
      <c r="A4" s="4" t="n"/>
      <c r="B4" s="4" t="n"/>
      <c r="C4" s="6" t="inlineStr">
        <is>
          <t>Хөгжлийн чиглэл</t>
        </is>
      </c>
      <c r="D4" s="4" t="n"/>
      <c r="E4" s="4" t="n"/>
      <c r="F4" s="4" t="n"/>
      <c r="G4" s="4" t="n"/>
      <c r="H4" s="4" t="n"/>
      <c r="J4" s="8" t="inlineStr">
        <is>
          <t>Хангалттай эзэмшиж байна ≥</t>
        </is>
      </c>
      <c r="K4" s="9" t="n">
        <v>80</v>
      </c>
    </row>
    <row r="5" ht="40" customHeight="1">
      <c r="A5" s="4" t="n"/>
      <c r="B5" s="4" t="n"/>
      <c r="C5" s="6" t="inlineStr">
        <is>
          <t>Бие бялдар</t>
        </is>
      </c>
      <c r="D5" s="6" t="inlineStr">
        <is>
          <t>Нийгэмшихүй, сэтгэл хөдлөл</t>
        </is>
      </c>
      <c r="E5" s="6" t="inlineStr">
        <is>
          <t>Танин мэдэхүй</t>
        </is>
      </c>
      <c r="F5" s="4" t="n"/>
      <c r="G5" s="4" t="n"/>
      <c r="H5" s="4" t="n"/>
      <c r="J5" s="8" t="inlineStr">
        <is>
          <t>Ахиж байна ≥</t>
        </is>
      </c>
      <c r="K5" s="9" t="n">
        <v>50</v>
      </c>
    </row>
    <row r="6">
      <c r="A6" s="4" t="n"/>
      <c r="B6" s="4" t="n"/>
      <c r="C6" s="10" t="n">
        <v>8</v>
      </c>
      <c r="D6" s="10" t="n">
        <v>5</v>
      </c>
      <c r="E6" s="10" t="n">
        <v>18</v>
      </c>
      <c r="F6" s="4" t="n"/>
      <c r="G6" s="4" t="n"/>
      <c r="H6" s="4" t="n"/>
      <c r="J6" s="11" t="inlineStr">
        <is>
          <t>Бусад нь «Хөгжиж байна» (А/79, 2.10)</t>
        </is>
      </c>
    </row>
    <row r="7" ht="16" customHeight="1">
      <c r="A7" s="12" t="n">
        <v>1</v>
      </c>
      <c r="B7" s="13" t="inlineStr">
        <is>
          <t>Х-01</t>
        </is>
      </c>
      <c r="C7" s="12">
        <f>IF(COUNT('Бие бялдар'!D7:K7)=0,"",ROUND(COUNTIF('Бие бялдар'!D7:K7,1)/8*100,1))</f>
        <v/>
      </c>
      <c r="D7" s="12">
        <f>IF(COUNT('Нийгэмшихүй, сэтгэл хөдлөл'!D7:H7)=0,"",ROUND(COUNTIF('Нийгэмшихүй, сэтгэл хөдлөл'!D7:H7,1)/5*100,1))</f>
        <v/>
      </c>
      <c r="E7" s="12">
        <f>IF(COUNT('Танин мэдэхүй'!D7:U7)=0,"",ROUND(COUNTIF('Танин мэдэхүй'!D7:U7,1)/18*100,1))</f>
        <v/>
      </c>
      <c r="F7" s="12">
        <f>COUNTIF('Бие бялдар'!D7:K7,1)+COUNTIF('Нийгэмшихүй, сэтгэл хөдлөл'!D7:H7,1)+COUNTIF('Танин мэдэхүй'!D7:U7,1)</f>
        <v/>
      </c>
      <c r="G7" s="12">
        <f>IF((COUNT('Бие бялдар'!D7:K7)+COUNT('Нийгэмшихүй, сэтгэл хөдлөл'!D7:H7)+COUNT('Танин мэдэхүй'!D7:U7))=0,"",ROUND(F7/31*100,1))</f>
        <v/>
      </c>
      <c r="H7" s="14">
        <f>IF(G7="","",IF(G7&gt;=Нэгтгэл!$K$4,"Хангалттай эзэмшиж байна",IF(G7&gt;=Нэгтгэл!$K$5,"Ахиж байна","Хөгжиж байна")))</f>
        <v/>
      </c>
    </row>
    <row r="8" ht="16" customHeight="1">
      <c r="A8" s="12" t="n">
        <v>2</v>
      </c>
      <c r="B8" s="13" t="inlineStr">
        <is>
          <t>Х-02</t>
        </is>
      </c>
      <c r="C8" s="12">
        <f>IF(COUNT('Бие бялдар'!D8:K8)=0,"",ROUND(COUNTIF('Бие бялдар'!D8:K8,1)/8*100,1))</f>
        <v/>
      </c>
      <c r="D8" s="12">
        <f>IF(COUNT('Нийгэмшихүй, сэтгэл хөдлөл'!D8:H8)=0,"",ROUND(COUNTIF('Нийгэмшихүй, сэтгэл хөдлөл'!D8:H8,1)/5*100,1))</f>
        <v/>
      </c>
      <c r="E8" s="12">
        <f>IF(COUNT('Танин мэдэхүй'!D8:U8)=0,"",ROUND(COUNTIF('Танин мэдэхүй'!D8:U8,1)/18*100,1))</f>
        <v/>
      </c>
      <c r="F8" s="12">
        <f>COUNTIF('Бие бялдар'!D8:K8,1)+COUNTIF('Нийгэмшихүй, сэтгэл хөдлөл'!D8:H8,1)+COUNTIF('Танин мэдэхүй'!D8:U8,1)</f>
        <v/>
      </c>
      <c r="G8" s="12">
        <f>IF((COUNT('Бие бялдар'!D8:K8)+COUNT('Нийгэмшихүй, сэтгэл хөдлөл'!D8:H8)+COUNT('Танин мэдэхүй'!D8:U8))=0,"",ROUND(F8/31*100,1))</f>
        <v/>
      </c>
      <c r="H8" s="14">
        <f>IF(G8="","",IF(G8&gt;=Нэгтгэл!$K$4,"Хангалттай эзэмшиж байна",IF(G8&gt;=Нэгтгэл!$K$5,"Ахиж байна","Хөгжиж байна")))</f>
        <v/>
      </c>
    </row>
    <row r="9" ht="16" customHeight="1">
      <c r="A9" s="12" t="n">
        <v>3</v>
      </c>
      <c r="B9" s="13" t="inlineStr">
        <is>
          <t>Х-03</t>
        </is>
      </c>
      <c r="C9" s="12">
        <f>IF(COUNT('Бие бялдар'!D9:K9)=0,"",ROUND(COUNTIF('Бие бялдар'!D9:K9,1)/8*100,1))</f>
        <v/>
      </c>
      <c r="D9" s="12">
        <f>IF(COUNT('Нийгэмшихүй, сэтгэл хөдлөл'!D9:H9)=0,"",ROUND(COUNTIF('Нийгэмшихүй, сэтгэл хөдлөл'!D9:H9,1)/5*100,1))</f>
        <v/>
      </c>
      <c r="E9" s="12">
        <f>IF(COUNT('Танин мэдэхүй'!D9:U9)=0,"",ROUND(COUNTIF('Танин мэдэхүй'!D9:U9,1)/18*100,1))</f>
        <v/>
      </c>
      <c r="F9" s="12">
        <f>COUNTIF('Бие бялдар'!D9:K9,1)+COUNTIF('Нийгэмшихүй, сэтгэл хөдлөл'!D9:H9,1)+COUNTIF('Танин мэдэхүй'!D9:U9,1)</f>
        <v/>
      </c>
      <c r="G9" s="12">
        <f>IF((COUNT('Бие бялдар'!D9:K9)+COUNT('Нийгэмшихүй, сэтгэл хөдлөл'!D9:H9)+COUNT('Танин мэдэхүй'!D9:U9))=0,"",ROUND(F9/31*100,1))</f>
        <v/>
      </c>
      <c r="H9" s="14">
        <f>IF(G9="","",IF(G9&gt;=Нэгтгэл!$K$4,"Хангалттай эзэмшиж байна",IF(G9&gt;=Нэгтгэл!$K$5,"Ахиж байна","Хөгжиж байна")))</f>
        <v/>
      </c>
    </row>
    <row r="10" ht="16" customHeight="1">
      <c r="A10" s="12" t="n">
        <v>4</v>
      </c>
      <c r="B10" s="13" t="inlineStr">
        <is>
          <t>Х-04</t>
        </is>
      </c>
      <c r="C10" s="12">
        <f>IF(COUNT('Бие бялдар'!D10:K10)=0,"",ROUND(COUNTIF('Бие бялдар'!D10:K10,1)/8*100,1))</f>
        <v/>
      </c>
      <c r="D10" s="12">
        <f>IF(COUNT('Нийгэмшихүй, сэтгэл хөдлөл'!D10:H10)=0,"",ROUND(COUNTIF('Нийгэмшихүй, сэтгэл хөдлөл'!D10:H10,1)/5*100,1))</f>
        <v/>
      </c>
      <c r="E10" s="12">
        <f>IF(COUNT('Танин мэдэхүй'!D10:U10)=0,"",ROUND(COUNTIF('Танин мэдэхүй'!D10:U10,1)/18*100,1))</f>
        <v/>
      </c>
      <c r="F10" s="12">
        <f>COUNTIF('Бие бялдар'!D10:K10,1)+COUNTIF('Нийгэмшихүй, сэтгэл хөдлөл'!D10:H10,1)+COUNTIF('Танин мэдэхүй'!D10:U10,1)</f>
        <v/>
      </c>
      <c r="G10" s="12">
        <f>IF((COUNT('Бие бялдар'!D10:K10)+COUNT('Нийгэмшихүй, сэтгэл хөдлөл'!D10:H10)+COUNT('Танин мэдэхүй'!D10:U10))=0,"",ROUND(F10/31*100,1))</f>
        <v/>
      </c>
      <c r="H10" s="14">
        <f>IF(G10="","",IF(G10&gt;=Нэгтгэл!$K$4,"Хангалттай эзэмшиж байна",IF(G10&gt;=Нэгтгэл!$K$5,"Ахиж байна","Хөгжиж байна")))</f>
        <v/>
      </c>
    </row>
    <row r="11" ht="16" customHeight="1">
      <c r="A11" s="12" t="n">
        <v>5</v>
      </c>
      <c r="B11" s="13" t="inlineStr">
        <is>
          <t>Х-05</t>
        </is>
      </c>
      <c r="C11" s="12">
        <f>IF(COUNT('Бие бялдар'!D11:K11)=0,"",ROUND(COUNTIF('Бие бялдар'!D11:K11,1)/8*100,1))</f>
        <v/>
      </c>
      <c r="D11" s="12">
        <f>IF(COUNT('Нийгэмшихүй, сэтгэл хөдлөл'!D11:H11)=0,"",ROUND(COUNTIF('Нийгэмшихүй, сэтгэл хөдлөл'!D11:H11,1)/5*100,1))</f>
        <v/>
      </c>
      <c r="E11" s="12">
        <f>IF(COUNT('Танин мэдэхүй'!D11:U11)=0,"",ROUND(COUNTIF('Танин мэдэхүй'!D11:U11,1)/18*100,1))</f>
        <v/>
      </c>
      <c r="F11" s="12">
        <f>COUNTIF('Бие бялдар'!D11:K11,1)+COUNTIF('Нийгэмшихүй, сэтгэл хөдлөл'!D11:H11,1)+COUNTIF('Танин мэдэхүй'!D11:U11,1)</f>
        <v/>
      </c>
      <c r="G11" s="12">
        <f>IF((COUNT('Бие бялдар'!D11:K11)+COUNT('Нийгэмшихүй, сэтгэл хөдлөл'!D11:H11)+COUNT('Танин мэдэхүй'!D11:U11))=0,"",ROUND(F11/31*100,1))</f>
        <v/>
      </c>
      <c r="H11" s="14">
        <f>IF(G11="","",IF(G11&gt;=Нэгтгэл!$K$4,"Хангалттай эзэмшиж байна",IF(G11&gt;=Нэгтгэл!$K$5,"Ахиж байна","Хөгжиж байна")))</f>
        <v/>
      </c>
    </row>
    <row r="12" ht="16" customHeight="1">
      <c r="A12" s="12" t="n">
        <v>6</v>
      </c>
      <c r="B12" s="13" t="inlineStr">
        <is>
          <t>Х-06</t>
        </is>
      </c>
      <c r="C12" s="12">
        <f>IF(COUNT('Бие бялдар'!D12:K12)=0,"",ROUND(COUNTIF('Бие бялдар'!D12:K12,1)/8*100,1))</f>
        <v/>
      </c>
      <c r="D12" s="12">
        <f>IF(COUNT('Нийгэмшихүй, сэтгэл хөдлөл'!D12:H12)=0,"",ROUND(COUNTIF('Нийгэмшихүй, сэтгэл хөдлөл'!D12:H12,1)/5*100,1))</f>
        <v/>
      </c>
      <c r="E12" s="12">
        <f>IF(COUNT('Танин мэдэхүй'!D12:U12)=0,"",ROUND(COUNTIF('Танин мэдэхүй'!D12:U12,1)/18*100,1))</f>
        <v/>
      </c>
      <c r="F12" s="12">
        <f>COUNTIF('Бие бялдар'!D12:K12,1)+COUNTIF('Нийгэмшихүй, сэтгэл хөдлөл'!D12:H12,1)+COUNTIF('Танин мэдэхүй'!D12:U12,1)</f>
        <v/>
      </c>
      <c r="G12" s="12">
        <f>IF((COUNT('Бие бялдар'!D12:K12)+COUNT('Нийгэмшихүй, сэтгэл хөдлөл'!D12:H12)+COUNT('Танин мэдэхүй'!D12:U12))=0,"",ROUND(F12/31*100,1))</f>
        <v/>
      </c>
      <c r="H12" s="14">
        <f>IF(G12="","",IF(G12&gt;=Нэгтгэл!$K$4,"Хангалттай эзэмшиж байна",IF(G12&gt;=Нэгтгэл!$K$5,"Ахиж байна","Хөгжиж байна")))</f>
        <v/>
      </c>
    </row>
    <row r="13" ht="16" customHeight="1">
      <c r="A13" s="12" t="n">
        <v>7</v>
      </c>
      <c r="B13" s="13" t="inlineStr">
        <is>
          <t>Х-07</t>
        </is>
      </c>
      <c r="C13" s="12">
        <f>IF(COUNT('Бие бялдар'!D13:K13)=0,"",ROUND(COUNTIF('Бие бялдар'!D13:K13,1)/8*100,1))</f>
        <v/>
      </c>
      <c r="D13" s="12">
        <f>IF(COUNT('Нийгэмшихүй, сэтгэл хөдлөл'!D13:H13)=0,"",ROUND(COUNTIF('Нийгэмшихүй, сэтгэл хөдлөл'!D13:H13,1)/5*100,1))</f>
        <v/>
      </c>
      <c r="E13" s="12">
        <f>IF(COUNT('Танин мэдэхүй'!D13:U13)=0,"",ROUND(COUNTIF('Танин мэдэхүй'!D13:U13,1)/18*100,1))</f>
        <v/>
      </c>
      <c r="F13" s="12">
        <f>COUNTIF('Бие бялдар'!D13:K13,1)+COUNTIF('Нийгэмшихүй, сэтгэл хөдлөл'!D13:H13,1)+COUNTIF('Танин мэдэхүй'!D13:U13,1)</f>
        <v/>
      </c>
      <c r="G13" s="12">
        <f>IF((COUNT('Бие бялдар'!D13:K13)+COUNT('Нийгэмшихүй, сэтгэл хөдлөл'!D13:H13)+COUNT('Танин мэдэхүй'!D13:U13))=0,"",ROUND(F13/31*100,1))</f>
        <v/>
      </c>
      <c r="H13" s="14">
        <f>IF(G13="","",IF(G13&gt;=Нэгтгэл!$K$4,"Хангалттай эзэмшиж байна",IF(G13&gt;=Нэгтгэл!$K$5,"Ахиж байна","Хөгжиж байна")))</f>
        <v/>
      </c>
    </row>
    <row r="14" ht="16" customHeight="1">
      <c r="A14" s="12" t="n">
        <v>8</v>
      </c>
      <c r="B14" s="13" t="inlineStr">
        <is>
          <t>Х-08</t>
        </is>
      </c>
      <c r="C14" s="12">
        <f>IF(COUNT('Бие бялдар'!D14:K14)=0,"",ROUND(COUNTIF('Бие бялдар'!D14:K14,1)/8*100,1))</f>
        <v/>
      </c>
      <c r="D14" s="12">
        <f>IF(COUNT('Нийгэмшихүй, сэтгэл хөдлөл'!D14:H14)=0,"",ROUND(COUNTIF('Нийгэмшихүй, сэтгэл хөдлөл'!D14:H14,1)/5*100,1))</f>
        <v/>
      </c>
      <c r="E14" s="12">
        <f>IF(COUNT('Танин мэдэхүй'!D14:U14)=0,"",ROUND(COUNTIF('Танин мэдэхүй'!D14:U14,1)/18*100,1))</f>
        <v/>
      </c>
      <c r="F14" s="12">
        <f>COUNTIF('Бие бялдар'!D14:K14,1)+COUNTIF('Нийгэмшихүй, сэтгэл хөдлөл'!D14:H14,1)+COUNTIF('Танин мэдэхүй'!D14:U14,1)</f>
        <v/>
      </c>
      <c r="G14" s="12">
        <f>IF((COUNT('Бие бялдар'!D14:K14)+COUNT('Нийгэмшихүй, сэтгэл хөдлөл'!D14:H14)+COUNT('Танин мэдэхүй'!D14:U14))=0,"",ROUND(F14/31*100,1))</f>
        <v/>
      </c>
      <c r="H14" s="14">
        <f>IF(G14="","",IF(G14&gt;=Нэгтгэл!$K$4,"Хангалттай эзэмшиж байна",IF(G14&gt;=Нэгтгэл!$K$5,"Ахиж байна","Хөгжиж байна")))</f>
        <v/>
      </c>
    </row>
    <row r="15" ht="16" customHeight="1">
      <c r="A15" s="12" t="n">
        <v>9</v>
      </c>
      <c r="B15" s="13" t="inlineStr">
        <is>
          <t>Х-09</t>
        </is>
      </c>
      <c r="C15" s="12">
        <f>IF(COUNT('Бие бялдар'!D15:K15)=0,"",ROUND(COUNTIF('Бие бялдар'!D15:K15,1)/8*100,1))</f>
        <v/>
      </c>
      <c r="D15" s="12">
        <f>IF(COUNT('Нийгэмшихүй, сэтгэл хөдлөл'!D15:H15)=0,"",ROUND(COUNTIF('Нийгэмшихүй, сэтгэл хөдлөл'!D15:H15,1)/5*100,1))</f>
        <v/>
      </c>
      <c r="E15" s="12">
        <f>IF(COUNT('Танин мэдэхүй'!D15:U15)=0,"",ROUND(COUNTIF('Танин мэдэхүй'!D15:U15,1)/18*100,1))</f>
        <v/>
      </c>
      <c r="F15" s="12">
        <f>COUNTIF('Бие бялдар'!D15:K15,1)+COUNTIF('Нийгэмшихүй, сэтгэл хөдлөл'!D15:H15,1)+COUNTIF('Танин мэдэхүй'!D15:U15,1)</f>
        <v/>
      </c>
      <c r="G15" s="12">
        <f>IF((COUNT('Бие бялдар'!D15:K15)+COUNT('Нийгэмшихүй, сэтгэл хөдлөл'!D15:H15)+COUNT('Танин мэдэхүй'!D15:U15))=0,"",ROUND(F15/31*100,1))</f>
        <v/>
      </c>
      <c r="H15" s="14">
        <f>IF(G15="","",IF(G15&gt;=Нэгтгэл!$K$4,"Хангалттай эзэмшиж байна",IF(G15&gt;=Нэгтгэл!$K$5,"Ахиж байна","Хөгжиж байна")))</f>
        <v/>
      </c>
    </row>
    <row r="16" ht="16" customHeight="1">
      <c r="A16" s="12" t="n">
        <v>10</v>
      </c>
      <c r="B16" s="13" t="inlineStr">
        <is>
          <t>Х-10</t>
        </is>
      </c>
      <c r="C16" s="12">
        <f>IF(COUNT('Бие бялдар'!D16:K16)=0,"",ROUND(COUNTIF('Бие бялдар'!D16:K16,1)/8*100,1))</f>
        <v/>
      </c>
      <c r="D16" s="12">
        <f>IF(COUNT('Нийгэмшихүй, сэтгэл хөдлөл'!D16:H16)=0,"",ROUND(COUNTIF('Нийгэмшихүй, сэтгэл хөдлөл'!D16:H16,1)/5*100,1))</f>
        <v/>
      </c>
      <c r="E16" s="12">
        <f>IF(COUNT('Танин мэдэхүй'!D16:U16)=0,"",ROUND(COUNTIF('Танин мэдэхүй'!D16:U16,1)/18*100,1))</f>
        <v/>
      </c>
      <c r="F16" s="12">
        <f>COUNTIF('Бие бялдар'!D16:K16,1)+COUNTIF('Нийгэмшихүй, сэтгэл хөдлөл'!D16:H16,1)+COUNTIF('Танин мэдэхүй'!D16:U16,1)</f>
        <v/>
      </c>
      <c r="G16" s="12">
        <f>IF((COUNT('Бие бялдар'!D16:K16)+COUNT('Нийгэмшихүй, сэтгэл хөдлөл'!D16:H16)+COUNT('Танин мэдэхүй'!D16:U16))=0,"",ROUND(F16/31*100,1))</f>
        <v/>
      </c>
      <c r="H16" s="14">
        <f>IF(G16="","",IF(G16&gt;=Нэгтгэл!$K$4,"Хангалттай эзэмшиж байна",IF(G16&gt;=Нэгтгэл!$K$5,"Ахиж байна","Хөгжиж байна")))</f>
        <v/>
      </c>
    </row>
    <row r="17" ht="16" customHeight="1">
      <c r="A17" s="12" t="n">
        <v>11</v>
      </c>
      <c r="B17" s="13" t="inlineStr">
        <is>
          <t>Х-11</t>
        </is>
      </c>
      <c r="C17" s="12">
        <f>IF(COUNT('Бие бялдар'!D17:K17)=0,"",ROUND(COUNTIF('Бие бялдар'!D17:K17,1)/8*100,1))</f>
        <v/>
      </c>
      <c r="D17" s="12">
        <f>IF(COUNT('Нийгэмшихүй, сэтгэл хөдлөл'!D17:H17)=0,"",ROUND(COUNTIF('Нийгэмшихүй, сэтгэл хөдлөл'!D17:H17,1)/5*100,1))</f>
        <v/>
      </c>
      <c r="E17" s="12">
        <f>IF(COUNT('Танин мэдэхүй'!D17:U17)=0,"",ROUND(COUNTIF('Танин мэдэхүй'!D17:U17,1)/18*100,1))</f>
        <v/>
      </c>
      <c r="F17" s="12">
        <f>COUNTIF('Бие бялдар'!D17:K17,1)+COUNTIF('Нийгэмшихүй, сэтгэл хөдлөл'!D17:H17,1)+COUNTIF('Танин мэдэхүй'!D17:U17,1)</f>
        <v/>
      </c>
      <c r="G17" s="12">
        <f>IF((COUNT('Бие бялдар'!D17:K17)+COUNT('Нийгэмшихүй, сэтгэл хөдлөл'!D17:H17)+COUNT('Танин мэдэхүй'!D17:U17))=0,"",ROUND(F17/31*100,1))</f>
        <v/>
      </c>
      <c r="H17" s="14">
        <f>IF(G17="","",IF(G17&gt;=Нэгтгэл!$K$4,"Хангалттай эзэмшиж байна",IF(G17&gt;=Нэгтгэл!$K$5,"Ахиж байна","Хөгжиж байна")))</f>
        <v/>
      </c>
    </row>
    <row r="18" ht="16" customHeight="1">
      <c r="A18" s="12" t="n">
        <v>12</v>
      </c>
      <c r="B18" s="13" t="inlineStr">
        <is>
          <t>Х-12</t>
        </is>
      </c>
      <c r="C18" s="12">
        <f>IF(COUNT('Бие бялдар'!D18:K18)=0,"",ROUND(COUNTIF('Бие бялдар'!D18:K18,1)/8*100,1))</f>
        <v/>
      </c>
      <c r="D18" s="12">
        <f>IF(COUNT('Нийгэмшихүй, сэтгэл хөдлөл'!D18:H18)=0,"",ROUND(COUNTIF('Нийгэмшихүй, сэтгэл хөдлөл'!D18:H18,1)/5*100,1))</f>
        <v/>
      </c>
      <c r="E18" s="12">
        <f>IF(COUNT('Танин мэдэхүй'!D18:U18)=0,"",ROUND(COUNTIF('Танин мэдэхүй'!D18:U18,1)/18*100,1))</f>
        <v/>
      </c>
      <c r="F18" s="12">
        <f>COUNTIF('Бие бялдар'!D18:K18,1)+COUNTIF('Нийгэмшихүй, сэтгэл хөдлөл'!D18:H18,1)+COUNTIF('Танин мэдэхүй'!D18:U18,1)</f>
        <v/>
      </c>
      <c r="G18" s="12">
        <f>IF((COUNT('Бие бялдар'!D18:K18)+COUNT('Нийгэмшихүй, сэтгэл хөдлөл'!D18:H18)+COUNT('Танин мэдэхүй'!D18:U18))=0,"",ROUND(F18/31*100,1))</f>
        <v/>
      </c>
      <c r="H18" s="14">
        <f>IF(G18="","",IF(G18&gt;=Нэгтгэл!$K$4,"Хангалттай эзэмшиж байна",IF(G18&gt;=Нэгтгэл!$K$5,"Ахиж байна","Хөгжиж байна")))</f>
        <v/>
      </c>
    </row>
    <row r="19" ht="16" customHeight="1">
      <c r="A19" s="12" t="n">
        <v>13</v>
      </c>
      <c r="B19" s="13" t="inlineStr">
        <is>
          <t>Х-13</t>
        </is>
      </c>
      <c r="C19" s="12">
        <f>IF(COUNT('Бие бялдар'!D19:K19)=0,"",ROUND(COUNTIF('Бие бялдар'!D19:K19,1)/8*100,1))</f>
        <v/>
      </c>
      <c r="D19" s="12">
        <f>IF(COUNT('Нийгэмшихүй, сэтгэл хөдлөл'!D19:H19)=0,"",ROUND(COUNTIF('Нийгэмшихүй, сэтгэл хөдлөл'!D19:H19,1)/5*100,1))</f>
        <v/>
      </c>
      <c r="E19" s="12">
        <f>IF(COUNT('Танин мэдэхүй'!D19:U19)=0,"",ROUND(COUNTIF('Танин мэдэхүй'!D19:U19,1)/18*100,1))</f>
        <v/>
      </c>
      <c r="F19" s="12">
        <f>COUNTIF('Бие бялдар'!D19:K19,1)+COUNTIF('Нийгэмшихүй, сэтгэл хөдлөл'!D19:H19,1)+COUNTIF('Танин мэдэхүй'!D19:U19,1)</f>
        <v/>
      </c>
      <c r="G19" s="12">
        <f>IF((COUNT('Бие бялдар'!D19:K19)+COUNT('Нийгэмшихүй, сэтгэл хөдлөл'!D19:H19)+COUNT('Танин мэдэхүй'!D19:U19))=0,"",ROUND(F19/31*100,1))</f>
        <v/>
      </c>
      <c r="H19" s="14">
        <f>IF(G19="","",IF(G19&gt;=Нэгтгэл!$K$4,"Хангалттай эзэмшиж байна",IF(G19&gt;=Нэгтгэл!$K$5,"Ахиж байна","Хөгжиж байна")))</f>
        <v/>
      </c>
    </row>
    <row r="20" ht="16" customHeight="1">
      <c r="A20" s="12" t="n">
        <v>14</v>
      </c>
      <c r="B20" s="13" t="inlineStr">
        <is>
          <t>Х-14</t>
        </is>
      </c>
      <c r="C20" s="12">
        <f>IF(COUNT('Бие бялдар'!D20:K20)=0,"",ROUND(COUNTIF('Бие бялдар'!D20:K20,1)/8*100,1))</f>
        <v/>
      </c>
      <c r="D20" s="12">
        <f>IF(COUNT('Нийгэмшихүй, сэтгэл хөдлөл'!D20:H20)=0,"",ROUND(COUNTIF('Нийгэмшихүй, сэтгэл хөдлөл'!D20:H20,1)/5*100,1))</f>
        <v/>
      </c>
      <c r="E20" s="12">
        <f>IF(COUNT('Танин мэдэхүй'!D20:U20)=0,"",ROUND(COUNTIF('Танин мэдэхүй'!D20:U20,1)/18*100,1))</f>
        <v/>
      </c>
      <c r="F20" s="12">
        <f>COUNTIF('Бие бялдар'!D20:K20,1)+COUNTIF('Нийгэмшихүй, сэтгэл хөдлөл'!D20:H20,1)+COUNTIF('Танин мэдэхүй'!D20:U20,1)</f>
        <v/>
      </c>
      <c r="G20" s="12">
        <f>IF((COUNT('Бие бялдар'!D20:K20)+COUNT('Нийгэмшихүй, сэтгэл хөдлөл'!D20:H20)+COUNT('Танин мэдэхүй'!D20:U20))=0,"",ROUND(F20/31*100,1))</f>
        <v/>
      </c>
      <c r="H20" s="14">
        <f>IF(G20="","",IF(G20&gt;=Нэгтгэл!$K$4,"Хангалттай эзэмшиж байна",IF(G20&gt;=Нэгтгэл!$K$5,"Ахиж байна","Хөгжиж байна")))</f>
        <v/>
      </c>
    </row>
    <row r="21" ht="16" customHeight="1">
      <c r="A21" s="12" t="n">
        <v>15</v>
      </c>
      <c r="B21" s="13" t="inlineStr">
        <is>
          <t>Х-15</t>
        </is>
      </c>
      <c r="C21" s="12">
        <f>IF(COUNT('Бие бялдар'!D21:K21)=0,"",ROUND(COUNTIF('Бие бялдар'!D21:K21,1)/8*100,1))</f>
        <v/>
      </c>
      <c r="D21" s="12">
        <f>IF(COUNT('Нийгэмшихүй, сэтгэл хөдлөл'!D21:H21)=0,"",ROUND(COUNTIF('Нийгэмшихүй, сэтгэл хөдлөл'!D21:H21,1)/5*100,1))</f>
        <v/>
      </c>
      <c r="E21" s="12">
        <f>IF(COUNT('Танин мэдэхүй'!D21:U21)=0,"",ROUND(COUNTIF('Танин мэдэхүй'!D21:U21,1)/18*100,1))</f>
        <v/>
      </c>
      <c r="F21" s="12">
        <f>COUNTIF('Бие бялдар'!D21:K21,1)+COUNTIF('Нийгэмшихүй, сэтгэл хөдлөл'!D21:H21,1)+COUNTIF('Танин мэдэхүй'!D21:U21,1)</f>
        <v/>
      </c>
      <c r="G21" s="12">
        <f>IF((COUNT('Бие бялдар'!D21:K21)+COUNT('Нийгэмшихүй, сэтгэл хөдлөл'!D21:H21)+COUNT('Танин мэдэхүй'!D21:U21))=0,"",ROUND(F21/31*100,1))</f>
        <v/>
      </c>
      <c r="H21" s="14">
        <f>IF(G21="","",IF(G21&gt;=Нэгтгэл!$K$4,"Хангалттай эзэмшиж байна",IF(G21&gt;=Нэгтгэл!$K$5,"Ахиж байна","Хөгжиж байна")))</f>
        <v/>
      </c>
    </row>
    <row r="22" ht="16" customHeight="1">
      <c r="A22" s="12" t="n">
        <v>16</v>
      </c>
      <c r="B22" s="13" t="inlineStr">
        <is>
          <t>Х-16</t>
        </is>
      </c>
      <c r="C22" s="12">
        <f>IF(COUNT('Бие бялдар'!D22:K22)=0,"",ROUND(COUNTIF('Бие бялдар'!D22:K22,1)/8*100,1))</f>
        <v/>
      </c>
      <c r="D22" s="12">
        <f>IF(COUNT('Нийгэмшихүй, сэтгэл хөдлөл'!D22:H22)=0,"",ROUND(COUNTIF('Нийгэмшихүй, сэтгэл хөдлөл'!D22:H22,1)/5*100,1))</f>
        <v/>
      </c>
      <c r="E22" s="12">
        <f>IF(COUNT('Танин мэдэхүй'!D22:U22)=0,"",ROUND(COUNTIF('Танин мэдэхүй'!D22:U22,1)/18*100,1))</f>
        <v/>
      </c>
      <c r="F22" s="12">
        <f>COUNTIF('Бие бялдар'!D22:K22,1)+COUNTIF('Нийгэмшихүй, сэтгэл хөдлөл'!D22:H22,1)+COUNTIF('Танин мэдэхүй'!D22:U22,1)</f>
        <v/>
      </c>
      <c r="G22" s="12">
        <f>IF((COUNT('Бие бялдар'!D22:K22)+COUNT('Нийгэмшихүй, сэтгэл хөдлөл'!D22:H22)+COUNT('Танин мэдэхүй'!D22:U22))=0,"",ROUND(F22/31*100,1))</f>
        <v/>
      </c>
      <c r="H22" s="14">
        <f>IF(G22="","",IF(G22&gt;=Нэгтгэл!$K$4,"Хангалттай эзэмшиж байна",IF(G22&gt;=Нэгтгэл!$K$5,"Ахиж байна","Хөгжиж байна")))</f>
        <v/>
      </c>
    </row>
    <row r="23" ht="16" customHeight="1">
      <c r="A23" s="12" t="n">
        <v>17</v>
      </c>
      <c r="B23" s="13" t="inlineStr">
        <is>
          <t>Х-17</t>
        </is>
      </c>
      <c r="C23" s="12">
        <f>IF(COUNT('Бие бялдар'!D23:K23)=0,"",ROUND(COUNTIF('Бие бялдар'!D23:K23,1)/8*100,1))</f>
        <v/>
      </c>
      <c r="D23" s="12">
        <f>IF(COUNT('Нийгэмшихүй, сэтгэл хөдлөл'!D23:H23)=0,"",ROUND(COUNTIF('Нийгэмшихүй, сэтгэл хөдлөл'!D23:H23,1)/5*100,1))</f>
        <v/>
      </c>
      <c r="E23" s="12">
        <f>IF(COUNT('Танин мэдэхүй'!D23:U23)=0,"",ROUND(COUNTIF('Танин мэдэхүй'!D23:U23,1)/18*100,1))</f>
        <v/>
      </c>
      <c r="F23" s="12">
        <f>COUNTIF('Бие бялдар'!D23:K23,1)+COUNTIF('Нийгэмшихүй, сэтгэл хөдлөл'!D23:H23,1)+COUNTIF('Танин мэдэхүй'!D23:U23,1)</f>
        <v/>
      </c>
      <c r="G23" s="12">
        <f>IF((COUNT('Бие бялдар'!D23:K23)+COUNT('Нийгэмшихүй, сэтгэл хөдлөл'!D23:H23)+COUNT('Танин мэдэхүй'!D23:U23))=0,"",ROUND(F23/31*100,1))</f>
        <v/>
      </c>
      <c r="H23" s="14">
        <f>IF(G23="","",IF(G23&gt;=Нэгтгэл!$K$4,"Хангалттай эзэмшиж байна",IF(G23&gt;=Нэгтгэл!$K$5,"Ахиж байна","Хөгжиж байна")))</f>
        <v/>
      </c>
    </row>
    <row r="24" ht="16" customHeight="1">
      <c r="A24" s="12" t="n">
        <v>18</v>
      </c>
      <c r="B24" s="13" t="inlineStr">
        <is>
          <t>Х-18</t>
        </is>
      </c>
      <c r="C24" s="12">
        <f>IF(COUNT('Бие бялдар'!D24:K24)=0,"",ROUND(COUNTIF('Бие бялдар'!D24:K24,1)/8*100,1))</f>
        <v/>
      </c>
      <c r="D24" s="12">
        <f>IF(COUNT('Нийгэмшихүй, сэтгэл хөдлөл'!D24:H24)=0,"",ROUND(COUNTIF('Нийгэмшихүй, сэтгэл хөдлөл'!D24:H24,1)/5*100,1))</f>
        <v/>
      </c>
      <c r="E24" s="12">
        <f>IF(COUNT('Танин мэдэхүй'!D24:U24)=0,"",ROUND(COUNTIF('Танин мэдэхүй'!D24:U24,1)/18*100,1))</f>
        <v/>
      </c>
      <c r="F24" s="12">
        <f>COUNTIF('Бие бялдар'!D24:K24,1)+COUNTIF('Нийгэмшихүй, сэтгэл хөдлөл'!D24:H24,1)+COUNTIF('Танин мэдэхүй'!D24:U24,1)</f>
        <v/>
      </c>
      <c r="G24" s="12">
        <f>IF((COUNT('Бие бялдар'!D24:K24)+COUNT('Нийгэмшихүй, сэтгэл хөдлөл'!D24:H24)+COUNT('Танин мэдэхүй'!D24:U24))=0,"",ROUND(F24/31*100,1))</f>
        <v/>
      </c>
      <c r="H24" s="14">
        <f>IF(G24="","",IF(G24&gt;=Нэгтгэл!$K$4,"Хангалттай эзэмшиж байна",IF(G24&gt;=Нэгтгэл!$K$5,"Ахиж байна","Хөгжиж байна")))</f>
        <v/>
      </c>
    </row>
    <row r="25" ht="16" customHeight="1">
      <c r="A25" s="12" t="n">
        <v>19</v>
      </c>
      <c r="B25" s="13" t="inlineStr">
        <is>
          <t>Х-19</t>
        </is>
      </c>
      <c r="C25" s="12">
        <f>IF(COUNT('Бие бялдар'!D25:K25)=0,"",ROUND(COUNTIF('Бие бялдар'!D25:K25,1)/8*100,1))</f>
        <v/>
      </c>
      <c r="D25" s="12">
        <f>IF(COUNT('Нийгэмшихүй, сэтгэл хөдлөл'!D25:H25)=0,"",ROUND(COUNTIF('Нийгэмшихүй, сэтгэл хөдлөл'!D25:H25,1)/5*100,1))</f>
        <v/>
      </c>
      <c r="E25" s="12">
        <f>IF(COUNT('Танин мэдэхүй'!D25:U25)=0,"",ROUND(COUNTIF('Танин мэдэхүй'!D25:U25,1)/18*100,1))</f>
        <v/>
      </c>
      <c r="F25" s="12">
        <f>COUNTIF('Бие бялдар'!D25:K25,1)+COUNTIF('Нийгэмшихүй, сэтгэл хөдлөл'!D25:H25,1)+COUNTIF('Танин мэдэхүй'!D25:U25,1)</f>
        <v/>
      </c>
      <c r="G25" s="12">
        <f>IF((COUNT('Бие бялдар'!D25:K25)+COUNT('Нийгэмшихүй, сэтгэл хөдлөл'!D25:H25)+COUNT('Танин мэдэхүй'!D25:U25))=0,"",ROUND(F25/31*100,1))</f>
        <v/>
      </c>
      <c r="H25" s="14">
        <f>IF(G25="","",IF(G25&gt;=Нэгтгэл!$K$4,"Хангалттай эзэмшиж байна",IF(G25&gt;=Нэгтгэл!$K$5,"Ахиж байна","Хөгжиж байна")))</f>
        <v/>
      </c>
    </row>
    <row r="26" ht="16" customHeight="1">
      <c r="A26" s="12" t="n">
        <v>20</v>
      </c>
      <c r="B26" s="13" t="inlineStr">
        <is>
          <t>Х-20</t>
        </is>
      </c>
      <c r="C26" s="12">
        <f>IF(COUNT('Бие бялдар'!D26:K26)=0,"",ROUND(COUNTIF('Бие бялдар'!D26:K26,1)/8*100,1))</f>
        <v/>
      </c>
      <c r="D26" s="12">
        <f>IF(COUNT('Нийгэмшихүй, сэтгэл хөдлөл'!D26:H26)=0,"",ROUND(COUNTIF('Нийгэмшихүй, сэтгэл хөдлөл'!D26:H26,1)/5*100,1))</f>
        <v/>
      </c>
      <c r="E26" s="12">
        <f>IF(COUNT('Танин мэдэхүй'!D26:U26)=0,"",ROUND(COUNTIF('Танин мэдэхүй'!D26:U26,1)/18*100,1))</f>
        <v/>
      </c>
      <c r="F26" s="12">
        <f>COUNTIF('Бие бялдар'!D26:K26,1)+COUNTIF('Нийгэмшихүй, сэтгэл хөдлөл'!D26:H26,1)+COUNTIF('Танин мэдэхүй'!D26:U26,1)</f>
        <v/>
      </c>
      <c r="G26" s="12">
        <f>IF((COUNT('Бие бялдар'!D26:K26)+COUNT('Нийгэмшихүй, сэтгэл хөдлөл'!D26:H26)+COUNT('Танин мэдэхүй'!D26:U26))=0,"",ROUND(F26/31*100,1))</f>
        <v/>
      </c>
      <c r="H26" s="14">
        <f>IF(G26="","",IF(G26&gt;=Нэгтгэл!$K$4,"Хангалттай эзэмшиж байна",IF(G26&gt;=Нэгтгэл!$K$5,"Ахиж байна","Хөгжиж байна")))</f>
        <v/>
      </c>
    </row>
    <row r="27" ht="16" customHeight="1">
      <c r="A27" s="12" t="n">
        <v>21</v>
      </c>
      <c r="B27" s="13" t="inlineStr">
        <is>
          <t>Х-21</t>
        </is>
      </c>
      <c r="C27" s="12">
        <f>IF(COUNT('Бие бялдар'!D27:K27)=0,"",ROUND(COUNTIF('Бие бялдар'!D27:K27,1)/8*100,1))</f>
        <v/>
      </c>
      <c r="D27" s="12">
        <f>IF(COUNT('Нийгэмшихүй, сэтгэл хөдлөл'!D27:H27)=0,"",ROUND(COUNTIF('Нийгэмшихүй, сэтгэл хөдлөл'!D27:H27,1)/5*100,1))</f>
        <v/>
      </c>
      <c r="E27" s="12">
        <f>IF(COUNT('Танин мэдэхүй'!D27:U27)=0,"",ROUND(COUNTIF('Танин мэдэхүй'!D27:U27,1)/18*100,1))</f>
        <v/>
      </c>
      <c r="F27" s="12">
        <f>COUNTIF('Бие бялдар'!D27:K27,1)+COUNTIF('Нийгэмшихүй, сэтгэл хөдлөл'!D27:H27,1)+COUNTIF('Танин мэдэхүй'!D27:U27,1)</f>
        <v/>
      </c>
      <c r="G27" s="12">
        <f>IF((COUNT('Бие бялдар'!D27:K27)+COUNT('Нийгэмшихүй, сэтгэл хөдлөл'!D27:H27)+COUNT('Танин мэдэхүй'!D27:U27))=0,"",ROUND(F27/31*100,1))</f>
        <v/>
      </c>
      <c r="H27" s="14">
        <f>IF(G27="","",IF(G27&gt;=Нэгтгэл!$K$4,"Хангалттай эзэмшиж байна",IF(G27&gt;=Нэгтгэл!$K$5,"Ахиж байна","Хөгжиж байна")))</f>
        <v/>
      </c>
    </row>
    <row r="28" ht="16" customHeight="1">
      <c r="A28" s="12" t="n">
        <v>22</v>
      </c>
      <c r="B28" s="13" t="inlineStr">
        <is>
          <t>Х-22</t>
        </is>
      </c>
      <c r="C28" s="12">
        <f>IF(COUNT('Бие бялдар'!D28:K28)=0,"",ROUND(COUNTIF('Бие бялдар'!D28:K28,1)/8*100,1))</f>
        <v/>
      </c>
      <c r="D28" s="12">
        <f>IF(COUNT('Нийгэмшихүй, сэтгэл хөдлөл'!D28:H28)=0,"",ROUND(COUNTIF('Нийгэмшихүй, сэтгэл хөдлөл'!D28:H28,1)/5*100,1))</f>
        <v/>
      </c>
      <c r="E28" s="12">
        <f>IF(COUNT('Танин мэдэхүй'!D28:U28)=0,"",ROUND(COUNTIF('Танин мэдэхүй'!D28:U28,1)/18*100,1))</f>
        <v/>
      </c>
      <c r="F28" s="12">
        <f>COUNTIF('Бие бялдар'!D28:K28,1)+COUNTIF('Нийгэмшихүй, сэтгэл хөдлөл'!D28:H28,1)+COUNTIF('Танин мэдэхүй'!D28:U28,1)</f>
        <v/>
      </c>
      <c r="G28" s="12">
        <f>IF((COUNT('Бие бялдар'!D28:K28)+COUNT('Нийгэмшихүй, сэтгэл хөдлөл'!D28:H28)+COUNT('Танин мэдэхүй'!D28:U28))=0,"",ROUND(F28/31*100,1))</f>
        <v/>
      </c>
      <c r="H28" s="14">
        <f>IF(G28="","",IF(G28&gt;=Нэгтгэл!$K$4,"Хангалттай эзэмшиж байна",IF(G28&gt;=Нэгтгэл!$K$5,"Ахиж байна","Хөгжиж байна")))</f>
        <v/>
      </c>
    </row>
    <row r="29" ht="16" customHeight="1">
      <c r="A29" s="12" t="n">
        <v>23</v>
      </c>
      <c r="B29" s="13" t="inlineStr">
        <is>
          <t>Х-23</t>
        </is>
      </c>
      <c r="C29" s="12">
        <f>IF(COUNT('Бие бялдар'!D29:K29)=0,"",ROUND(COUNTIF('Бие бялдар'!D29:K29,1)/8*100,1))</f>
        <v/>
      </c>
      <c r="D29" s="12">
        <f>IF(COUNT('Нийгэмшихүй, сэтгэл хөдлөл'!D29:H29)=0,"",ROUND(COUNTIF('Нийгэмшихүй, сэтгэл хөдлөл'!D29:H29,1)/5*100,1))</f>
        <v/>
      </c>
      <c r="E29" s="12">
        <f>IF(COUNT('Танин мэдэхүй'!D29:U29)=0,"",ROUND(COUNTIF('Танин мэдэхүй'!D29:U29,1)/18*100,1))</f>
        <v/>
      </c>
      <c r="F29" s="12">
        <f>COUNTIF('Бие бялдар'!D29:K29,1)+COUNTIF('Нийгэмшихүй, сэтгэл хөдлөл'!D29:H29,1)+COUNTIF('Танин мэдэхүй'!D29:U29,1)</f>
        <v/>
      </c>
      <c r="G29" s="12">
        <f>IF((COUNT('Бие бялдар'!D29:K29)+COUNT('Нийгэмшихүй, сэтгэл хөдлөл'!D29:H29)+COUNT('Танин мэдэхүй'!D29:U29))=0,"",ROUND(F29/31*100,1))</f>
        <v/>
      </c>
      <c r="H29" s="14">
        <f>IF(G29="","",IF(G29&gt;=Нэгтгэл!$K$4,"Хангалттай эзэмшиж байна",IF(G29&gt;=Нэгтгэл!$K$5,"Ахиж байна","Хөгжиж байна")))</f>
        <v/>
      </c>
    </row>
    <row r="30" ht="16" customHeight="1">
      <c r="A30" s="12" t="n">
        <v>24</v>
      </c>
      <c r="B30" s="13" t="inlineStr">
        <is>
          <t>Х-24</t>
        </is>
      </c>
      <c r="C30" s="12">
        <f>IF(COUNT('Бие бялдар'!D30:K30)=0,"",ROUND(COUNTIF('Бие бялдар'!D30:K30,1)/8*100,1))</f>
        <v/>
      </c>
      <c r="D30" s="12">
        <f>IF(COUNT('Нийгэмшихүй, сэтгэл хөдлөл'!D30:H30)=0,"",ROUND(COUNTIF('Нийгэмшихүй, сэтгэл хөдлөл'!D30:H30,1)/5*100,1))</f>
        <v/>
      </c>
      <c r="E30" s="12">
        <f>IF(COUNT('Танин мэдэхүй'!D30:U30)=0,"",ROUND(COUNTIF('Танин мэдэхүй'!D30:U30,1)/18*100,1))</f>
        <v/>
      </c>
      <c r="F30" s="12">
        <f>COUNTIF('Бие бялдар'!D30:K30,1)+COUNTIF('Нийгэмшихүй, сэтгэл хөдлөл'!D30:H30,1)+COUNTIF('Танин мэдэхүй'!D30:U30,1)</f>
        <v/>
      </c>
      <c r="G30" s="12">
        <f>IF((COUNT('Бие бялдар'!D30:K30)+COUNT('Нийгэмшихүй, сэтгэл хөдлөл'!D30:H30)+COUNT('Танин мэдэхүй'!D30:U30))=0,"",ROUND(F30/31*100,1))</f>
        <v/>
      </c>
      <c r="H30" s="14">
        <f>IF(G30="","",IF(G30&gt;=Нэгтгэл!$K$4,"Хангалттай эзэмшиж байна",IF(G30&gt;=Нэгтгэл!$K$5,"Ахиж байна","Хөгжиж байна")))</f>
        <v/>
      </c>
    </row>
    <row r="31" ht="16" customHeight="1">
      <c r="A31" s="12" t="n">
        <v>25</v>
      </c>
      <c r="B31" s="13" t="inlineStr">
        <is>
          <t>Х-25</t>
        </is>
      </c>
      <c r="C31" s="12">
        <f>IF(COUNT('Бие бялдар'!D31:K31)=0,"",ROUND(COUNTIF('Бие бялдар'!D31:K31,1)/8*100,1))</f>
        <v/>
      </c>
      <c r="D31" s="12">
        <f>IF(COUNT('Нийгэмшихүй, сэтгэл хөдлөл'!D31:H31)=0,"",ROUND(COUNTIF('Нийгэмшихүй, сэтгэл хөдлөл'!D31:H31,1)/5*100,1))</f>
        <v/>
      </c>
      <c r="E31" s="12">
        <f>IF(COUNT('Танин мэдэхүй'!D31:U31)=0,"",ROUND(COUNTIF('Танин мэдэхүй'!D31:U31,1)/18*100,1))</f>
        <v/>
      </c>
      <c r="F31" s="12">
        <f>COUNTIF('Бие бялдар'!D31:K31,1)+COUNTIF('Нийгэмшихүй, сэтгэл хөдлөл'!D31:H31,1)+COUNTIF('Танин мэдэхүй'!D31:U31,1)</f>
        <v/>
      </c>
      <c r="G31" s="12">
        <f>IF((COUNT('Бие бялдар'!D31:K31)+COUNT('Нийгэмшихүй, сэтгэл хөдлөл'!D31:H31)+COUNT('Танин мэдэхүй'!D31:U31))=0,"",ROUND(F31/31*100,1))</f>
        <v/>
      </c>
      <c r="H31" s="14">
        <f>IF(G31="","",IF(G31&gt;=Нэгтгэл!$K$4,"Хангалттай эзэмшиж байна",IF(G31&gt;=Нэгтгэл!$K$5,"Ахиж байна","Хөгжиж байна")))</f>
        <v/>
      </c>
    </row>
    <row r="32" ht="16" customHeight="1">
      <c r="A32" s="12" t="n">
        <v>26</v>
      </c>
      <c r="B32" s="13" t="inlineStr">
        <is>
          <t>Х-26</t>
        </is>
      </c>
      <c r="C32" s="12">
        <f>IF(COUNT('Бие бялдар'!D32:K32)=0,"",ROUND(COUNTIF('Бие бялдар'!D32:K32,1)/8*100,1))</f>
        <v/>
      </c>
      <c r="D32" s="12">
        <f>IF(COUNT('Нийгэмшихүй, сэтгэл хөдлөл'!D32:H32)=0,"",ROUND(COUNTIF('Нийгэмшихүй, сэтгэл хөдлөл'!D32:H32,1)/5*100,1))</f>
        <v/>
      </c>
      <c r="E32" s="12">
        <f>IF(COUNT('Танин мэдэхүй'!D32:U32)=0,"",ROUND(COUNTIF('Танин мэдэхүй'!D32:U32,1)/18*100,1))</f>
        <v/>
      </c>
      <c r="F32" s="12">
        <f>COUNTIF('Бие бялдар'!D32:K32,1)+COUNTIF('Нийгэмшихүй, сэтгэл хөдлөл'!D32:H32,1)+COUNTIF('Танин мэдэхүй'!D32:U32,1)</f>
        <v/>
      </c>
      <c r="G32" s="12">
        <f>IF((COUNT('Бие бялдар'!D32:K32)+COUNT('Нийгэмшихүй, сэтгэл хөдлөл'!D32:H32)+COUNT('Танин мэдэхүй'!D32:U32))=0,"",ROUND(F32/31*100,1))</f>
        <v/>
      </c>
      <c r="H32" s="14">
        <f>IF(G32="","",IF(G32&gt;=Нэгтгэл!$K$4,"Хангалттай эзэмшиж байна",IF(G32&gt;=Нэгтгэл!$K$5,"Ахиж байна","Хөгжиж байна")))</f>
        <v/>
      </c>
    </row>
    <row r="33" ht="16" customHeight="1">
      <c r="A33" s="12" t="n">
        <v>27</v>
      </c>
      <c r="B33" s="13" t="inlineStr">
        <is>
          <t>Х-27</t>
        </is>
      </c>
      <c r="C33" s="12">
        <f>IF(COUNT('Бие бялдар'!D33:K33)=0,"",ROUND(COUNTIF('Бие бялдар'!D33:K33,1)/8*100,1))</f>
        <v/>
      </c>
      <c r="D33" s="12">
        <f>IF(COUNT('Нийгэмшихүй, сэтгэл хөдлөл'!D33:H33)=0,"",ROUND(COUNTIF('Нийгэмшихүй, сэтгэл хөдлөл'!D33:H33,1)/5*100,1))</f>
        <v/>
      </c>
      <c r="E33" s="12">
        <f>IF(COUNT('Танин мэдэхүй'!D33:U33)=0,"",ROUND(COUNTIF('Танин мэдэхүй'!D33:U33,1)/18*100,1))</f>
        <v/>
      </c>
      <c r="F33" s="12">
        <f>COUNTIF('Бие бялдар'!D33:K33,1)+COUNTIF('Нийгэмшихүй, сэтгэл хөдлөл'!D33:H33,1)+COUNTIF('Танин мэдэхүй'!D33:U33,1)</f>
        <v/>
      </c>
      <c r="G33" s="12">
        <f>IF((COUNT('Бие бялдар'!D33:K33)+COUNT('Нийгэмшихүй, сэтгэл хөдлөл'!D33:H33)+COUNT('Танин мэдэхүй'!D33:U33))=0,"",ROUND(F33/31*100,1))</f>
        <v/>
      </c>
      <c r="H33" s="14">
        <f>IF(G33="","",IF(G33&gt;=Нэгтгэл!$K$4,"Хангалттай эзэмшиж байна",IF(G33&gt;=Нэгтгэл!$K$5,"Ахиж байна","Хөгжиж байна")))</f>
        <v/>
      </c>
    </row>
    <row r="34" ht="16" customHeight="1">
      <c r="A34" s="12" t="n">
        <v>28</v>
      </c>
      <c r="B34" s="13" t="inlineStr">
        <is>
          <t>Х-28</t>
        </is>
      </c>
      <c r="C34" s="12">
        <f>IF(COUNT('Бие бялдар'!D34:K34)=0,"",ROUND(COUNTIF('Бие бялдар'!D34:K34,1)/8*100,1))</f>
        <v/>
      </c>
      <c r="D34" s="12">
        <f>IF(COUNT('Нийгэмшихүй, сэтгэл хөдлөл'!D34:H34)=0,"",ROUND(COUNTIF('Нийгэмшихүй, сэтгэл хөдлөл'!D34:H34,1)/5*100,1))</f>
        <v/>
      </c>
      <c r="E34" s="12">
        <f>IF(COUNT('Танин мэдэхүй'!D34:U34)=0,"",ROUND(COUNTIF('Танин мэдэхүй'!D34:U34,1)/18*100,1))</f>
        <v/>
      </c>
      <c r="F34" s="12">
        <f>COUNTIF('Бие бялдар'!D34:K34,1)+COUNTIF('Нийгэмшихүй, сэтгэл хөдлөл'!D34:H34,1)+COUNTIF('Танин мэдэхүй'!D34:U34,1)</f>
        <v/>
      </c>
      <c r="G34" s="12">
        <f>IF((COUNT('Бие бялдар'!D34:K34)+COUNT('Нийгэмшихүй, сэтгэл хөдлөл'!D34:H34)+COUNT('Танин мэдэхүй'!D34:U34))=0,"",ROUND(F34/31*100,1))</f>
        <v/>
      </c>
      <c r="H34" s="14">
        <f>IF(G34="","",IF(G34&gt;=Нэгтгэл!$K$4,"Хангалттай эзэмшиж байна",IF(G34&gt;=Нэгтгэл!$K$5,"Ахиж байна","Хөгжиж байна")))</f>
        <v/>
      </c>
    </row>
    <row r="35" ht="16" customHeight="1">
      <c r="A35" s="12" t="n">
        <v>29</v>
      </c>
      <c r="B35" s="13" t="inlineStr">
        <is>
          <t>Х-29</t>
        </is>
      </c>
      <c r="C35" s="12">
        <f>IF(COUNT('Бие бялдар'!D35:K35)=0,"",ROUND(COUNTIF('Бие бялдар'!D35:K35,1)/8*100,1))</f>
        <v/>
      </c>
      <c r="D35" s="12">
        <f>IF(COUNT('Нийгэмшихүй, сэтгэл хөдлөл'!D35:H35)=0,"",ROUND(COUNTIF('Нийгэмшихүй, сэтгэл хөдлөл'!D35:H35,1)/5*100,1))</f>
        <v/>
      </c>
      <c r="E35" s="12">
        <f>IF(COUNT('Танин мэдэхүй'!D35:U35)=0,"",ROUND(COUNTIF('Танин мэдэхүй'!D35:U35,1)/18*100,1))</f>
        <v/>
      </c>
      <c r="F35" s="12">
        <f>COUNTIF('Бие бялдар'!D35:K35,1)+COUNTIF('Нийгэмшихүй, сэтгэл хөдлөл'!D35:H35,1)+COUNTIF('Танин мэдэхүй'!D35:U35,1)</f>
        <v/>
      </c>
      <c r="G35" s="12">
        <f>IF((COUNT('Бие бялдар'!D35:K35)+COUNT('Нийгэмшихүй, сэтгэл хөдлөл'!D35:H35)+COUNT('Танин мэдэхүй'!D35:U35))=0,"",ROUND(F35/31*100,1))</f>
        <v/>
      </c>
      <c r="H35" s="14">
        <f>IF(G35="","",IF(G35&gt;=Нэгтгэл!$K$4,"Хангалттай эзэмшиж байна",IF(G35&gt;=Нэгтгэл!$K$5,"Ахиж байна","Хөгжиж байна")))</f>
        <v/>
      </c>
    </row>
    <row r="36" ht="16" customHeight="1">
      <c r="A36" s="12" t="n">
        <v>30</v>
      </c>
      <c r="B36" s="13" t="inlineStr">
        <is>
          <t>Х-30</t>
        </is>
      </c>
      <c r="C36" s="12">
        <f>IF(COUNT('Бие бялдар'!D36:K36)=0,"",ROUND(COUNTIF('Бие бялдар'!D36:K36,1)/8*100,1))</f>
        <v/>
      </c>
      <c r="D36" s="12">
        <f>IF(COUNT('Нийгэмшихүй, сэтгэл хөдлөл'!D36:H36)=0,"",ROUND(COUNTIF('Нийгэмшихүй, сэтгэл хөдлөл'!D36:H36,1)/5*100,1))</f>
        <v/>
      </c>
      <c r="E36" s="12">
        <f>IF(COUNT('Танин мэдэхүй'!D36:U36)=0,"",ROUND(COUNTIF('Танин мэдэхүй'!D36:U36,1)/18*100,1))</f>
        <v/>
      </c>
      <c r="F36" s="12">
        <f>COUNTIF('Бие бялдар'!D36:K36,1)+COUNTIF('Нийгэмшихүй, сэтгэл хөдлөл'!D36:H36,1)+COUNTIF('Танин мэдэхүй'!D36:U36,1)</f>
        <v/>
      </c>
      <c r="G36" s="12">
        <f>IF((COUNT('Бие бялдар'!D36:K36)+COUNT('Нийгэмшихүй, сэтгэл хөдлөл'!D36:H36)+COUNT('Танин мэдэхүй'!D36:U36))=0,"",ROUND(F36/31*100,1))</f>
        <v/>
      </c>
      <c r="H36" s="14">
        <f>IF(G36="","",IF(G36&gt;=Нэгтгэл!$K$4,"Хангалттай эзэмшиж байна",IF(G36&gt;=Нэгтгэл!$K$5,"Ахиж байна","Хөгжиж байна")))</f>
        <v/>
      </c>
    </row>
    <row r="37" ht="16" customHeight="1">
      <c r="A37" s="12" t="n">
        <v>31</v>
      </c>
      <c r="B37" s="13" t="inlineStr">
        <is>
          <t>Х-31</t>
        </is>
      </c>
      <c r="C37" s="12">
        <f>IF(COUNT('Бие бялдар'!D37:K37)=0,"",ROUND(COUNTIF('Бие бялдар'!D37:K37,1)/8*100,1))</f>
        <v/>
      </c>
      <c r="D37" s="12">
        <f>IF(COUNT('Нийгэмшихүй, сэтгэл хөдлөл'!D37:H37)=0,"",ROUND(COUNTIF('Нийгэмшихүй, сэтгэл хөдлөл'!D37:H37,1)/5*100,1))</f>
        <v/>
      </c>
      <c r="E37" s="12">
        <f>IF(COUNT('Танин мэдэхүй'!D37:U37)=0,"",ROUND(COUNTIF('Танин мэдэхүй'!D37:U37,1)/18*100,1))</f>
        <v/>
      </c>
      <c r="F37" s="12">
        <f>COUNTIF('Бие бялдар'!D37:K37,1)+COUNTIF('Нийгэмшихүй, сэтгэл хөдлөл'!D37:H37,1)+COUNTIF('Танин мэдэхүй'!D37:U37,1)</f>
        <v/>
      </c>
      <c r="G37" s="12">
        <f>IF((COUNT('Бие бялдар'!D37:K37)+COUNT('Нийгэмшихүй, сэтгэл хөдлөл'!D37:H37)+COUNT('Танин мэдэхүй'!D37:U37))=0,"",ROUND(F37/31*100,1))</f>
        <v/>
      </c>
      <c r="H37" s="14">
        <f>IF(G37="","",IF(G37&gt;=Нэгтгэл!$K$4,"Хангалттай эзэмшиж байна",IF(G37&gt;=Нэгтгэл!$K$5,"Ахиж байна","Хөгжиж байна")))</f>
        <v/>
      </c>
    </row>
    <row r="38" ht="16" customHeight="1">
      <c r="A38" s="12" t="n">
        <v>32</v>
      </c>
      <c r="B38" s="13" t="inlineStr">
        <is>
          <t>Х-32</t>
        </is>
      </c>
      <c r="C38" s="12">
        <f>IF(COUNT('Бие бялдар'!D38:K38)=0,"",ROUND(COUNTIF('Бие бялдар'!D38:K38,1)/8*100,1))</f>
        <v/>
      </c>
      <c r="D38" s="12">
        <f>IF(COUNT('Нийгэмшихүй, сэтгэл хөдлөл'!D38:H38)=0,"",ROUND(COUNTIF('Нийгэмшихүй, сэтгэл хөдлөл'!D38:H38,1)/5*100,1))</f>
        <v/>
      </c>
      <c r="E38" s="12">
        <f>IF(COUNT('Танин мэдэхүй'!D38:U38)=0,"",ROUND(COUNTIF('Танин мэдэхүй'!D38:U38,1)/18*100,1))</f>
        <v/>
      </c>
      <c r="F38" s="12">
        <f>COUNTIF('Бие бялдар'!D38:K38,1)+COUNTIF('Нийгэмшихүй, сэтгэл хөдлөл'!D38:H38,1)+COUNTIF('Танин мэдэхүй'!D38:U38,1)</f>
        <v/>
      </c>
      <c r="G38" s="12">
        <f>IF((COUNT('Бие бялдар'!D38:K38)+COUNT('Нийгэмшихүй, сэтгэл хөдлөл'!D38:H38)+COUNT('Танин мэдэхүй'!D38:U38))=0,"",ROUND(F38/31*100,1))</f>
        <v/>
      </c>
      <c r="H38" s="14">
        <f>IF(G38="","",IF(G38&gt;=Нэгтгэл!$K$4,"Хангалттай эзэмшиж байна",IF(G38&gt;=Нэгтгэл!$K$5,"Ахиж байна","Хөгжиж байна")))</f>
        <v/>
      </c>
    </row>
    <row r="39" ht="16" customHeight="1">
      <c r="A39" s="12" t="n">
        <v>33</v>
      </c>
      <c r="B39" s="13" t="inlineStr">
        <is>
          <t>Х-33</t>
        </is>
      </c>
      <c r="C39" s="12">
        <f>IF(COUNT('Бие бялдар'!D39:K39)=0,"",ROUND(COUNTIF('Бие бялдар'!D39:K39,1)/8*100,1))</f>
        <v/>
      </c>
      <c r="D39" s="12">
        <f>IF(COUNT('Нийгэмшихүй, сэтгэл хөдлөл'!D39:H39)=0,"",ROUND(COUNTIF('Нийгэмшихүй, сэтгэл хөдлөл'!D39:H39,1)/5*100,1))</f>
        <v/>
      </c>
      <c r="E39" s="12">
        <f>IF(COUNT('Танин мэдэхүй'!D39:U39)=0,"",ROUND(COUNTIF('Танин мэдэхүй'!D39:U39,1)/18*100,1))</f>
        <v/>
      </c>
      <c r="F39" s="12">
        <f>COUNTIF('Бие бялдар'!D39:K39,1)+COUNTIF('Нийгэмшихүй, сэтгэл хөдлөл'!D39:H39,1)+COUNTIF('Танин мэдэхүй'!D39:U39,1)</f>
        <v/>
      </c>
      <c r="G39" s="12">
        <f>IF((COUNT('Бие бялдар'!D39:K39)+COUNT('Нийгэмшихүй, сэтгэл хөдлөл'!D39:H39)+COUNT('Танин мэдэхүй'!D39:U39))=0,"",ROUND(F39/31*100,1))</f>
        <v/>
      </c>
      <c r="H39" s="14">
        <f>IF(G39="","",IF(G39&gt;=Нэгтгэл!$K$4,"Хангалттай эзэмшиж байна",IF(G39&gt;=Нэгтгэл!$K$5,"Ахиж байна","Хөгжиж байна")))</f>
        <v/>
      </c>
    </row>
    <row r="40" ht="16" customHeight="1">
      <c r="A40" s="12" t="n">
        <v>34</v>
      </c>
      <c r="B40" s="13" t="inlineStr">
        <is>
          <t>Х-34</t>
        </is>
      </c>
      <c r="C40" s="12">
        <f>IF(COUNT('Бие бялдар'!D40:K40)=0,"",ROUND(COUNTIF('Бие бялдар'!D40:K40,1)/8*100,1))</f>
        <v/>
      </c>
      <c r="D40" s="12">
        <f>IF(COUNT('Нийгэмшихүй, сэтгэл хөдлөл'!D40:H40)=0,"",ROUND(COUNTIF('Нийгэмшихүй, сэтгэл хөдлөл'!D40:H40,1)/5*100,1))</f>
        <v/>
      </c>
      <c r="E40" s="12">
        <f>IF(COUNT('Танин мэдэхүй'!D40:U40)=0,"",ROUND(COUNTIF('Танин мэдэхүй'!D40:U40,1)/18*100,1))</f>
        <v/>
      </c>
      <c r="F40" s="12">
        <f>COUNTIF('Бие бялдар'!D40:K40,1)+COUNTIF('Нийгэмшихүй, сэтгэл хөдлөл'!D40:H40,1)+COUNTIF('Танин мэдэхүй'!D40:U40,1)</f>
        <v/>
      </c>
      <c r="G40" s="12">
        <f>IF((COUNT('Бие бялдар'!D40:K40)+COUNT('Нийгэмшихүй, сэтгэл хөдлөл'!D40:H40)+COUNT('Танин мэдэхүй'!D40:U40))=0,"",ROUND(F40/31*100,1))</f>
        <v/>
      </c>
      <c r="H40" s="14">
        <f>IF(G40="","",IF(G40&gt;=Нэгтгэл!$K$4,"Хангалттай эзэмшиж байна",IF(G40&gt;=Нэгтгэл!$K$5,"Ахиж байна","Хөгжиж байна")))</f>
        <v/>
      </c>
    </row>
    <row r="41" ht="16" customHeight="1">
      <c r="A41" s="12" t="n">
        <v>35</v>
      </c>
      <c r="B41" s="13" t="inlineStr">
        <is>
          <t>Х-35</t>
        </is>
      </c>
      <c r="C41" s="12">
        <f>IF(COUNT('Бие бялдар'!D41:K41)=0,"",ROUND(COUNTIF('Бие бялдар'!D41:K41,1)/8*100,1))</f>
        <v/>
      </c>
      <c r="D41" s="12">
        <f>IF(COUNT('Нийгэмшихүй, сэтгэл хөдлөл'!D41:H41)=0,"",ROUND(COUNTIF('Нийгэмшихүй, сэтгэл хөдлөл'!D41:H41,1)/5*100,1))</f>
        <v/>
      </c>
      <c r="E41" s="12">
        <f>IF(COUNT('Танин мэдэхүй'!D41:U41)=0,"",ROUND(COUNTIF('Танин мэдэхүй'!D41:U41,1)/18*100,1))</f>
        <v/>
      </c>
      <c r="F41" s="12">
        <f>COUNTIF('Бие бялдар'!D41:K41,1)+COUNTIF('Нийгэмшихүй, сэтгэл хөдлөл'!D41:H41,1)+COUNTIF('Танин мэдэхүй'!D41:U41,1)</f>
        <v/>
      </c>
      <c r="G41" s="12">
        <f>IF((COUNT('Бие бялдар'!D41:K41)+COUNT('Нийгэмшихүй, сэтгэл хөдлөл'!D41:H41)+COUNT('Танин мэдэхүй'!D41:U41))=0,"",ROUND(F41/31*100,1))</f>
        <v/>
      </c>
      <c r="H41" s="14">
        <f>IF(G41="","",IF(G41&gt;=Нэгтгэл!$K$4,"Хангалттай эзэмшиж байна",IF(G41&gt;=Нэгтгэл!$K$5,"Ахиж байна","Хөгжиж байна")))</f>
        <v/>
      </c>
    </row>
    <row r="42" ht="16" customHeight="1">
      <c r="A42" s="12" t="n">
        <v>36</v>
      </c>
      <c r="B42" s="13" t="inlineStr">
        <is>
          <t>Х-36</t>
        </is>
      </c>
      <c r="C42" s="12">
        <f>IF(COUNT('Бие бялдар'!D42:K42)=0,"",ROUND(COUNTIF('Бие бялдар'!D42:K42,1)/8*100,1))</f>
        <v/>
      </c>
      <c r="D42" s="12">
        <f>IF(COUNT('Нийгэмшихүй, сэтгэл хөдлөл'!D42:H42)=0,"",ROUND(COUNTIF('Нийгэмшихүй, сэтгэл хөдлөл'!D42:H42,1)/5*100,1))</f>
        <v/>
      </c>
      <c r="E42" s="12">
        <f>IF(COUNT('Танин мэдэхүй'!D42:U42)=0,"",ROUND(COUNTIF('Танин мэдэхүй'!D42:U42,1)/18*100,1))</f>
        <v/>
      </c>
      <c r="F42" s="12">
        <f>COUNTIF('Бие бялдар'!D42:K42,1)+COUNTIF('Нийгэмшихүй, сэтгэл хөдлөл'!D42:H42,1)+COUNTIF('Танин мэдэхүй'!D42:U42,1)</f>
        <v/>
      </c>
      <c r="G42" s="12">
        <f>IF((COUNT('Бие бялдар'!D42:K42)+COUNT('Нийгэмшихүй, сэтгэл хөдлөл'!D42:H42)+COUNT('Танин мэдэхүй'!D42:U42))=0,"",ROUND(F42/31*100,1))</f>
        <v/>
      </c>
      <c r="H42" s="14">
        <f>IF(G42="","",IF(G42&gt;=Нэгтгэл!$K$4,"Хангалттай эзэмшиж байна",IF(G42&gt;=Нэгтгэл!$K$5,"Ахиж байна","Хөгжиж байна")))</f>
        <v/>
      </c>
    </row>
    <row r="43" ht="16" customHeight="1">
      <c r="A43" s="12" t="n">
        <v>37</v>
      </c>
      <c r="B43" s="13" t="inlineStr">
        <is>
          <t>Х-37</t>
        </is>
      </c>
      <c r="C43" s="12">
        <f>IF(COUNT('Бие бялдар'!D43:K43)=0,"",ROUND(COUNTIF('Бие бялдар'!D43:K43,1)/8*100,1))</f>
        <v/>
      </c>
      <c r="D43" s="12">
        <f>IF(COUNT('Нийгэмшихүй, сэтгэл хөдлөл'!D43:H43)=0,"",ROUND(COUNTIF('Нийгэмшихүй, сэтгэл хөдлөл'!D43:H43,1)/5*100,1))</f>
        <v/>
      </c>
      <c r="E43" s="12">
        <f>IF(COUNT('Танин мэдэхүй'!D43:U43)=0,"",ROUND(COUNTIF('Танин мэдэхүй'!D43:U43,1)/18*100,1))</f>
        <v/>
      </c>
      <c r="F43" s="12">
        <f>COUNTIF('Бие бялдар'!D43:K43,1)+COUNTIF('Нийгэмшихүй, сэтгэл хөдлөл'!D43:H43,1)+COUNTIF('Танин мэдэхүй'!D43:U43,1)</f>
        <v/>
      </c>
      <c r="G43" s="12">
        <f>IF((COUNT('Бие бялдар'!D43:K43)+COUNT('Нийгэмшихүй, сэтгэл хөдлөл'!D43:H43)+COUNT('Танин мэдэхүй'!D43:U43))=0,"",ROUND(F43/31*100,1))</f>
        <v/>
      </c>
      <c r="H43" s="14">
        <f>IF(G43="","",IF(G43&gt;=Нэгтгэл!$K$4,"Хангалттай эзэмшиж байна",IF(G43&gt;=Нэгтгэл!$K$5,"Ахиж байна","Хөгжиж байна")))</f>
        <v/>
      </c>
    </row>
    <row r="44" ht="16" customHeight="1">
      <c r="A44" s="12" t="n">
        <v>38</v>
      </c>
      <c r="B44" s="13" t="inlineStr">
        <is>
          <t>Х-38</t>
        </is>
      </c>
      <c r="C44" s="12">
        <f>IF(COUNT('Бие бялдар'!D44:K44)=0,"",ROUND(COUNTIF('Бие бялдар'!D44:K44,1)/8*100,1))</f>
        <v/>
      </c>
      <c r="D44" s="12">
        <f>IF(COUNT('Нийгэмшихүй, сэтгэл хөдлөл'!D44:H44)=0,"",ROUND(COUNTIF('Нийгэмшихүй, сэтгэл хөдлөл'!D44:H44,1)/5*100,1))</f>
        <v/>
      </c>
      <c r="E44" s="12">
        <f>IF(COUNT('Танин мэдэхүй'!D44:U44)=0,"",ROUND(COUNTIF('Танин мэдэхүй'!D44:U44,1)/18*100,1))</f>
        <v/>
      </c>
      <c r="F44" s="12">
        <f>COUNTIF('Бие бялдар'!D44:K44,1)+COUNTIF('Нийгэмшихүй, сэтгэл хөдлөл'!D44:H44,1)+COUNTIF('Танин мэдэхүй'!D44:U44,1)</f>
        <v/>
      </c>
      <c r="G44" s="12">
        <f>IF((COUNT('Бие бялдар'!D44:K44)+COUNT('Нийгэмшихүй, сэтгэл хөдлөл'!D44:H44)+COUNT('Танин мэдэхүй'!D44:U44))=0,"",ROUND(F44/31*100,1))</f>
        <v/>
      </c>
      <c r="H44" s="14">
        <f>IF(G44="","",IF(G44&gt;=Нэгтгэл!$K$4,"Хангалттай эзэмшиж байна",IF(G44&gt;=Нэгтгэл!$K$5,"Ахиж байна","Хөгжиж байна")))</f>
        <v/>
      </c>
    </row>
    <row r="45" ht="16" customHeight="1">
      <c r="A45" s="12" t="n">
        <v>39</v>
      </c>
      <c r="B45" s="13" t="inlineStr">
        <is>
          <t>Х-39</t>
        </is>
      </c>
      <c r="C45" s="12">
        <f>IF(COUNT('Бие бялдар'!D45:K45)=0,"",ROUND(COUNTIF('Бие бялдар'!D45:K45,1)/8*100,1))</f>
        <v/>
      </c>
      <c r="D45" s="12">
        <f>IF(COUNT('Нийгэмшихүй, сэтгэл хөдлөл'!D45:H45)=0,"",ROUND(COUNTIF('Нийгэмшихүй, сэтгэл хөдлөл'!D45:H45,1)/5*100,1))</f>
        <v/>
      </c>
      <c r="E45" s="12">
        <f>IF(COUNT('Танин мэдэхүй'!D45:U45)=0,"",ROUND(COUNTIF('Танин мэдэхүй'!D45:U45,1)/18*100,1))</f>
        <v/>
      </c>
      <c r="F45" s="12">
        <f>COUNTIF('Бие бялдар'!D45:K45,1)+COUNTIF('Нийгэмшихүй, сэтгэл хөдлөл'!D45:H45,1)+COUNTIF('Танин мэдэхүй'!D45:U45,1)</f>
        <v/>
      </c>
      <c r="G45" s="12">
        <f>IF((COUNT('Бие бялдар'!D45:K45)+COUNT('Нийгэмшихүй, сэтгэл хөдлөл'!D45:H45)+COUNT('Танин мэдэхүй'!D45:U45))=0,"",ROUND(F45/31*100,1))</f>
        <v/>
      </c>
      <c r="H45" s="14">
        <f>IF(G45="","",IF(G45&gt;=Нэгтгэл!$K$4,"Хангалттай эзэмшиж байна",IF(G45&gt;=Нэгтгэл!$K$5,"Ахиж байна","Хөгжиж байна")))</f>
        <v/>
      </c>
    </row>
    <row r="46" ht="16" customHeight="1">
      <c r="A46" s="12" t="n">
        <v>40</v>
      </c>
      <c r="B46" s="13" t="inlineStr">
        <is>
          <t>Х-40</t>
        </is>
      </c>
      <c r="C46" s="12">
        <f>IF(COUNT('Бие бялдар'!D46:K46)=0,"",ROUND(COUNTIF('Бие бялдар'!D46:K46,1)/8*100,1))</f>
        <v/>
      </c>
      <c r="D46" s="12">
        <f>IF(COUNT('Нийгэмшихүй, сэтгэл хөдлөл'!D46:H46)=0,"",ROUND(COUNTIF('Нийгэмшихүй, сэтгэл хөдлөл'!D46:H46,1)/5*100,1))</f>
        <v/>
      </c>
      <c r="E46" s="12">
        <f>IF(COUNT('Танин мэдэхүй'!D46:U46)=0,"",ROUND(COUNTIF('Танин мэдэхүй'!D46:U46,1)/18*100,1))</f>
        <v/>
      </c>
      <c r="F46" s="12">
        <f>COUNTIF('Бие бялдар'!D46:K46,1)+COUNTIF('Нийгэмшихүй, сэтгэл хөдлөл'!D46:H46,1)+COUNTIF('Танин мэдэхүй'!D46:U46,1)</f>
        <v/>
      </c>
      <c r="G46" s="12">
        <f>IF((COUNT('Бие бялдар'!D46:K46)+COUNT('Нийгэмшихүй, сэтгэл хөдлөл'!D46:H46)+COUNT('Танин мэдэхүй'!D46:U46))=0,"",ROUND(F46/31*100,1))</f>
        <v/>
      </c>
      <c r="H46" s="14">
        <f>IF(G46="","",IF(G46&gt;=Нэгтгэл!$K$4,"Хангалттай эзэмшиж байна",IF(G46&gt;=Нэгтгэл!$K$5,"Ахиж байна","Хөгжиж байна")))</f>
        <v/>
      </c>
    </row>
    <row r="47" ht="16" customHeight="1">
      <c r="A47" s="12" t="n">
        <v>41</v>
      </c>
      <c r="B47" s="13" t="inlineStr">
        <is>
          <t>Х-41</t>
        </is>
      </c>
      <c r="C47" s="12">
        <f>IF(COUNT('Бие бялдар'!D47:K47)=0,"",ROUND(COUNTIF('Бие бялдар'!D47:K47,1)/8*100,1))</f>
        <v/>
      </c>
      <c r="D47" s="12">
        <f>IF(COUNT('Нийгэмшихүй, сэтгэл хөдлөл'!D47:H47)=0,"",ROUND(COUNTIF('Нийгэмшихүй, сэтгэл хөдлөл'!D47:H47,1)/5*100,1))</f>
        <v/>
      </c>
      <c r="E47" s="12">
        <f>IF(COUNT('Танин мэдэхүй'!D47:U47)=0,"",ROUND(COUNTIF('Танин мэдэхүй'!D47:U47,1)/18*100,1))</f>
        <v/>
      </c>
      <c r="F47" s="12">
        <f>COUNTIF('Бие бялдар'!D47:K47,1)+COUNTIF('Нийгэмшихүй, сэтгэл хөдлөл'!D47:H47,1)+COUNTIF('Танин мэдэхүй'!D47:U47,1)</f>
        <v/>
      </c>
      <c r="G47" s="12">
        <f>IF((COUNT('Бие бялдар'!D47:K47)+COUNT('Нийгэмшихүй, сэтгэл хөдлөл'!D47:H47)+COUNT('Танин мэдэхүй'!D47:U47))=0,"",ROUND(F47/31*100,1))</f>
        <v/>
      </c>
      <c r="H47" s="14">
        <f>IF(G47="","",IF(G47&gt;=Нэгтгэл!$K$4,"Хангалттай эзэмшиж байна",IF(G47&gt;=Нэгтгэл!$K$5,"Ахиж байна","Хөгжиж байна")))</f>
        <v/>
      </c>
    </row>
    <row r="48" ht="16" customHeight="1">
      <c r="A48" s="12" t="n">
        <v>42</v>
      </c>
      <c r="B48" s="13" t="inlineStr">
        <is>
          <t>Х-42</t>
        </is>
      </c>
      <c r="C48" s="12">
        <f>IF(COUNT('Бие бялдар'!D48:K48)=0,"",ROUND(COUNTIF('Бие бялдар'!D48:K48,1)/8*100,1))</f>
        <v/>
      </c>
      <c r="D48" s="12">
        <f>IF(COUNT('Нийгэмшихүй, сэтгэл хөдлөл'!D48:H48)=0,"",ROUND(COUNTIF('Нийгэмшихүй, сэтгэл хөдлөл'!D48:H48,1)/5*100,1))</f>
        <v/>
      </c>
      <c r="E48" s="12">
        <f>IF(COUNT('Танин мэдэхүй'!D48:U48)=0,"",ROUND(COUNTIF('Танин мэдэхүй'!D48:U48,1)/18*100,1))</f>
        <v/>
      </c>
      <c r="F48" s="12">
        <f>COUNTIF('Бие бялдар'!D48:K48,1)+COUNTIF('Нийгэмшихүй, сэтгэл хөдлөл'!D48:H48,1)+COUNTIF('Танин мэдэхүй'!D48:U48,1)</f>
        <v/>
      </c>
      <c r="G48" s="12">
        <f>IF((COUNT('Бие бялдар'!D48:K48)+COUNT('Нийгэмшихүй, сэтгэл хөдлөл'!D48:H48)+COUNT('Танин мэдэхүй'!D48:U48))=0,"",ROUND(F48/31*100,1))</f>
        <v/>
      </c>
      <c r="H48" s="14">
        <f>IF(G48="","",IF(G48&gt;=Нэгтгэл!$K$4,"Хангалттай эзэмшиж байна",IF(G48&gt;=Нэгтгэл!$K$5,"Ахиж байна","Хөгжиж байна")))</f>
        <v/>
      </c>
    </row>
    <row r="49" ht="16" customHeight="1">
      <c r="A49" s="12" t="n">
        <v>43</v>
      </c>
      <c r="B49" s="13" t="inlineStr">
        <is>
          <t>Х-43</t>
        </is>
      </c>
      <c r="C49" s="12">
        <f>IF(COUNT('Бие бялдар'!D49:K49)=0,"",ROUND(COUNTIF('Бие бялдар'!D49:K49,1)/8*100,1))</f>
        <v/>
      </c>
      <c r="D49" s="12">
        <f>IF(COUNT('Нийгэмшихүй, сэтгэл хөдлөл'!D49:H49)=0,"",ROUND(COUNTIF('Нийгэмшихүй, сэтгэл хөдлөл'!D49:H49,1)/5*100,1))</f>
        <v/>
      </c>
      <c r="E49" s="12">
        <f>IF(COUNT('Танин мэдэхүй'!D49:U49)=0,"",ROUND(COUNTIF('Танин мэдэхүй'!D49:U49,1)/18*100,1))</f>
        <v/>
      </c>
      <c r="F49" s="12">
        <f>COUNTIF('Бие бялдар'!D49:K49,1)+COUNTIF('Нийгэмшихүй, сэтгэл хөдлөл'!D49:H49,1)+COUNTIF('Танин мэдэхүй'!D49:U49,1)</f>
        <v/>
      </c>
      <c r="G49" s="12">
        <f>IF((COUNT('Бие бялдар'!D49:K49)+COUNT('Нийгэмшихүй, сэтгэл хөдлөл'!D49:H49)+COUNT('Танин мэдэхүй'!D49:U49))=0,"",ROUND(F49/31*100,1))</f>
        <v/>
      </c>
      <c r="H49" s="14">
        <f>IF(G49="","",IF(G49&gt;=Нэгтгэл!$K$4,"Хангалттай эзэмшиж байна",IF(G49&gt;=Нэгтгэл!$K$5,"Ахиж байна","Хөгжиж байна")))</f>
        <v/>
      </c>
    </row>
    <row r="50" ht="16" customHeight="1">
      <c r="A50" s="12" t="n">
        <v>44</v>
      </c>
      <c r="B50" s="13" t="inlineStr">
        <is>
          <t>Х-44</t>
        </is>
      </c>
      <c r="C50" s="12">
        <f>IF(COUNT('Бие бялдар'!D50:K50)=0,"",ROUND(COUNTIF('Бие бялдар'!D50:K50,1)/8*100,1))</f>
        <v/>
      </c>
      <c r="D50" s="12">
        <f>IF(COUNT('Нийгэмшихүй, сэтгэл хөдлөл'!D50:H50)=0,"",ROUND(COUNTIF('Нийгэмшихүй, сэтгэл хөдлөл'!D50:H50,1)/5*100,1))</f>
        <v/>
      </c>
      <c r="E50" s="12">
        <f>IF(COUNT('Танин мэдэхүй'!D50:U50)=0,"",ROUND(COUNTIF('Танин мэдэхүй'!D50:U50,1)/18*100,1))</f>
        <v/>
      </c>
      <c r="F50" s="12">
        <f>COUNTIF('Бие бялдар'!D50:K50,1)+COUNTIF('Нийгэмшихүй, сэтгэл хөдлөл'!D50:H50,1)+COUNTIF('Танин мэдэхүй'!D50:U50,1)</f>
        <v/>
      </c>
      <c r="G50" s="12">
        <f>IF((COUNT('Бие бялдар'!D50:K50)+COUNT('Нийгэмшихүй, сэтгэл хөдлөл'!D50:H50)+COUNT('Танин мэдэхүй'!D50:U50))=0,"",ROUND(F50/31*100,1))</f>
        <v/>
      </c>
      <c r="H50" s="14">
        <f>IF(G50="","",IF(G50&gt;=Нэгтгэл!$K$4,"Хангалттай эзэмшиж байна",IF(G50&gt;=Нэгтгэл!$K$5,"Ахиж байна","Хөгжиж байна")))</f>
        <v/>
      </c>
    </row>
    <row r="51" ht="16" customHeight="1">
      <c r="A51" s="12" t="n">
        <v>45</v>
      </c>
      <c r="B51" s="13" t="inlineStr">
        <is>
          <t>Х-45</t>
        </is>
      </c>
      <c r="C51" s="12">
        <f>IF(COUNT('Бие бялдар'!D51:K51)=0,"",ROUND(COUNTIF('Бие бялдар'!D51:K51,1)/8*100,1))</f>
        <v/>
      </c>
      <c r="D51" s="12">
        <f>IF(COUNT('Нийгэмшихүй, сэтгэл хөдлөл'!D51:H51)=0,"",ROUND(COUNTIF('Нийгэмшихүй, сэтгэл хөдлөл'!D51:H51,1)/5*100,1))</f>
        <v/>
      </c>
      <c r="E51" s="12">
        <f>IF(COUNT('Танин мэдэхүй'!D51:U51)=0,"",ROUND(COUNTIF('Танин мэдэхүй'!D51:U51,1)/18*100,1))</f>
        <v/>
      </c>
      <c r="F51" s="12">
        <f>COUNTIF('Бие бялдар'!D51:K51,1)+COUNTIF('Нийгэмшихүй, сэтгэл хөдлөл'!D51:H51,1)+COUNTIF('Танин мэдэхүй'!D51:U51,1)</f>
        <v/>
      </c>
      <c r="G51" s="12">
        <f>IF((COUNT('Бие бялдар'!D51:K51)+COUNT('Нийгэмшихүй, сэтгэл хөдлөл'!D51:H51)+COUNT('Танин мэдэхүй'!D51:U51))=0,"",ROUND(F51/31*100,1))</f>
        <v/>
      </c>
      <c r="H51" s="14">
        <f>IF(G51="","",IF(G51&gt;=Нэгтгэл!$K$4,"Хангалттай эзэмшиж байна",IF(G51&gt;=Нэгтгэл!$K$5,"Ахиж байна","Хөгжиж байна")))</f>
        <v/>
      </c>
    </row>
    <row r="52" ht="16" customHeight="1">
      <c r="A52" s="12" t="n">
        <v>46</v>
      </c>
      <c r="B52" s="13" t="inlineStr">
        <is>
          <t>Х-46</t>
        </is>
      </c>
      <c r="C52" s="12">
        <f>IF(COUNT('Бие бялдар'!D52:K52)=0,"",ROUND(COUNTIF('Бие бялдар'!D52:K52,1)/8*100,1))</f>
        <v/>
      </c>
      <c r="D52" s="12">
        <f>IF(COUNT('Нийгэмшихүй, сэтгэл хөдлөл'!D52:H52)=0,"",ROUND(COUNTIF('Нийгэмшихүй, сэтгэл хөдлөл'!D52:H52,1)/5*100,1))</f>
        <v/>
      </c>
      <c r="E52" s="12">
        <f>IF(COUNT('Танин мэдэхүй'!D52:U52)=0,"",ROUND(COUNTIF('Танин мэдэхүй'!D52:U52,1)/18*100,1))</f>
        <v/>
      </c>
      <c r="F52" s="12">
        <f>COUNTIF('Бие бялдар'!D52:K52,1)+COUNTIF('Нийгэмшихүй, сэтгэл хөдлөл'!D52:H52,1)+COUNTIF('Танин мэдэхүй'!D52:U52,1)</f>
        <v/>
      </c>
      <c r="G52" s="12">
        <f>IF((COUNT('Бие бялдар'!D52:K52)+COUNT('Нийгэмшихүй, сэтгэл хөдлөл'!D52:H52)+COUNT('Танин мэдэхүй'!D52:U52))=0,"",ROUND(F52/31*100,1))</f>
        <v/>
      </c>
      <c r="H52" s="14">
        <f>IF(G52="","",IF(G52&gt;=Нэгтгэл!$K$4,"Хангалттай эзэмшиж байна",IF(G52&gt;=Нэгтгэл!$K$5,"Ахиж байна","Хөгжиж байна")))</f>
        <v/>
      </c>
    </row>
    <row r="53" ht="16" customHeight="1">
      <c r="A53" s="12" t="n">
        <v>47</v>
      </c>
      <c r="B53" s="13" t="inlineStr">
        <is>
          <t>Х-47</t>
        </is>
      </c>
      <c r="C53" s="12">
        <f>IF(COUNT('Бие бялдар'!D53:K53)=0,"",ROUND(COUNTIF('Бие бялдар'!D53:K53,1)/8*100,1))</f>
        <v/>
      </c>
      <c r="D53" s="12">
        <f>IF(COUNT('Нийгэмшихүй, сэтгэл хөдлөл'!D53:H53)=0,"",ROUND(COUNTIF('Нийгэмшихүй, сэтгэл хөдлөл'!D53:H53,1)/5*100,1))</f>
        <v/>
      </c>
      <c r="E53" s="12">
        <f>IF(COUNT('Танин мэдэхүй'!D53:U53)=0,"",ROUND(COUNTIF('Танин мэдэхүй'!D53:U53,1)/18*100,1))</f>
        <v/>
      </c>
      <c r="F53" s="12">
        <f>COUNTIF('Бие бялдар'!D53:K53,1)+COUNTIF('Нийгэмшихүй, сэтгэл хөдлөл'!D53:H53,1)+COUNTIF('Танин мэдэхүй'!D53:U53,1)</f>
        <v/>
      </c>
      <c r="G53" s="12">
        <f>IF((COUNT('Бие бялдар'!D53:K53)+COUNT('Нийгэмшихүй, сэтгэл хөдлөл'!D53:H53)+COUNT('Танин мэдэхүй'!D53:U53))=0,"",ROUND(F53/31*100,1))</f>
        <v/>
      </c>
      <c r="H53" s="14">
        <f>IF(G53="","",IF(G53&gt;=Нэгтгэл!$K$4,"Хангалттай эзэмшиж байна",IF(G53&gt;=Нэгтгэл!$K$5,"Ахиж байна","Хөгжиж байна")))</f>
        <v/>
      </c>
    </row>
    <row r="54" ht="16" customHeight="1">
      <c r="A54" s="12" t="n">
        <v>48</v>
      </c>
      <c r="B54" s="13" t="inlineStr">
        <is>
          <t>Х-48</t>
        </is>
      </c>
      <c r="C54" s="12">
        <f>IF(COUNT('Бие бялдар'!D54:K54)=0,"",ROUND(COUNTIF('Бие бялдар'!D54:K54,1)/8*100,1))</f>
        <v/>
      </c>
      <c r="D54" s="12">
        <f>IF(COUNT('Нийгэмшихүй, сэтгэл хөдлөл'!D54:H54)=0,"",ROUND(COUNTIF('Нийгэмшихүй, сэтгэл хөдлөл'!D54:H54,1)/5*100,1))</f>
        <v/>
      </c>
      <c r="E54" s="12">
        <f>IF(COUNT('Танин мэдэхүй'!D54:U54)=0,"",ROUND(COUNTIF('Танин мэдэхүй'!D54:U54,1)/18*100,1))</f>
        <v/>
      </c>
      <c r="F54" s="12">
        <f>COUNTIF('Бие бялдар'!D54:K54,1)+COUNTIF('Нийгэмшихүй, сэтгэл хөдлөл'!D54:H54,1)+COUNTIF('Танин мэдэхүй'!D54:U54,1)</f>
        <v/>
      </c>
      <c r="G54" s="12">
        <f>IF((COUNT('Бие бялдар'!D54:K54)+COUNT('Нийгэмшихүй, сэтгэл хөдлөл'!D54:H54)+COUNT('Танин мэдэхүй'!D54:U54))=0,"",ROUND(F54/31*100,1))</f>
        <v/>
      </c>
      <c r="H54" s="14">
        <f>IF(G54="","",IF(G54&gt;=Нэгтгэл!$K$4,"Хангалттай эзэмшиж байна",IF(G54&gt;=Нэгтгэл!$K$5,"Ахиж байна","Хөгжиж байна")))</f>
        <v/>
      </c>
    </row>
    <row r="55" ht="16" customHeight="1">
      <c r="A55" s="12" t="n">
        <v>49</v>
      </c>
      <c r="B55" s="13" t="inlineStr">
        <is>
          <t>Х-49</t>
        </is>
      </c>
      <c r="C55" s="12">
        <f>IF(COUNT('Бие бялдар'!D55:K55)=0,"",ROUND(COUNTIF('Бие бялдар'!D55:K55,1)/8*100,1))</f>
        <v/>
      </c>
      <c r="D55" s="12">
        <f>IF(COUNT('Нийгэмшихүй, сэтгэл хөдлөл'!D55:H55)=0,"",ROUND(COUNTIF('Нийгэмшихүй, сэтгэл хөдлөл'!D55:H55,1)/5*100,1))</f>
        <v/>
      </c>
      <c r="E55" s="12">
        <f>IF(COUNT('Танин мэдэхүй'!D55:U55)=0,"",ROUND(COUNTIF('Танин мэдэхүй'!D55:U55,1)/18*100,1))</f>
        <v/>
      </c>
      <c r="F55" s="12">
        <f>COUNTIF('Бие бялдар'!D55:K55,1)+COUNTIF('Нийгэмшихүй, сэтгэл хөдлөл'!D55:H55,1)+COUNTIF('Танин мэдэхүй'!D55:U55,1)</f>
        <v/>
      </c>
      <c r="G55" s="12">
        <f>IF((COUNT('Бие бялдар'!D55:K55)+COUNT('Нийгэмшихүй, сэтгэл хөдлөл'!D55:H55)+COUNT('Танин мэдэхүй'!D55:U55))=0,"",ROUND(F55/31*100,1))</f>
        <v/>
      </c>
      <c r="H55" s="14">
        <f>IF(G55="","",IF(G55&gt;=Нэгтгэл!$K$4,"Хангалттай эзэмшиж байна",IF(G55&gt;=Нэгтгэл!$K$5,"Ахиж байна","Хөгжиж байна")))</f>
        <v/>
      </c>
    </row>
    <row r="56">
      <c r="A56" s="5" t="inlineStr">
        <is>
          <t>Бүлгийн дундаж хувь</t>
        </is>
      </c>
      <c r="B56" s="15" t="n"/>
      <c r="C56" s="5">
        <f>IFERROR(ROUND(AVERAGE(C7:C55),1),"")</f>
        <v/>
      </c>
      <c r="D56" s="5">
        <f>IFERROR(ROUND(AVERAGE(D7:D55),1),"")</f>
        <v/>
      </c>
      <c r="E56" s="5">
        <f>IFERROR(ROUND(AVERAGE(E7:E55),1),"")</f>
        <v/>
      </c>
      <c r="F56" s="16" t="inlineStr"/>
      <c r="G56" s="5">
        <f>IFERROR(ROUND(AVERAGE(G7:G55),1),"")</f>
        <v/>
      </c>
      <c r="H56" s="16" t="inlineStr"/>
    </row>
    <row r="57">
      <c r="A57" s="17" t="inlineStr">
        <is>
          <t>Хангалттай эзэмшиж байна (тоо)</t>
        </is>
      </c>
      <c r="B57" s="15" t="n"/>
      <c r="C57" s="5">
        <f>COUNTIFS(C7:C55,"&gt;="&amp;Нэгтгэл!$K$4)</f>
        <v/>
      </c>
      <c r="D57" s="5">
        <f>COUNTIFS(D7:D55,"&gt;="&amp;Нэгтгэл!$K$4)</f>
        <v/>
      </c>
      <c r="E57" s="5">
        <f>COUNTIFS(E7:E55,"&gt;="&amp;Нэгтгэл!$K$4)</f>
        <v/>
      </c>
      <c r="F57" s="16" t="inlineStr"/>
      <c r="G57" s="5">
        <f>COUNTIFS(G7:G55,"&gt;="&amp;Нэгтгэл!$K$4)</f>
        <v/>
      </c>
      <c r="H57" s="5">
        <f>COUNTIF(H7:H55,"Хангалттай эзэмшиж байна")</f>
        <v/>
      </c>
    </row>
    <row r="58">
      <c r="A58" s="17" t="inlineStr">
        <is>
          <t>Ахиж байна (тоо)</t>
        </is>
      </c>
      <c r="B58" s="15" t="n"/>
      <c r="C58" s="5">
        <f>COUNTIFS(C7:C55,"&gt;="&amp;Нэгтгэл!$K$5,C7:C55,"&lt;"&amp;Нэгтгэл!$K$4)</f>
        <v/>
      </c>
      <c r="D58" s="5">
        <f>COUNTIFS(D7:D55,"&gt;="&amp;Нэгтгэл!$K$5,D7:D55,"&lt;"&amp;Нэгтгэл!$K$4)</f>
        <v/>
      </c>
      <c r="E58" s="5">
        <f>COUNTIFS(E7:E55,"&gt;="&amp;Нэгтгэл!$K$5,E7:E55,"&lt;"&amp;Нэгтгэл!$K$4)</f>
        <v/>
      </c>
      <c r="F58" s="16" t="inlineStr"/>
      <c r="G58" s="5">
        <f>COUNTIFS(G7:G55,"&gt;="&amp;Нэгтгэл!$K$5,G7:G55,"&lt;"&amp;Нэгтгэл!$K$4)</f>
        <v/>
      </c>
      <c r="H58" s="5">
        <f>COUNTIF(H7:H55,"Ахиж байна")</f>
        <v/>
      </c>
    </row>
    <row r="59">
      <c r="A59" s="17" t="inlineStr">
        <is>
          <t>Хөгжиж байна (тоо)</t>
        </is>
      </c>
      <c r="B59" s="15" t="n"/>
      <c r="C59" s="5">
        <f>COUNTIFS(C7:C55,"&lt;"&amp;Нэгтгэл!$K$5)</f>
        <v/>
      </c>
      <c r="D59" s="5">
        <f>COUNTIFS(D7:D55,"&lt;"&amp;Нэгтгэл!$K$5)</f>
        <v/>
      </c>
      <c r="E59" s="5">
        <f>COUNTIFS(E7:E55,"&lt;"&amp;Нэгтгэл!$K$5)</f>
        <v/>
      </c>
      <c r="F59" s="16" t="inlineStr"/>
      <c r="G59" s="5">
        <f>COUNTIFS(G7:G55,"&lt;"&amp;Нэгтгэл!$K$5)</f>
        <v/>
      </c>
      <c r="H59" s="5">
        <f>COUNTIF(H7:H55,"Хөгжиж байна")</f>
        <v/>
      </c>
    </row>
  </sheetData>
  <mergeCells count="14">
    <mergeCell ref="J3:K3"/>
    <mergeCell ref="H3:H6"/>
    <mergeCell ref="F3:F6"/>
    <mergeCell ref="A57:B57"/>
    <mergeCell ref="A59:B59"/>
    <mergeCell ref="G3:G6"/>
    <mergeCell ref="A2:H2"/>
    <mergeCell ref="A3:A6"/>
    <mergeCell ref="B3:B6"/>
    <mergeCell ref="C3:E3"/>
    <mergeCell ref="C4:E4"/>
    <mergeCell ref="A1:H1"/>
    <mergeCell ref="A56:B56"/>
    <mergeCell ref="A58:B58"/>
  </mergeCells>
  <printOptions horizontalCentered="1"/>
  <pageMargins left="0.5905511811023622" right="0.1968503937007874" top="0.5905511811023622" bottom="0.5905511811023622" header="0.3149606299212598" footer="0.3149606299212598"/>
  <pageSetup orientation="landscape" paperSize="9" fitToHeight="2" fitToWidth="1"/>
</worksheet>
</file>

<file path=xl/worksheets/sheet2.xml><?xml version="1.0" encoding="utf-8"?>
<worksheet xmlns="http://schemas.openxmlformats.org/spreadsheetml/2006/main">
  <sheetPr>
    <outlinePr summaryBelow="1" summaryRight="1"/>
    <pageSetUpPr fitToPage="1"/>
  </sheetPr>
  <dimension ref="A1:P59"/>
  <sheetViews>
    <sheetView workbookViewId="0">
      <selection activeCell="A1" sqref="A1"/>
    </sheetView>
  </sheetViews>
  <sheetFormatPr baseColWidth="8" defaultRowHeight="15"/>
  <cols>
    <col width="4.5" customWidth="1" min="1" max="1"/>
    <col width="8" customWidth="1" min="2" max="2"/>
    <col width="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7" customWidth="1" min="12" max="12"/>
    <col width="7" customWidth="1" min="13" max="13"/>
    <col width="8" customWidth="1" min="14" max="14"/>
    <col width="7" customWidth="1" min="15" max="15"/>
    <col width="14" customWidth="1" min="16" max="16"/>
  </cols>
  <sheetData>
    <row r="1">
      <c r="A1" s="1" t="inlineStr">
        <is>
          <t>................ ЦЭЦЭРЛЭГИЙН БАГА БҮЛГИЙН (2 НАС) ГАРААНЫ (ОНОШЛОХ) ҮНЭЛГЭЭ</t>
        </is>
      </c>
    </row>
    <row r="2" ht="30" customHeight="1">
      <c r="A2" s="18" t="inlineStr">
        <is>
          <t>Хөгжлийн чиглэл: Бие бялдар          Огноо: 20.... оны .... сар          Багш: ................................          Чадна = 1, Чадахгүй = 0  (А/79-ийн 2.4: «Нялх, балчир насны хүүхдийн хөгжлийг дэмжих хөтөлбөр», 25–36 сар)</t>
        </is>
      </c>
    </row>
    <row r="3">
      <c r="A3" s="3" t="inlineStr">
        <is>
          <t>№</t>
        </is>
      </c>
      <c r="B3" s="3" t="inlineStr">
        <is>
          <t>Хүүхдийн код</t>
        </is>
      </c>
      <c r="C3" s="4" t="n"/>
      <c r="D3" s="3" t="inlineStr">
        <is>
          <t>Хөгжлийн чиглэл: Бие бялдар</t>
        </is>
      </c>
      <c r="E3" s="4" t="n"/>
      <c r="F3" s="4" t="n"/>
      <c r="G3" s="4" t="n"/>
      <c r="H3" s="4" t="n"/>
      <c r="I3" s="4" t="n"/>
      <c r="J3" s="4" t="n"/>
      <c r="K3" s="4" t="n"/>
      <c r="L3" s="5" t="inlineStr">
        <is>
          <t>Чадна (1)</t>
        </is>
      </c>
      <c r="M3" s="5" t="inlineStr">
        <is>
          <t>Хувь</t>
        </is>
      </c>
      <c r="N3" s="5" t="inlineStr">
        <is>
          <t>Чадахгүй (0)</t>
        </is>
      </c>
      <c r="O3" s="5" t="inlineStr">
        <is>
          <t>Хувь</t>
        </is>
      </c>
      <c r="P3" s="5" t="inlineStr">
        <is>
          <t>Түвшин</t>
        </is>
      </c>
    </row>
    <row r="4" ht="56" customHeight="1">
      <c r="A4" s="4" t="n"/>
      <c r="B4" s="4" t="n"/>
      <c r="C4" s="4" t="n"/>
      <c r="D4" s="6" t="inlineStr">
        <is>
          <t>Авирна.</t>
        </is>
      </c>
      <c r="E4" s="6" t="inlineStr">
        <is>
          <t>Гүйхдээ сайн, гүйнгээ чигээ өөрчилж огцом эргэнэ.</t>
        </is>
      </c>
      <c r="F4" s="6" t="inlineStr">
        <is>
          <t>Гурван дугуйт унана.</t>
        </is>
      </c>
      <c r="G4" s="6" t="inlineStr">
        <is>
          <t>Баруун зүүн хөлөө ээлжилж шатаар дээш, доош алхана.</t>
        </is>
      </c>
      <c r="H4" s="6" t="inlineStr">
        <is>
          <t>Үсрэхийг оролдоно.</t>
        </is>
      </c>
      <c r="I4" s="6" t="inlineStr">
        <is>
          <t>Шүд, гараа угаана.</t>
        </is>
      </c>
      <c r="J4" s="6" t="inlineStr">
        <is>
          <t>Хоолоо сайн, удаан зажилж иднэ.</t>
        </is>
      </c>
      <c r="K4" s="6" t="inlineStr">
        <is>
          <t>Өөрөө хувцсаа өмсөж тайлна.</t>
        </is>
      </c>
      <c r="L4" s="4" t="n"/>
      <c r="M4" s="4" t="n"/>
      <c r="N4" s="4" t="n"/>
      <c r="O4" s="4" t="n"/>
      <c r="P4" s="4" t="n"/>
    </row>
    <row r="5" ht="85" customHeight="1">
      <c r="A5" s="4" t="n"/>
      <c r="B5" s="4" t="n"/>
      <c r="C5" s="4" t="n"/>
      <c r="D5" s="19" t="inlineStr">
        <is>
          <t>СҮД: — (шууд тохирох СҮД байхгүй)</t>
        </is>
      </c>
      <c r="E5" s="19" t="inlineStr">
        <is>
          <t>СҮД: ХЭМ1.1г. Байрандаа болон чиглэлээ өөрчилж алхаж, гүйнэ.</t>
        </is>
      </c>
      <c r="F5" s="19" t="inlineStr">
        <is>
          <t>СҮД: — (шууд тохирох СҮД байхгүй)</t>
        </is>
      </c>
      <c r="G5" s="19" t="inlineStr">
        <is>
          <t>СҮД: ХЭМ1.1л. Шатны бариулаас барьж 10 гишгүүрт өгсөж, уруудна.</t>
        </is>
      </c>
      <c r="H5" s="19" t="inlineStr">
        <is>
          <t>СҮД: ХЭМ1.1и. Хоёр хөл дээр байрандаа үсэрч бууна.</t>
        </is>
      </c>
      <c r="I5" s="19" t="inlineStr">
        <is>
          <t>СҮД: ХЭМ1.2а. Хувийн ариун цэврийг сахих үйлийг насанд хүрэгчийн дэмжлэгтэйгээр хамтран хийнэ.</t>
        </is>
      </c>
      <c r="J5" s="19" t="inlineStr">
        <is>
          <t>СҮД: ХЭМ1.2г. Хоолны хэрэгслийг нэрлэж, зориулалтын дагуу хэрэглэнэ.</t>
        </is>
      </c>
      <c r="K5" s="19" t="inlineStr">
        <is>
          <t>СҮД: — (шууд тохирох СҮД байхгүй)</t>
        </is>
      </c>
      <c r="L5" s="4" t="n"/>
      <c r="M5" s="4" t="n"/>
      <c r="N5" s="4" t="n"/>
      <c r="O5" s="4" t="n"/>
      <c r="P5" s="4" t="n"/>
    </row>
    <row r="6" ht="14" customHeight="1">
      <c r="A6" s="4" t="n"/>
      <c r="B6" s="4" t="n"/>
      <c r="C6" s="4" t="n"/>
      <c r="D6" s="10" t="inlineStr">
        <is>
          <t>1 / 0</t>
        </is>
      </c>
      <c r="E6" s="10" t="inlineStr">
        <is>
          <t>1 / 0</t>
        </is>
      </c>
      <c r="F6" s="10" t="inlineStr">
        <is>
          <t>1 / 0</t>
        </is>
      </c>
      <c r="G6" s="10" t="inlineStr">
        <is>
          <t>1 / 0</t>
        </is>
      </c>
      <c r="H6" s="10" t="inlineStr">
        <is>
          <t>1 / 0</t>
        </is>
      </c>
      <c r="I6" s="10" t="inlineStr">
        <is>
          <t>1 / 0</t>
        </is>
      </c>
      <c r="J6" s="10" t="inlineStr">
        <is>
          <t>1 / 0</t>
        </is>
      </c>
      <c r="K6" s="10" t="inlineStr">
        <is>
          <t>1 / 0</t>
        </is>
      </c>
      <c r="L6" s="4" t="n"/>
      <c r="M6" s="4" t="n"/>
      <c r="N6" s="4" t="n"/>
      <c r="O6" s="4" t="n"/>
      <c r="P6" s="4" t="n"/>
    </row>
    <row r="7" ht="16" customHeight="1">
      <c r="A7" s="12" t="n">
        <v>1</v>
      </c>
      <c r="B7" s="12">
        <f>IF(Нэгтгэл!B7="","",Нэгтгэл!B7)</f>
        <v/>
      </c>
      <c r="C7" s="4" t="n"/>
      <c r="D7" s="13" t="n">
        <v>1</v>
      </c>
      <c r="E7" s="13" t="n">
        <v>1</v>
      </c>
      <c r="F7" s="13" t="n">
        <v>1</v>
      </c>
      <c r="G7" s="13" t="n">
        <v>0</v>
      </c>
      <c r="H7" s="13" t="n">
        <v>1</v>
      </c>
      <c r="I7" s="13" t="n">
        <v>1</v>
      </c>
      <c r="J7" s="13" t="n">
        <v>1</v>
      </c>
      <c r="K7" s="13" t="n">
        <v>1</v>
      </c>
      <c r="L7" s="12">
        <f>COUNTIF(D7:K7,1)</f>
        <v/>
      </c>
      <c r="M7" s="12">
        <f>IF(COUNT(D7:K7)=0,"",ROUND(L7/8*100,1))</f>
        <v/>
      </c>
      <c r="N7" s="12">
        <f>COUNTIF(D7:K7,0)</f>
        <v/>
      </c>
      <c r="O7" s="12">
        <f>IF(COUNT(D7:K7)=0,"",ROUND(N7/8*100,1))</f>
        <v/>
      </c>
      <c r="P7" s="20">
        <f>IF(M7="","",IF(M7&gt;=Нэгтгэл!$K$4,"Хангалттай эзэмшиж байна",IF(M7&gt;=Нэгтгэл!$K$5,"Ахиж байна","Хөгжиж байна")))</f>
        <v/>
      </c>
    </row>
    <row r="8" ht="16" customHeight="1">
      <c r="A8" s="12" t="n">
        <v>2</v>
      </c>
      <c r="B8" s="12">
        <f>IF(Нэгтгэл!B8="","",Нэгтгэл!B8)</f>
        <v/>
      </c>
      <c r="C8" s="4" t="n"/>
      <c r="D8" s="13" t="n">
        <v>0</v>
      </c>
      <c r="E8" s="13" t="n">
        <v>1</v>
      </c>
      <c r="F8" s="13" t="n">
        <v>0</v>
      </c>
      <c r="G8" s="13" t="n">
        <v>0</v>
      </c>
      <c r="H8" s="13" t="n">
        <v>0</v>
      </c>
      <c r="I8" s="13" t="n">
        <v>1</v>
      </c>
      <c r="J8" s="13" t="n">
        <v>1</v>
      </c>
      <c r="K8" s="13" t="n">
        <v>1</v>
      </c>
      <c r="L8" s="12">
        <f>COUNTIF(D8:K8,1)</f>
        <v/>
      </c>
      <c r="M8" s="12">
        <f>IF(COUNT(D8:K8)=0,"",ROUND(L8/8*100,1))</f>
        <v/>
      </c>
      <c r="N8" s="12">
        <f>COUNTIF(D8:K8,0)</f>
        <v/>
      </c>
      <c r="O8" s="12">
        <f>IF(COUNT(D8:K8)=0,"",ROUND(N8/8*100,1))</f>
        <v/>
      </c>
      <c r="P8" s="20">
        <f>IF(M8="","",IF(M8&gt;=Нэгтгэл!$K$4,"Хангалттай эзэмшиж байна",IF(M8&gt;=Нэгтгэл!$K$5,"Ахиж байна","Хөгжиж байна")))</f>
        <v/>
      </c>
    </row>
    <row r="9" ht="16" customHeight="1">
      <c r="A9" s="12" t="n">
        <v>3</v>
      </c>
      <c r="B9" s="12">
        <f>IF(Нэгтгэл!B9="","",Нэгтгэл!B9)</f>
        <v/>
      </c>
      <c r="C9" s="4" t="n"/>
      <c r="D9" s="13" t="n">
        <v>1</v>
      </c>
      <c r="E9" s="13" t="n">
        <v>0</v>
      </c>
      <c r="F9" s="13" t="n">
        <v>1</v>
      </c>
      <c r="G9" s="13" t="n">
        <v>0</v>
      </c>
      <c r="H9" s="13" t="n">
        <v>1</v>
      </c>
      <c r="I9" s="13" t="n">
        <v>1</v>
      </c>
      <c r="J9" s="13" t="n">
        <v>1</v>
      </c>
      <c r="K9" s="13" t="n">
        <v>1</v>
      </c>
      <c r="L9" s="12">
        <f>COUNTIF(D9:K9,1)</f>
        <v/>
      </c>
      <c r="M9" s="12">
        <f>IF(COUNT(D9:K9)=0,"",ROUND(L9/8*100,1))</f>
        <v/>
      </c>
      <c r="N9" s="12">
        <f>COUNTIF(D9:K9,0)</f>
        <v/>
      </c>
      <c r="O9" s="12">
        <f>IF(COUNT(D9:K9)=0,"",ROUND(N9/8*100,1))</f>
        <v/>
      </c>
      <c r="P9" s="20">
        <f>IF(M9="","",IF(M9&gt;=Нэгтгэл!$K$4,"Хангалттай эзэмшиж байна",IF(M9&gt;=Нэгтгэл!$K$5,"Ахиж байна","Хөгжиж байна")))</f>
        <v/>
      </c>
    </row>
    <row r="10" ht="16" customHeight="1">
      <c r="A10" s="12" t="n">
        <v>4</v>
      </c>
      <c r="B10" s="12">
        <f>IF(Нэгтгэл!B10="","",Нэгтгэл!B10)</f>
        <v/>
      </c>
      <c r="C10" s="4" t="n"/>
      <c r="D10" s="13" t="n">
        <v>0</v>
      </c>
      <c r="E10" s="13" t="n">
        <v>0</v>
      </c>
      <c r="F10" s="13" t="n">
        <v>0</v>
      </c>
      <c r="G10" s="13" t="n">
        <v>0</v>
      </c>
      <c r="H10" s="13" t="n">
        <v>1</v>
      </c>
      <c r="I10" s="13" t="n">
        <v>1</v>
      </c>
      <c r="J10" s="13" t="n">
        <v>1</v>
      </c>
      <c r="K10" s="13" t="n">
        <v>1</v>
      </c>
      <c r="L10" s="12">
        <f>COUNTIF(D10:K10,1)</f>
        <v/>
      </c>
      <c r="M10" s="12">
        <f>IF(COUNT(D10:K10)=0,"",ROUND(L10/8*100,1))</f>
        <v/>
      </c>
      <c r="N10" s="12">
        <f>COUNTIF(D10:K10,0)</f>
        <v/>
      </c>
      <c r="O10" s="12">
        <f>IF(COUNT(D10:K10)=0,"",ROUND(N10/8*100,1))</f>
        <v/>
      </c>
      <c r="P10" s="20">
        <f>IF(M10="","",IF(M10&gt;=Нэгтгэл!$K$4,"Хангалттай эзэмшиж байна",IF(M10&gt;=Нэгтгэл!$K$5,"Ахиж байна","Хөгжиж байна")))</f>
        <v/>
      </c>
    </row>
    <row r="11" ht="16" customHeight="1">
      <c r="A11" s="12" t="n">
        <v>5</v>
      </c>
      <c r="B11" s="12">
        <f>IF(Нэгтгэл!B11="","",Нэгтгэл!B11)</f>
        <v/>
      </c>
      <c r="C11" s="4" t="n"/>
      <c r="D11" s="13" t="n">
        <v>1</v>
      </c>
      <c r="E11" s="13" t="n">
        <v>1</v>
      </c>
      <c r="F11" s="13" t="n">
        <v>0</v>
      </c>
      <c r="G11" s="13" t="n">
        <v>1</v>
      </c>
      <c r="H11" s="13" t="n">
        <v>1</v>
      </c>
      <c r="I11" s="13" t="n">
        <v>1</v>
      </c>
      <c r="J11" s="13" t="n">
        <v>1</v>
      </c>
      <c r="K11" s="13" t="n">
        <v>1</v>
      </c>
      <c r="L11" s="12">
        <f>COUNTIF(D11:K11,1)</f>
        <v/>
      </c>
      <c r="M11" s="12">
        <f>IF(COUNT(D11:K11)=0,"",ROUND(L11/8*100,1))</f>
        <v/>
      </c>
      <c r="N11" s="12">
        <f>COUNTIF(D11:K11,0)</f>
        <v/>
      </c>
      <c r="O11" s="12">
        <f>IF(COUNT(D11:K11)=0,"",ROUND(N11/8*100,1))</f>
        <v/>
      </c>
      <c r="P11" s="20">
        <f>IF(M11="","",IF(M11&gt;=Нэгтгэл!$K$4,"Хангалттай эзэмшиж байна",IF(M11&gt;=Нэгтгэл!$K$5,"Ахиж байна","Хөгжиж байна")))</f>
        <v/>
      </c>
    </row>
    <row r="12" ht="16" customHeight="1">
      <c r="A12" s="12" t="n">
        <v>6</v>
      </c>
      <c r="B12" s="12">
        <f>IF(Нэгтгэл!B12="","",Нэгтгэл!B12)</f>
        <v/>
      </c>
      <c r="C12" s="4" t="n"/>
      <c r="D12" s="13" t="n">
        <v>1</v>
      </c>
      <c r="E12" s="13" t="n">
        <v>1</v>
      </c>
      <c r="F12" s="13" t="n">
        <v>1</v>
      </c>
      <c r="G12" s="13" t="n">
        <v>1</v>
      </c>
      <c r="H12" s="13" t="n">
        <v>1</v>
      </c>
      <c r="I12" s="13" t="n">
        <v>1</v>
      </c>
      <c r="J12" s="13" t="n">
        <v>0</v>
      </c>
      <c r="K12" s="13" t="n">
        <v>1</v>
      </c>
      <c r="L12" s="12">
        <f>COUNTIF(D12:K12,1)</f>
        <v/>
      </c>
      <c r="M12" s="12">
        <f>IF(COUNT(D12:K12)=0,"",ROUND(L12/8*100,1))</f>
        <v/>
      </c>
      <c r="N12" s="12">
        <f>COUNTIF(D12:K12,0)</f>
        <v/>
      </c>
      <c r="O12" s="12">
        <f>IF(COUNT(D12:K12)=0,"",ROUND(N12/8*100,1))</f>
        <v/>
      </c>
      <c r="P12" s="20">
        <f>IF(M12="","",IF(M12&gt;=Нэгтгэл!$K$4,"Хангалттай эзэмшиж байна",IF(M12&gt;=Нэгтгэл!$K$5,"Ахиж байна","Хөгжиж байна")))</f>
        <v/>
      </c>
    </row>
    <row r="13" ht="16" customHeight="1">
      <c r="A13" s="12" t="n">
        <v>7</v>
      </c>
      <c r="B13" s="12">
        <f>IF(Нэгтгэл!B13="","",Нэгтгэл!B13)</f>
        <v/>
      </c>
      <c r="C13" s="4" t="n"/>
      <c r="D13" s="13" t="n">
        <v>1</v>
      </c>
      <c r="E13" s="13" t="n">
        <v>0</v>
      </c>
      <c r="F13" s="13" t="n">
        <v>1</v>
      </c>
      <c r="G13" s="13" t="n">
        <v>1</v>
      </c>
      <c r="H13" s="13" t="n">
        <v>0</v>
      </c>
      <c r="I13" s="13" t="n">
        <v>1</v>
      </c>
      <c r="J13" s="13" t="n">
        <v>1</v>
      </c>
      <c r="K13" s="13" t="n">
        <v>1</v>
      </c>
      <c r="L13" s="12">
        <f>COUNTIF(D13:K13,1)</f>
        <v/>
      </c>
      <c r="M13" s="12">
        <f>IF(COUNT(D13:K13)=0,"",ROUND(L13/8*100,1))</f>
        <v/>
      </c>
      <c r="N13" s="12">
        <f>COUNTIF(D13:K13,0)</f>
        <v/>
      </c>
      <c r="O13" s="12">
        <f>IF(COUNT(D13:K13)=0,"",ROUND(N13/8*100,1))</f>
        <v/>
      </c>
      <c r="P13" s="20">
        <f>IF(M13="","",IF(M13&gt;=Нэгтгэл!$K$4,"Хангалттай эзэмшиж байна",IF(M13&gt;=Нэгтгэл!$K$5,"Ахиж байна","Хөгжиж байна")))</f>
        <v/>
      </c>
    </row>
    <row r="14" ht="16" customHeight="1">
      <c r="A14" s="12" t="n">
        <v>8</v>
      </c>
      <c r="B14" s="12">
        <f>IF(Нэгтгэл!B14="","",Нэгтгэл!B14)</f>
        <v/>
      </c>
      <c r="C14" s="4" t="n"/>
      <c r="D14" s="13" t="n">
        <v>1</v>
      </c>
      <c r="E14" s="13" t="n">
        <v>1</v>
      </c>
      <c r="F14" s="13" t="n">
        <v>1</v>
      </c>
      <c r="G14" s="13" t="n">
        <v>1</v>
      </c>
      <c r="H14" s="13" t="n">
        <v>0</v>
      </c>
      <c r="I14" s="13" t="n">
        <v>1</v>
      </c>
      <c r="J14" s="13" t="n">
        <v>1</v>
      </c>
      <c r="K14" s="13" t="n">
        <v>1</v>
      </c>
      <c r="L14" s="12">
        <f>COUNTIF(D14:K14,1)</f>
        <v/>
      </c>
      <c r="M14" s="12">
        <f>IF(COUNT(D14:K14)=0,"",ROUND(L14/8*100,1))</f>
        <v/>
      </c>
      <c r="N14" s="12">
        <f>COUNTIF(D14:K14,0)</f>
        <v/>
      </c>
      <c r="O14" s="12">
        <f>IF(COUNT(D14:K14)=0,"",ROUND(N14/8*100,1))</f>
        <v/>
      </c>
      <c r="P14" s="20">
        <f>IF(M14="","",IF(M14&gt;=Нэгтгэл!$K$4,"Хангалттай эзэмшиж байна",IF(M14&gt;=Нэгтгэл!$K$5,"Ахиж байна","Хөгжиж байна")))</f>
        <v/>
      </c>
    </row>
    <row r="15" ht="16" customHeight="1">
      <c r="A15" s="12" t="n">
        <v>9</v>
      </c>
      <c r="B15" s="12">
        <f>IF(Нэгтгэл!B15="","",Нэгтгэл!B15)</f>
        <v/>
      </c>
      <c r="C15" s="4" t="n"/>
      <c r="D15" s="13" t="n">
        <v>1</v>
      </c>
      <c r="E15" s="13" t="n">
        <v>1</v>
      </c>
      <c r="F15" s="13" t="n">
        <v>0</v>
      </c>
      <c r="G15" s="13" t="n">
        <v>1</v>
      </c>
      <c r="H15" s="13" t="n">
        <v>1</v>
      </c>
      <c r="I15" s="13" t="n">
        <v>1</v>
      </c>
      <c r="J15" s="13" t="n">
        <v>0</v>
      </c>
      <c r="K15" s="13" t="n">
        <v>0</v>
      </c>
      <c r="L15" s="12">
        <f>COUNTIF(D15:K15,1)</f>
        <v/>
      </c>
      <c r="M15" s="12">
        <f>IF(COUNT(D15:K15)=0,"",ROUND(L15/8*100,1))</f>
        <v/>
      </c>
      <c r="N15" s="12">
        <f>COUNTIF(D15:K15,0)</f>
        <v/>
      </c>
      <c r="O15" s="12">
        <f>IF(COUNT(D15:K15)=0,"",ROUND(N15/8*100,1))</f>
        <v/>
      </c>
      <c r="P15" s="20">
        <f>IF(M15="","",IF(M15&gt;=Нэгтгэл!$K$4,"Хангалттай эзэмшиж байна",IF(M15&gt;=Нэгтгэл!$K$5,"Ахиж байна","Хөгжиж байна")))</f>
        <v/>
      </c>
    </row>
    <row r="16" ht="16" customHeight="1">
      <c r="A16" s="12" t="n">
        <v>10</v>
      </c>
      <c r="B16" s="12">
        <f>IF(Нэгтгэл!B16="","",Нэгтгэл!B16)</f>
        <v/>
      </c>
      <c r="C16" s="4" t="n"/>
      <c r="D16" s="13" t="n">
        <v>1</v>
      </c>
      <c r="E16" s="13" t="n">
        <v>1</v>
      </c>
      <c r="F16" s="13" t="n">
        <v>1</v>
      </c>
      <c r="G16" s="13" t="n">
        <v>1</v>
      </c>
      <c r="H16" s="13" t="n">
        <v>0</v>
      </c>
      <c r="I16" s="13" t="n">
        <v>1</v>
      </c>
      <c r="J16" s="13" t="n">
        <v>1</v>
      </c>
      <c r="K16" s="13" t="n">
        <v>0</v>
      </c>
      <c r="L16" s="12">
        <f>COUNTIF(D16:K16,1)</f>
        <v/>
      </c>
      <c r="M16" s="12">
        <f>IF(COUNT(D16:K16)=0,"",ROUND(L16/8*100,1))</f>
        <v/>
      </c>
      <c r="N16" s="12">
        <f>COUNTIF(D16:K16,0)</f>
        <v/>
      </c>
      <c r="O16" s="12">
        <f>IF(COUNT(D16:K16)=0,"",ROUND(N16/8*100,1))</f>
        <v/>
      </c>
      <c r="P16" s="20">
        <f>IF(M16="","",IF(M16&gt;=Нэгтгэл!$K$4,"Хангалттай эзэмшиж байна",IF(M16&gt;=Нэгтгэл!$K$5,"Ахиж байна","Хөгжиж байна")))</f>
        <v/>
      </c>
    </row>
    <row r="17" ht="16" customHeight="1">
      <c r="A17" s="12" t="n">
        <v>11</v>
      </c>
      <c r="B17" s="12">
        <f>IF(Нэгтгэл!B17="","",Нэгтгэл!B17)</f>
        <v/>
      </c>
      <c r="C17" s="4" t="n"/>
      <c r="D17" s="13" t="n">
        <v>1</v>
      </c>
      <c r="E17" s="13" t="n">
        <v>1</v>
      </c>
      <c r="F17" s="13" t="n">
        <v>1</v>
      </c>
      <c r="G17" s="13" t="n">
        <v>1</v>
      </c>
      <c r="H17" s="13" t="n">
        <v>1</v>
      </c>
      <c r="I17" s="13" t="n">
        <v>1</v>
      </c>
      <c r="J17" s="13" t="n">
        <v>1</v>
      </c>
      <c r="K17" s="13" t="n">
        <v>1</v>
      </c>
      <c r="L17" s="12">
        <f>COUNTIF(D17:K17,1)</f>
        <v/>
      </c>
      <c r="M17" s="12">
        <f>IF(COUNT(D17:K17)=0,"",ROUND(L17/8*100,1))</f>
        <v/>
      </c>
      <c r="N17" s="12">
        <f>COUNTIF(D17:K17,0)</f>
        <v/>
      </c>
      <c r="O17" s="12">
        <f>IF(COUNT(D17:K17)=0,"",ROUND(N17/8*100,1))</f>
        <v/>
      </c>
      <c r="P17" s="20">
        <f>IF(M17="","",IF(M17&gt;=Нэгтгэл!$K$4,"Хангалттай эзэмшиж байна",IF(M17&gt;=Нэгтгэл!$K$5,"Ахиж байна","Хөгжиж байна")))</f>
        <v/>
      </c>
    </row>
    <row r="18" ht="16" customHeight="1">
      <c r="A18" s="12" t="n">
        <v>12</v>
      </c>
      <c r="B18" s="12">
        <f>IF(Нэгтгэл!B18="","",Нэгтгэл!B18)</f>
        <v/>
      </c>
      <c r="C18" s="4" t="n"/>
      <c r="D18" s="13" t="n">
        <v>1</v>
      </c>
      <c r="E18" s="13" t="n">
        <v>0</v>
      </c>
      <c r="F18" s="13" t="n">
        <v>1</v>
      </c>
      <c r="G18" s="13" t="n">
        <v>1</v>
      </c>
      <c r="H18" s="13" t="n">
        <v>1</v>
      </c>
      <c r="I18" s="13" t="n">
        <v>0</v>
      </c>
      <c r="J18" s="13" t="n">
        <v>0</v>
      </c>
      <c r="K18" s="13" t="n">
        <v>1</v>
      </c>
      <c r="L18" s="12">
        <f>COUNTIF(D18:K18,1)</f>
        <v/>
      </c>
      <c r="M18" s="12">
        <f>IF(COUNT(D18:K18)=0,"",ROUND(L18/8*100,1))</f>
        <v/>
      </c>
      <c r="N18" s="12">
        <f>COUNTIF(D18:K18,0)</f>
        <v/>
      </c>
      <c r="O18" s="12">
        <f>IF(COUNT(D18:K18)=0,"",ROUND(N18/8*100,1))</f>
        <v/>
      </c>
      <c r="P18" s="20">
        <f>IF(M18="","",IF(M18&gt;=Нэгтгэл!$K$4,"Хангалттай эзэмшиж байна",IF(M18&gt;=Нэгтгэл!$K$5,"Ахиж байна","Хөгжиж байна")))</f>
        <v/>
      </c>
    </row>
    <row r="19" ht="16" customHeight="1">
      <c r="A19" s="12" t="n">
        <v>13</v>
      </c>
      <c r="B19" s="12">
        <f>IF(Нэгтгэл!B19="","",Нэгтгэл!B19)</f>
        <v/>
      </c>
      <c r="C19" s="4" t="n"/>
      <c r="D19" s="13" t="n">
        <v>0</v>
      </c>
      <c r="E19" s="13" t="n">
        <v>0</v>
      </c>
      <c r="F19" s="13" t="n">
        <v>1</v>
      </c>
      <c r="G19" s="13" t="n">
        <v>0</v>
      </c>
      <c r="H19" s="13" t="n">
        <v>1</v>
      </c>
      <c r="I19" s="13" t="n">
        <v>1</v>
      </c>
      <c r="J19" s="13" t="n">
        <v>0</v>
      </c>
      <c r="K19" s="13" t="n">
        <v>1</v>
      </c>
      <c r="L19" s="12">
        <f>COUNTIF(D19:K19,1)</f>
        <v/>
      </c>
      <c r="M19" s="12">
        <f>IF(COUNT(D19:K19)=0,"",ROUND(L19/8*100,1))</f>
        <v/>
      </c>
      <c r="N19" s="12">
        <f>COUNTIF(D19:K19,0)</f>
        <v/>
      </c>
      <c r="O19" s="12">
        <f>IF(COUNT(D19:K19)=0,"",ROUND(N19/8*100,1))</f>
        <v/>
      </c>
      <c r="P19" s="20">
        <f>IF(M19="","",IF(M19&gt;=Нэгтгэл!$K$4,"Хангалттай эзэмшиж байна",IF(M19&gt;=Нэгтгэл!$K$5,"Ахиж байна","Хөгжиж байна")))</f>
        <v/>
      </c>
    </row>
    <row r="20" ht="16" customHeight="1">
      <c r="A20" s="12" t="n">
        <v>14</v>
      </c>
      <c r="B20" s="12">
        <f>IF(Нэгтгэл!B20="","",Нэгтгэл!B20)</f>
        <v/>
      </c>
      <c r="C20" s="4" t="n"/>
      <c r="D20" s="13" t="n">
        <v>1</v>
      </c>
      <c r="E20" s="13" t="n">
        <v>0</v>
      </c>
      <c r="F20" s="13" t="n">
        <v>0</v>
      </c>
      <c r="G20" s="13" t="n">
        <v>0</v>
      </c>
      <c r="H20" s="13" t="n">
        <v>1</v>
      </c>
      <c r="I20" s="13" t="n">
        <v>1</v>
      </c>
      <c r="J20" s="13" t="n">
        <v>1</v>
      </c>
      <c r="K20" s="13" t="n">
        <v>1</v>
      </c>
      <c r="L20" s="12">
        <f>COUNTIF(D20:K20,1)</f>
        <v/>
      </c>
      <c r="M20" s="12">
        <f>IF(COUNT(D20:K20)=0,"",ROUND(L20/8*100,1))</f>
        <v/>
      </c>
      <c r="N20" s="12">
        <f>COUNTIF(D20:K20,0)</f>
        <v/>
      </c>
      <c r="O20" s="12">
        <f>IF(COUNT(D20:K20)=0,"",ROUND(N20/8*100,1))</f>
        <v/>
      </c>
      <c r="P20" s="20">
        <f>IF(M20="","",IF(M20&gt;=Нэгтгэл!$K$4,"Хангалттай эзэмшиж байна",IF(M20&gt;=Нэгтгэл!$K$5,"Ахиж байна","Хөгжиж байна")))</f>
        <v/>
      </c>
    </row>
    <row r="21" ht="16" customHeight="1">
      <c r="A21" s="12" t="n">
        <v>15</v>
      </c>
      <c r="B21" s="12">
        <f>IF(Нэгтгэл!B21="","",Нэгтгэл!B21)</f>
        <v/>
      </c>
      <c r="C21" s="4" t="n"/>
      <c r="D21" s="13" t="n">
        <v>1</v>
      </c>
      <c r="E21" s="13" t="n">
        <v>0</v>
      </c>
      <c r="F21" s="13" t="n">
        <v>1</v>
      </c>
      <c r="G21" s="13" t="n">
        <v>1</v>
      </c>
      <c r="H21" s="13" t="n">
        <v>1</v>
      </c>
      <c r="I21" s="13" t="n">
        <v>1</v>
      </c>
      <c r="J21" s="13" t="n">
        <v>1</v>
      </c>
      <c r="K21" s="13" t="n">
        <v>0</v>
      </c>
      <c r="L21" s="12">
        <f>COUNTIF(D21:K21,1)</f>
        <v/>
      </c>
      <c r="M21" s="12">
        <f>IF(COUNT(D21:K21)=0,"",ROUND(L21/8*100,1))</f>
        <v/>
      </c>
      <c r="N21" s="12">
        <f>COUNTIF(D21:K21,0)</f>
        <v/>
      </c>
      <c r="O21" s="12">
        <f>IF(COUNT(D21:K21)=0,"",ROUND(N21/8*100,1))</f>
        <v/>
      </c>
      <c r="P21" s="20">
        <f>IF(M21="","",IF(M21&gt;=Нэгтгэл!$K$4,"Хангалттай эзэмшиж байна",IF(M21&gt;=Нэгтгэл!$K$5,"Ахиж байна","Хөгжиж байна")))</f>
        <v/>
      </c>
    </row>
    <row r="22" ht="16" customHeight="1">
      <c r="A22" s="12" t="n">
        <v>16</v>
      </c>
      <c r="B22" s="12">
        <f>IF(Нэгтгэл!B22="","",Нэгтгэл!B22)</f>
        <v/>
      </c>
      <c r="C22" s="4" t="n"/>
      <c r="D22" s="13" t="n">
        <v>1</v>
      </c>
      <c r="E22" s="13" t="n">
        <v>0</v>
      </c>
      <c r="F22" s="13" t="n">
        <v>1</v>
      </c>
      <c r="G22" s="13" t="n">
        <v>1</v>
      </c>
      <c r="H22" s="13" t="n">
        <v>0</v>
      </c>
      <c r="I22" s="13" t="n">
        <v>0</v>
      </c>
      <c r="J22" s="13" t="n">
        <v>1</v>
      </c>
      <c r="K22" s="13" t="n">
        <v>1</v>
      </c>
      <c r="L22" s="12">
        <f>COUNTIF(D22:K22,1)</f>
        <v/>
      </c>
      <c r="M22" s="12">
        <f>IF(COUNT(D22:K22)=0,"",ROUND(L22/8*100,1))</f>
        <v/>
      </c>
      <c r="N22" s="12">
        <f>COUNTIF(D22:K22,0)</f>
        <v/>
      </c>
      <c r="O22" s="12">
        <f>IF(COUNT(D22:K22)=0,"",ROUND(N22/8*100,1))</f>
        <v/>
      </c>
      <c r="P22" s="20">
        <f>IF(M22="","",IF(M22&gt;=Нэгтгэл!$K$4,"Хангалттай эзэмшиж байна",IF(M22&gt;=Нэгтгэл!$K$5,"Ахиж байна","Хөгжиж байна")))</f>
        <v/>
      </c>
    </row>
    <row r="23" ht="16" customHeight="1">
      <c r="A23" s="12" t="n">
        <v>17</v>
      </c>
      <c r="B23" s="12">
        <f>IF(Нэгтгэл!B23="","",Нэгтгэл!B23)</f>
        <v/>
      </c>
      <c r="C23" s="4" t="n"/>
      <c r="D23" s="13" t="n">
        <v>1</v>
      </c>
      <c r="E23" s="13" t="n">
        <v>1</v>
      </c>
      <c r="F23" s="13" t="n">
        <v>1</v>
      </c>
      <c r="G23" s="13" t="n">
        <v>0</v>
      </c>
      <c r="H23" s="13" t="n">
        <v>0</v>
      </c>
      <c r="I23" s="13" t="n">
        <v>1</v>
      </c>
      <c r="J23" s="13" t="n">
        <v>0</v>
      </c>
      <c r="K23" s="13" t="n">
        <v>1</v>
      </c>
      <c r="L23" s="12">
        <f>COUNTIF(D23:K23,1)</f>
        <v/>
      </c>
      <c r="M23" s="12">
        <f>IF(COUNT(D23:K23)=0,"",ROUND(L23/8*100,1))</f>
        <v/>
      </c>
      <c r="N23" s="12">
        <f>COUNTIF(D23:K23,0)</f>
        <v/>
      </c>
      <c r="O23" s="12">
        <f>IF(COUNT(D23:K23)=0,"",ROUND(N23/8*100,1))</f>
        <v/>
      </c>
      <c r="P23" s="20">
        <f>IF(M23="","",IF(M23&gt;=Нэгтгэл!$K$4,"Хангалттай эзэмшиж байна",IF(M23&gt;=Нэгтгэл!$K$5,"Ахиж байна","Хөгжиж байна")))</f>
        <v/>
      </c>
    </row>
    <row r="24" ht="16" customHeight="1">
      <c r="A24" s="12" t="n">
        <v>18</v>
      </c>
      <c r="B24" s="12">
        <f>IF(Нэгтгэл!B24="","",Нэгтгэл!B24)</f>
        <v/>
      </c>
      <c r="C24" s="4" t="n"/>
      <c r="D24" s="13" t="n">
        <v>1</v>
      </c>
      <c r="E24" s="13" t="n">
        <v>1</v>
      </c>
      <c r="F24" s="13" t="n">
        <v>0</v>
      </c>
      <c r="G24" s="13" t="n">
        <v>0</v>
      </c>
      <c r="H24" s="13" t="n">
        <v>1</v>
      </c>
      <c r="I24" s="13" t="n">
        <v>1</v>
      </c>
      <c r="J24" s="13" t="n">
        <v>1</v>
      </c>
      <c r="K24" s="13" t="n">
        <v>0</v>
      </c>
      <c r="L24" s="12">
        <f>COUNTIF(D24:K24,1)</f>
        <v/>
      </c>
      <c r="M24" s="12">
        <f>IF(COUNT(D24:K24)=0,"",ROUND(L24/8*100,1))</f>
        <v/>
      </c>
      <c r="N24" s="12">
        <f>COUNTIF(D24:K24,0)</f>
        <v/>
      </c>
      <c r="O24" s="12">
        <f>IF(COUNT(D24:K24)=0,"",ROUND(N24/8*100,1))</f>
        <v/>
      </c>
      <c r="P24" s="20">
        <f>IF(M24="","",IF(M24&gt;=Нэгтгэл!$K$4,"Хангалттай эзэмшиж байна",IF(M24&gt;=Нэгтгэл!$K$5,"Ахиж байна","Хөгжиж байна")))</f>
        <v/>
      </c>
    </row>
    <row r="25" ht="16" customHeight="1">
      <c r="A25" s="12" t="n">
        <v>19</v>
      </c>
      <c r="B25" s="12">
        <f>IF(Нэгтгэл!B25="","",Нэгтгэл!B25)</f>
        <v/>
      </c>
      <c r="C25" s="4" t="n"/>
      <c r="D25" s="13" t="n">
        <v>0</v>
      </c>
      <c r="E25" s="13" t="n">
        <v>0</v>
      </c>
      <c r="F25" s="13" t="n">
        <v>1</v>
      </c>
      <c r="G25" s="13" t="n">
        <v>1</v>
      </c>
      <c r="H25" s="13" t="n">
        <v>0</v>
      </c>
      <c r="I25" s="13" t="n">
        <v>1</v>
      </c>
      <c r="J25" s="13" t="n">
        <v>1</v>
      </c>
      <c r="K25" s="13" t="n">
        <v>1</v>
      </c>
      <c r="L25" s="12">
        <f>COUNTIF(D25:K25,1)</f>
        <v/>
      </c>
      <c r="M25" s="12">
        <f>IF(COUNT(D25:K25)=0,"",ROUND(L25/8*100,1))</f>
        <v/>
      </c>
      <c r="N25" s="12">
        <f>COUNTIF(D25:K25,0)</f>
        <v/>
      </c>
      <c r="O25" s="12">
        <f>IF(COUNT(D25:K25)=0,"",ROUND(N25/8*100,1))</f>
        <v/>
      </c>
      <c r="P25" s="20">
        <f>IF(M25="","",IF(M25&gt;=Нэгтгэл!$K$4,"Хангалттай эзэмшиж байна",IF(M25&gt;=Нэгтгэл!$K$5,"Ахиж байна","Хөгжиж байна")))</f>
        <v/>
      </c>
    </row>
    <row r="26" ht="16" customHeight="1">
      <c r="A26" s="12" t="n">
        <v>20</v>
      </c>
      <c r="B26" s="12">
        <f>IF(Нэгтгэл!B26="","",Нэгтгэл!B26)</f>
        <v/>
      </c>
      <c r="C26" s="4" t="n"/>
      <c r="D26" s="13" t="n">
        <v>1</v>
      </c>
      <c r="E26" s="13" t="n">
        <v>0</v>
      </c>
      <c r="F26" s="13" t="n">
        <v>1</v>
      </c>
      <c r="G26" s="13" t="n">
        <v>1</v>
      </c>
      <c r="H26" s="13" t="n">
        <v>1</v>
      </c>
      <c r="I26" s="13" t="n">
        <v>0</v>
      </c>
      <c r="J26" s="13" t="n">
        <v>1</v>
      </c>
      <c r="K26" s="13" t="n">
        <v>1</v>
      </c>
      <c r="L26" s="12">
        <f>COUNTIF(D26:K26,1)</f>
        <v/>
      </c>
      <c r="M26" s="12">
        <f>IF(COUNT(D26:K26)=0,"",ROUND(L26/8*100,1))</f>
        <v/>
      </c>
      <c r="N26" s="12">
        <f>COUNTIF(D26:K26,0)</f>
        <v/>
      </c>
      <c r="O26" s="12">
        <f>IF(COUNT(D26:K26)=0,"",ROUND(N26/8*100,1))</f>
        <v/>
      </c>
      <c r="P26" s="20">
        <f>IF(M26="","",IF(M26&gt;=Нэгтгэл!$K$4,"Хангалттай эзэмшиж байна",IF(M26&gt;=Нэгтгэл!$K$5,"Ахиж байна","Хөгжиж байна")))</f>
        <v/>
      </c>
    </row>
    <row r="27" ht="16" customHeight="1">
      <c r="A27" s="12" t="n">
        <v>21</v>
      </c>
      <c r="B27" s="12">
        <f>IF(Нэгтгэл!B27="","",Нэгтгэл!B27)</f>
        <v/>
      </c>
      <c r="C27" s="4" t="n"/>
      <c r="D27" s="13" t="n">
        <v>1</v>
      </c>
      <c r="E27" s="13" t="n">
        <v>1</v>
      </c>
      <c r="F27" s="13" t="n">
        <v>1</v>
      </c>
      <c r="G27" s="13" t="n">
        <v>1</v>
      </c>
      <c r="H27" s="13" t="n">
        <v>0</v>
      </c>
      <c r="I27" s="13" t="n">
        <v>1</v>
      </c>
      <c r="J27" s="13" t="n">
        <v>0</v>
      </c>
      <c r="K27" s="13" t="n">
        <v>1</v>
      </c>
      <c r="L27" s="12">
        <f>COUNTIF(D27:K27,1)</f>
        <v/>
      </c>
      <c r="M27" s="12">
        <f>IF(COUNT(D27:K27)=0,"",ROUND(L27/8*100,1))</f>
        <v/>
      </c>
      <c r="N27" s="12">
        <f>COUNTIF(D27:K27,0)</f>
        <v/>
      </c>
      <c r="O27" s="12">
        <f>IF(COUNT(D27:K27)=0,"",ROUND(N27/8*100,1))</f>
        <v/>
      </c>
      <c r="P27" s="20">
        <f>IF(M27="","",IF(M27&gt;=Нэгтгэл!$K$4,"Хангалттай эзэмшиж байна",IF(M27&gt;=Нэгтгэл!$K$5,"Ахиж байна","Хөгжиж байна")))</f>
        <v/>
      </c>
    </row>
    <row r="28" ht="16" customHeight="1">
      <c r="A28" s="12" t="n">
        <v>22</v>
      </c>
      <c r="B28" s="12">
        <f>IF(Нэгтгэл!B28="","",Нэгтгэл!B28)</f>
        <v/>
      </c>
      <c r="C28" s="4" t="n"/>
      <c r="D28" s="13" t="n">
        <v>1</v>
      </c>
      <c r="E28" s="13" t="n">
        <v>1</v>
      </c>
      <c r="F28" s="13" t="n">
        <v>1</v>
      </c>
      <c r="G28" s="13" t="n">
        <v>1</v>
      </c>
      <c r="H28" s="13" t="n">
        <v>1</v>
      </c>
      <c r="I28" s="13" t="n">
        <v>1</v>
      </c>
      <c r="J28" s="13" t="n">
        <v>1</v>
      </c>
      <c r="K28" s="13" t="n">
        <v>1</v>
      </c>
      <c r="L28" s="12">
        <f>COUNTIF(D28:K28,1)</f>
        <v/>
      </c>
      <c r="M28" s="12">
        <f>IF(COUNT(D28:K28)=0,"",ROUND(L28/8*100,1))</f>
        <v/>
      </c>
      <c r="N28" s="12">
        <f>COUNTIF(D28:K28,0)</f>
        <v/>
      </c>
      <c r="O28" s="12">
        <f>IF(COUNT(D28:K28)=0,"",ROUND(N28/8*100,1))</f>
        <v/>
      </c>
      <c r="P28" s="20">
        <f>IF(M28="","",IF(M28&gt;=Нэгтгэл!$K$4,"Хангалттай эзэмшиж байна",IF(M28&gt;=Нэгтгэл!$K$5,"Ахиж байна","Хөгжиж байна")))</f>
        <v/>
      </c>
    </row>
    <row r="29" ht="16" customHeight="1">
      <c r="A29" s="12" t="n">
        <v>23</v>
      </c>
      <c r="B29" s="12">
        <f>IF(Нэгтгэл!B29="","",Нэгтгэл!B29)</f>
        <v/>
      </c>
      <c r="C29" s="4" t="n"/>
      <c r="D29" s="13" t="n">
        <v>0</v>
      </c>
      <c r="E29" s="13" t="n">
        <v>1</v>
      </c>
      <c r="F29" s="13" t="n">
        <v>1</v>
      </c>
      <c r="G29" s="13" t="n">
        <v>0</v>
      </c>
      <c r="H29" s="13" t="n">
        <v>1</v>
      </c>
      <c r="I29" s="13" t="n">
        <v>0</v>
      </c>
      <c r="J29" s="13" t="n">
        <v>1</v>
      </c>
      <c r="K29" s="13" t="n">
        <v>1</v>
      </c>
      <c r="L29" s="12">
        <f>COUNTIF(D29:K29,1)</f>
        <v/>
      </c>
      <c r="M29" s="12">
        <f>IF(COUNT(D29:K29)=0,"",ROUND(L29/8*100,1))</f>
        <v/>
      </c>
      <c r="N29" s="12">
        <f>COUNTIF(D29:K29,0)</f>
        <v/>
      </c>
      <c r="O29" s="12">
        <f>IF(COUNT(D29:K29)=0,"",ROUND(N29/8*100,1))</f>
        <v/>
      </c>
      <c r="P29" s="20">
        <f>IF(M29="","",IF(M29&gt;=Нэгтгэл!$K$4,"Хангалттай эзэмшиж байна",IF(M29&gt;=Нэгтгэл!$K$5,"Ахиж байна","Хөгжиж байна")))</f>
        <v/>
      </c>
    </row>
    <row r="30" ht="16" customHeight="1">
      <c r="A30" s="12" t="n">
        <v>24</v>
      </c>
      <c r="B30" s="12">
        <f>IF(Нэгтгэл!B30="","",Нэгтгэл!B30)</f>
        <v/>
      </c>
      <c r="C30" s="4" t="n"/>
      <c r="D30" s="13" t="n">
        <v>0</v>
      </c>
      <c r="E30" s="13" t="n">
        <v>1</v>
      </c>
      <c r="F30" s="13" t="n">
        <v>1</v>
      </c>
      <c r="G30" s="13" t="n">
        <v>0</v>
      </c>
      <c r="H30" s="13" t="n">
        <v>1</v>
      </c>
      <c r="I30" s="13" t="n">
        <v>0</v>
      </c>
      <c r="J30" s="13" t="n">
        <v>1</v>
      </c>
      <c r="K30" s="13" t="n">
        <v>0</v>
      </c>
      <c r="L30" s="12">
        <f>COUNTIF(D30:K30,1)</f>
        <v/>
      </c>
      <c r="M30" s="12">
        <f>IF(COUNT(D30:K30)=0,"",ROUND(L30/8*100,1))</f>
        <v/>
      </c>
      <c r="N30" s="12">
        <f>COUNTIF(D30:K30,0)</f>
        <v/>
      </c>
      <c r="O30" s="12">
        <f>IF(COUNT(D30:K30)=0,"",ROUND(N30/8*100,1))</f>
        <v/>
      </c>
      <c r="P30" s="20">
        <f>IF(M30="","",IF(M30&gt;=Нэгтгэл!$K$4,"Хангалттай эзэмшиж байна",IF(M30&gt;=Нэгтгэл!$K$5,"Ахиж байна","Хөгжиж байна")))</f>
        <v/>
      </c>
    </row>
    <row r="31" ht="16" customHeight="1">
      <c r="A31" s="12" t="n">
        <v>25</v>
      </c>
      <c r="B31" s="12">
        <f>IF(Нэгтгэл!B31="","",Нэгтгэл!B31)</f>
        <v/>
      </c>
      <c r="C31" s="4" t="n"/>
      <c r="D31" s="13" t="n">
        <v>1</v>
      </c>
      <c r="E31" s="13" t="n">
        <v>1</v>
      </c>
      <c r="F31" s="13" t="n">
        <v>1</v>
      </c>
      <c r="G31" s="13" t="n">
        <v>1</v>
      </c>
      <c r="H31" s="13" t="n">
        <v>1</v>
      </c>
      <c r="I31" s="13" t="n">
        <v>1</v>
      </c>
      <c r="J31" s="13" t="n">
        <v>1</v>
      </c>
      <c r="K31" s="13" t="n">
        <v>1</v>
      </c>
      <c r="L31" s="12">
        <f>COUNTIF(D31:K31,1)</f>
        <v/>
      </c>
      <c r="M31" s="12">
        <f>IF(COUNT(D31:K31)=0,"",ROUND(L31/8*100,1))</f>
        <v/>
      </c>
      <c r="N31" s="12">
        <f>COUNTIF(D31:K31,0)</f>
        <v/>
      </c>
      <c r="O31" s="12">
        <f>IF(COUNT(D31:K31)=0,"",ROUND(N31/8*100,1))</f>
        <v/>
      </c>
      <c r="P31" s="20">
        <f>IF(M31="","",IF(M31&gt;=Нэгтгэл!$K$4,"Хангалттай эзэмшиж байна",IF(M31&gt;=Нэгтгэл!$K$5,"Ахиж байна","Хөгжиж байна")))</f>
        <v/>
      </c>
    </row>
    <row r="32" ht="16" customHeight="1">
      <c r="A32" s="12" t="n">
        <v>26</v>
      </c>
      <c r="B32" s="12">
        <f>IF(Нэгтгэл!B32="","",Нэгтгэл!B32)</f>
        <v/>
      </c>
      <c r="C32" s="4" t="n"/>
      <c r="D32" s="13" t="n">
        <v>0</v>
      </c>
      <c r="E32" s="13" t="n">
        <v>1</v>
      </c>
      <c r="F32" s="13" t="n">
        <v>1</v>
      </c>
      <c r="G32" s="13" t="n">
        <v>1</v>
      </c>
      <c r="H32" s="13" t="n">
        <v>1</v>
      </c>
      <c r="I32" s="13" t="n">
        <v>1</v>
      </c>
      <c r="J32" s="13" t="n">
        <v>0</v>
      </c>
      <c r="K32" s="13" t="n">
        <v>0</v>
      </c>
      <c r="L32" s="12">
        <f>COUNTIF(D32:K32,1)</f>
        <v/>
      </c>
      <c r="M32" s="12">
        <f>IF(COUNT(D32:K32)=0,"",ROUND(L32/8*100,1))</f>
        <v/>
      </c>
      <c r="N32" s="12">
        <f>COUNTIF(D32:K32,0)</f>
        <v/>
      </c>
      <c r="O32" s="12">
        <f>IF(COUNT(D32:K32)=0,"",ROUND(N32/8*100,1))</f>
        <v/>
      </c>
      <c r="P32" s="20">
        <f>IF(M32="","",IF(M32&gt;=Нэгтгэл!$K$4,"Хангалттай эзэмшиж байна",IF(M32&gt;=Нэгтгэл!$K$5,"Ахиж байна","Хөгжиж байна")))</f>
        <v/>
      </c>
    </row>
    <row r="33" ht="16" customHeight="1">
      <c r="A33" s="12" t="n">
        <v>27</v>
      </c>
      <c r="B33" s="12">
        <f>IF(Нэгтгэл!B33="","",Нэгтгэл!B33)</f>
        <v/>
      </c>
      <c r="C33" s="4" t="n"/>
      <c r="D33" s="13" t="n">
        <v>0</v>
      </c>
      <c r="E33" s="13" t="n">
        <v>0</v>
      </c>
      <c r="F33" s="13" t="n">
        <v>1</v>
      </c>
      <c r="G33" s="13" t="n">
        <v>0</v>
      </c>
      <c r="H33" s="13" t="n">
        <v>0</v>
      </c>
      <c r="I33" s="13" t="n">
        <v>1</v>
      </c>
      <c r="J33" s="13" t="n">
        <v>1</v>
      </c>
      <c r="K33" s="13" t="n">
        <v>0</v>
      </c>
      <c r="L33" s="12">
        <f>COUNTIF(D33:K33,1)</f>
        <v/>
      </c>
      <c r="M33" s="12">
        <f>IF(COUNT(D33:K33)=0,"",ROUND(L33/8*100,1))</f>
        <v/>
      </c>
      <c r="N33" s="12">
        <f>COUNTIF(D33:K33,0)</f>
        <v/>
      </c>
      <c r="O33" s="12">
        <f>IF(COUNT(D33:K33)=0,"",ROUND(N33/8*100,1))</f>
        <v/>
      </c>
      <c r="P33" s="20">
        <f>IF(M33="","",IF(M33&gt;=Нэгтгэл!$K$4,"Хангалттай эзэмшиж байна",IF(M33&gt;=Нэгтгэл!$K$5,"Ахиж байна","Хөгжиж байна")))</f>
        <v/>
      </c>
    </row>
    <row r="34" ht="16" customHeight="1">
      <c r="A34" s="12" t="n">
        <v>28</v>
      </c>
      <c r="B34" s="12">
        <f>IF(Нэгтгэл!B34="","",Нэгтгэл!B34)</f>
        <v/>
      </c>
      <c r="C34" s="4" t="n"/>
      <c r="D34" s="13" t="n">
        <v>0</v>
      </c>
      <c r="E34" s="13" t="n">
        <v>1</v>
      </c>
      <c r="F34" s="13" t="n">
        <v>0</v>
      </c>
      <c r="G34" s="13" t="n">
        <v>1</v>
      </c>
      <c r="H34" s="13" t="n">
        <v>1</v>
      </c>
      <c r="I34" s="13" t="n">
        <v>1</v>
      </c>
      <c r="J34" s="13" t="n">
        <v>1</v>
      </c>
      <c r="K34" s="13" t="n">
        <v>1</v>
      </c>
      <c r="L34" s="12">
        <f>COUNTIF(D34:K34,1)</f>
        <v/>
      </c>
      <c r="M34" s="12">
        <f>IF(COUNT(D34:K34)=0,"",ROUND(L34/8*100,1))</f>
        <v/>
      </c>
      <c r="N34" s="12">
        <f>COUNTIF(D34:K34,0)</f>
        <v/>
      </c>
      <c r="O34" s="12">
        <f>IF(COUNT(D34:K34)=0,"",ROUND(N34/8*100,1))</f>
        <v/>
      </c>
      <c r="P34" s="20">
        <f>IF(M34="","",IF(M34&gt;=Нэгтгэл!$K$4,"Хангалттай эзэмшиж байна",IF(M34&gt;=Нэгтгэл!$K$5,"Ахиж байна","Хөгжиж байна")))</f>
        <v/>
      </c>
    </row>
    <row r="35" ht="16" customHeight="1">
      <c r="A35" s="12" t="n">
        <v>29</v>
      </c>
      <c r="B35" s="12">
        <f>IF(Нэгтгэл!B35="","",Нэгтгэл!B35)</f>
        <v/>
      </c>
      <c r="C35" s="4" t="n"/>
      <c r="D35" s="13" t="n">
        <v>1</v>
      </c>
      <c r="E35" s="13" t="n">
        <v>1</v>
      </c>
      <c r="F35" s="13" t="n">
        <v>1</v>
      </c>
      <c r="G35" s="13" t="n">
        <v>1</v>
      </c>
      <c r="H35" s="13" t="n">
        <v>1</v>
      </c>
      <c r="I35" s="13" t="n">
        <v>1</v>
      </c>
      <c r="J35" s="13" t="n">
        <v>1</v>
      </c>
      <c r="K35" s="13" t="n">
        <v>1</v>
      </c>
      <c r="L35" s="12">
        <f>COUNTIF(D35:K35,1)</f>
        <v/>
      </c>
      <c r="M35" s="12">
        <f>IF(COUNT(D35:K35)=0,"",ROUND(L35/8*100,1))</f>
        <v/>
      </c>
      <c r="N35" s="12">
        <f>COUNTIF(D35:K35,0)</f>
        <v/>
      </c>
      <c r="O35" s="12">
        <f>IF(COUNT(D35:K35)=0,"",ROUND(N35/8*100,1))</f>
        <v/>
      </c>
      <c r="P35" s="20">
        <f>IF(M35="","",IF(M35&gt;=Нэгтгэл!$K$4,"Хангалттай эзэмшиж байна",IF(M35&gt;=Нэгтгэл!$K$5,"Ахиж байна","Хөгжиж байна")))</f>
        <v/>
      </c>
    </row>
    <row r="36" ht="16" customHeight="1">
      <c r="A36" s="12" t="n">
        <v>30</v>
      </c>
      <c r="B36" s="12">
        <f>IF(Нэгтгэл!B36="","",Нэгтгэл!B36)</f>
        <v/>
      </c>
      <c r="C36" s="4" t="n"/>
      <c r="D36" s="13" t="n">
        <v>1</v>
      </c>
      <c r="E36" s="13" t="n">
        <v>1</v>
      </c>
      <c r="F36" s="13" t="n">
        <v>0</v>
      </c>
      <c r="G36" s="13" t="n">
        <v>1</v>
      </c>
      <c r="H36" s="13" t="n">
        <v>1</v>
      </c>
      <c r="I36" s="13" t="n">
        <v>0</v>
      </c>
      <c r="J36" s="13" t="n">
        <v>0</v>
      </c>
      <c r="K36" s="13" t="n">
        <v>1</v>
      </c>
      <c r="L36" s="12">
        <f>COUNTIF(D36:K36,1)</f>
        <v/>
      </c>
      <c r="M36" s="12">
        <f>IF(COUNT(D36:K36)=0,"",ROUND(L36/8*100,1))</f>
        <v/>
      </c>
      <c r="N36" s="12">
        <f>COUNTIF(D36:K36,0)</f>
        <v/>
      </c>
      <c r="O36" s="12">
        <f>IF(COUNT(D36:K36)=0,"",ROUND(N36/8*100,1))</f>
        <v/>
      </c>
      <c r="P36" s="20">
        <f>IF(M36="","",IF(M36&gt;=Нэгтгэл!$K$4,"Хангалттай эзэмшиж байна",IF(M36&gt;=Нэгтгэл!$K$5,"Ахиж байна","Хөгжиж байна")))</f>
        <v/>
      </c>
    </row>
    <row r="37" ht="16" customHeight="1">
      <c r="A37" s="12" t="n">
        <v>31</v>
      </c>
      <c r="B37" s="12">
        <f>IF(Нэгтгэл!B37="","",Нэгтгэл!B37)</f>
        <v/>
      </c>
      <c r="C37" s="4" t="n"/>
      <c r="D37" s="13" t="n">
        <v>1</v>
      </c>
      <c r="E37" s="13" t="n">
        <v>1</v>
      </c>
      <c r="F37" s="13" t="n">
        <v>1</v>
      </c>
      <c r="G37" s="13" t="n">
        <v>0</v>
      </c>
      <c r="H37" s="13" t="n">
        <v>1</v>
      </c>
      <c r="I37" s="13" t="n">
        <v>1</v>
      </c>
      <c r="J37" s="13" t="n">
        <v>1</v>
      </c>
      <c r="K37" s="13" t="n">
        <v>1</v>
      </c>
      <c r="L37" s="12">
        <f>COUNTIF(D37:K37,1)</f>
        <v/>
      </c>
      <c r="M37" s="12">
        <f>IF(COUNT(D37:K37)=0,"",ROUND(L37/8*100,1))</f>
        <v/>
      </c>
      <c r="N37" s="12">
        <f>COUNTIF(D37:K37,0)</f>
        <v/>
      </c>
      <c r="O37" s="12">
        <f>IF(COUNT(D37:K37)=0,"",ROUND(N37/8*100,1))</f>
        <v/>
      </c>
      <c r="P37" s="20">
        <f>IF(M37="","",IF(M37&gt;=Нэгтгэл!$K$4,"Хангалттай эзэмшиж байна",IF(M37&gt;=Нэгтгэл!$K$5,"Ахиж байна","Хөгжиж байна")))</f>
        <v/>
      </c>
    </row>
    <row r="38" ht="16" customHeight="1">
      <c r="A38" s="12" t="n">
        <v>32</v>
      </c>
      <c r="B38" s="12">
        <f>IF(Нэгтгэл!B38="","",Нэгтгэл!B38)</f>
        <v/>
      </c>
      <c r="C38" s="4" t="n"/>
      <c r="D38" s="13" t="n">
        <v>1</v>
      </c>
      <c r="E38" s="13" t="n">
        <v>0</v>
      </c>
      <c r="F38" s="13" t="n">
        <v>0</v>
      </c>
      <c r="G38" s="13" t="n">
        <v>1</v>
      </c>
      <c r="H38" s="13" t="n">
        <v>1</v>
      </c>
      <c r="I38" s="13" t="n">
        <v>1</v>
      </c>
      <c r="J38" s="13" t="n">
        <v>1</v>
      </c>
      <c r="K38" s="13" t="n">
        <v>1</v>
      </c>
      <c r="L38" s="12">
        <f>COUNTIF(D38:K38,1)</f>
        <v/>
      </c>
      <c r="M38" s="12">
        <f>IF(COUNT(D38:K38)=0,"",ROUND(L38/8*100,1))</f>
        <v/>
      </c>
      <c r="N38" s="12">
        <f>COUNTIF(D38:K38,0)</f>
        <v/>
      </c>
      <c r="O38" s="12">
        <f>IF(COUNT(D38:K38)=0,"",ROUND(N38/8*100,1))</f>
        <v/>
      </c>
      <c r="P38" s="20">
        <f>IF(M38="","",IF(M38&gt;=Нэгтгэл!$K$4,"Хангалттай эзэмшиж байна",IF(M38&gt;=Нэгтгэл!$K$5,"Ахиж байна","Хөгжиж байна")))</f>
        <v/>
      </c>
    </row>
    <row r="39" ht="16" customHeight="1">
      <c r="A39" s="12" t="n">
        <v>33</v>
      </c>
      <c r="B39" s="12">
        <f>IF(Нэгтгэл!B39="","",Нэгтгэл!B39)</f>
        <v/>
      </c>
      <c r="C39" s="4" t="n"/>
      <c r="D39" s="13" t="n">
        <v>1</v>
      </c>
      <c r="E39" s="13" t="n">
        <v>1</v>
      </c>
      <c r="F39" s="13" t="n">
        <v>0</v>
      </c>
      <c r="G39" s="13" t="n">
        <v>1</v>
      </c>
      <c r="H39" s="13" t="n">
        <v>0</v>
      </c>
      <c r="I39" s="13" t="n">
        <v>1</v>
      </c>
      <c r="J39" s="13" t="n">
        <v>1</v>
      </c>
      <c r="K39" s="13" t="n">
        <v>1</v>
      </c>
      <c r="L39" s="12">
        <f>COUNTIF(D39:K39,1)</f>
        <v/>
      </c>
      <c r="M39" s="12">
        <f>IF(COUNT(D39:K39)=0,"",ROUND(L39/8*100,1))</f>
        <v/>
      </c>
      <c r="N39" s="12">
        <f>COUNTIF(D39:K39,0)</f>
        <v/>
      </c>
      <c r="O39" s="12">
        <f>IF(COUNT(D39:K39)=0,"",ROUND(N39/8*100,1))</f>
        <v/>
      </c>
      <c r="P39" s="20">
        <f>IF(M39="","",IF(M39&gt;=Нэгтгэл!$K$4,"Хангалттай эзэмшиж байна",IF(M39&gt;=Нэгтгэл!$K$5,"Ахиж байна","Хөгжиж байна")))</f>
        <v/>
      </c>
    </row>
    <row r="40" ht="16" customHeight="1">
      <c r="A40" s="12" t="n">
        <v>34</v>
      </c>
      <c r="B40" s="12">
        <f>IF(Нэгтгэл!B40="","",Нэгтгэл!B40)</f>
        <v/>
      </c>
      <c r="C40" s="4" t="n"/>
      <c r="D40" s="13" t="n">
        <v>0</v>
      </c>
      <c r="E40" s="13" t="n">
        <v>1</v>
      </c>
      <c r="F40" s="13" t="n">
        <v>1</v>
      </c>
      <c r="G40" s="13" t="n">
        <v>1</v>
      </c>
      <c r="H40" s="13" t="n">
        <v>0</v>
      </c>
      <c r="I40" s="13" t="n">
        <v>0</v>
      </c>
      <c r="J40" s="13" t="n">
        <v>1</v>
      </c>
      <c r="K40" s="13" t="n">
        <v>0</v>
      </c>
      <c r="L40" s="12">
        <f>COUNTIF(D40:K40,1)</f>
        <v/>
      </c>
      <c r="M40" s="12">
        <f>IF(COUNT(D40:K40)=0,"",ROUND(L40/8*100,1))</f>
        <v/>
      </c>
      <c r="N40" s="12">
        <f>COUNTIF(D40:K40,0)</f>
        <v/>
      </c>
      <c r="O40" s="12">
        <f>IF(COUNT(D40:K40)=0,"",ROUND(N40/8*100,1))</f>
        <v/>
      </c>
      <c r="P40" s="20">
        <f>IF(M40="","",IF(M40&gt;=Нэгтгэл!$K$4,"Хангалттай эзэмшиж байна",IF(M40&gt;=Нэгтгэл!$K$5,"Ахиж байна","Хөгжиж байна")))</f>
        <v/>
      </c>
    </row>
    <row r="41" ht="16" customHeight="1">
      <c r="A41" s="12" t="n">
        <v>35</v>
      </c>
      <c r="B41" s="12">
        <f>IF(Нэгтгэл!B41="","",Нэгтгэл!B41)</f>
        <v/>
      </c>
      <c r="C41" s="4" t="n"/>
      <c r="D41" s="13" t="n">
        <v>1</v>
      </c>
      <c r="E41" s="13" t="n">
        <v>0</v>
      </c>
      <c r="F41" s="13" t="n">
        <v>1</v>
      </c>
      <c r="G41" s="13" t="n">
        <v>0</v>
      </c>
      <c r="H41" s="13" t="n">
        <v>1</v>
      </c>
      <c r="I41" s="13" t="n">
        <v>0</v>
      </c>
      <c r="J41" s="13" t="n">
        <v>1</v>
      </c>
      <c r="K41" s="13" t="n">
        <v>1</v>
      </c>
      <c r="L41" s="12">
        <f>COUNTIF(D41:K41,1)</f>
        <v/>
      </c>
      <c r="M41" s="12">
        <f>IF(COUNT(D41:K41)=0,"",ROUND(L41/8*100,1))</f>
        <v/>
      </c>
      <c r="N41" s="12">
        <f>COUNTIF(D41:K41,0)</f>
        <v/>
      </c>
      <c r="O41" s="12">
        <f>IF(COUNT(D41:K41)=0,"",ROUND(N41/8*100,1))</f>
        <v/>
      </c>
      <c r="P41" s="20">
        <f>IF(M41="","",IF(M41&gt;=Нэгтгэл!$K$4,"Хангалттай эзэмшиж байна",IF(M41&gt;=Нэгтгэл!$K$5,"Ахиж байна","Хөгжиж байна")))</f>
        <v/>
      </c>
    </row>
    <row r="42" ht="16" customHeight="1">
      <c r="A42" s="12" t="n">
        <v>36</v>
      </c>
      <c r="B42" s="12">
        <f>IF(Нэгтгэл!B42="","",Нэгтгэл!B42)</f>
        <v/>
      </c>
      <c r="C42" s="4" t="n"/>
      <c r="D42" s="13" t="n">
        <v>1</v>
      </c>
      <c r="E42" s="13" t="n">
        <v>1</v>
      </c>
      <c r="F42" s="13" t="n">
        <v>0</v>
      </c>
      <c r="G42" s="13" t="n">
        <v>0</v>
      </c>
      <c r="H42" s="13" t="n">
        <v>1</v>
      </c>
      <c r="I42" s="13" t="n">
        <v>0</v>
      </c>
      <c r="J42" s="13" t="n">
        <v>1</v>
      </c>
      <c r="K42" s="13" t="n">
        <v>0</v>
      </c>
      <c r="L42" s="12">
        <f>COUNTIF(D42:K42,1)</f>
        <v/>
      </c>
      <c r="M42" s="12">
        <f>IF(COUNT(D42:K42)=0,"",ROUND(L42/8*100,1))</f>
        <v/>
      </c>
      <c r="N42" s="12">
        <f>COUNTIF(D42:K42,0)</f>
        <v/>
      </c>
      <c r="O42" s="12">
        <f>IF(COUNT(D42:K42)=0,"",ROUND(N42/8*100,1))</f>
        <v/>
      </c>
      <c r="P42" s="20">
        <f>IF(M42="","",IF(M42&gt;=Нэгтгэл!$K$4,"Хангалттай эзэмшиж байна",IF(M42&gt;=Нэгтгэл!$K$5,"Ахиж байна","Хөгжиж байна")))</f>
        <v/>
      </c>
    </row>
    <row r="43" ht="16" customHeight="1">
      <c r="A43" s="12" t="n">
        <v>37</v>
      </c>
      <c r="B43" s="12">
        <f>IF(Нэгтгэл!B43="","",Нэгтгэл!B43)</f>
        <v/>
      </c>
      <c r="C43" s="4" t="n"/>
      <c r="D43" s="13" t="n">
        <v>1</v>
      </c>
      <c r="E43" s="13" t="n">
        <v>1</v>
      </c>
      <c r="F43" s="13" t="n">
        <v>1</v>
      </c>
      <c r="G43" s="13" t="n">
        <v>0</v>
      </c>
      <c r="H43" s="13" t="n">
        <v>1</v>
      </c>
      <c r="I43" s="13" t="n">
        <v>1</v>
      </c>
      <c r="J43" s="13" t="n">
        <v>1</v>
      </c>
      <c r="K43" s="13" t="n">
        <v>1</v>
      </c>
      <c r="L43" s="12">
        <f>COUNTIF(D43:K43,1)</f>
        <v/>
      </c>
      <c r="M43" s="12">
        <f>IF(COUNT(D43:K43)=0,"",ROUND(L43/8*100,1))</f>
        <v/>
      </c>
      <c r="N43" s="12">
        <f>COUNTIF(D43:K43,0)</f>
        <v/>
      </c>
      <c r="O43" s="12">
        <f>IF(COUNT(D43:K43)=0,"",ROUND(N43/8*100,1))</f>
        <v/>
      </c>
      <c r="P43" s="20">
        <f>IF(M43="","",IF(M43&gt;=Нэгтгэл!$K$4,"Хангалттай эзэмшиж байна",IF(M43&gt;=Нэгтгэл!$K$5,"Ахиж байна","Хөгжиж байна")))</f>
        <v/>
      </c>
    </row>
    <row r="44" ht="16" customHeight="1">
      <c r="A44" s="12" t="n">
        <v>38</v>
      </c>
      <c r="B44" s="12">
        <f>IF(Нэгтгэл!B44="","",Нэгтгэл!B44)</f>
        <v/>
      </c>
      <c r="C44" s="4" t="n"/>
      <c r="D44" s="13" t="n">
        <v>1</v>
      </c>
      <c r="E44" s="13" t="n">
        <v>1</v>
      </c>
      <c r="F44" s="13" t="n">
        <v>1</v>
      </c>
      <c r="G44" s="13" t="n">
        <v>1</v>
      </c>
      <c r="H44" s="13" t="n">
        <v>1</v>
      </c>
      <c r="I44" s="13" t="n">
        <v>1</v>
      </c>
      <c r="J44" s="13" t="n">
        <v>1</v>
      </c>
      <c r="K44" s="13" t="n">
        <v>1</v>
      </c>
      <c r="L44" s="12">
        <f>COUNTIF(D44:K44,1)</f>
        <v/>
      </c>
      <c r="M44" s="12">
        <f>IF(COUNT(D44:K44)=0,"",ROUND(L44/8*100,1))</f>
        <v/>
      </c>
      <c r="N44" s="12">
        <f>COUNTIF(D44:K44,0)</f>
        <v/>
      </c>
      <c r="O44" s="12">
        <f>IF(COUNT(D44:K44)=0,"",ROUND(N44/8*100,1))</f>
        <v/>
      </c>
      <c r="P44" s="20">
        <f>IF(M44="","",IF(M44&gt;=Нэгтгэл!$K$4,"Хангалттай эзэмшиж байна",IF(M44&gt;=Нэгтгэл!$K$5,"Ахиж байна","Хөгжиж байна")))</f>
        <v/>
      </c>
    </row>
    <row r="45" ht="16" customHeight="1">
      <c r="A45" s="12" t="n">
        <v>39</v>
      </c>
      <c r="B45" s="12">
        <f>IF(Нэгтгэл!B45="","",Нэгтгэл!B45)</f>
        <v/>
      </c>
      <c r="C45" s="4" t="n"/>
      <c r="D45" s="13" t="n">
        <v>1</v>
      </c>
      <c r="E45" s="13" t="n">
        <v>1</v>
      </c>
      <c r="F45" s="13" t="n">
        <v>1</v>
      </c>
      <c r="G45" s="13" t="n">
        <v>1</v>
      </c>
      <c r="H45" s="13" t="n">
        <v>1</v>
      </c>
      <c r="I45" s="13" t="n">
        <v>0</v>
      </c>
      <c r="J45" s="13" t="n">
        <v>1</v>
      </c>
      <c r="K45" s="13" t="n">
        <v>1</v>
      </c>
      <c r="L45" s="12">
        <f>COUNTIF(D45:K45,1)</f>
        <v/>
      </c>
      <c r="M45" s="12">
        <f>IF(COUNT(D45:K45)=0,"",ROUND(L45/8*100,1))</f>
        <v/>
      </c>
      <c r="N45" s="12">
        <f>COUNTIF(D45:K45,0)</f>
        <v/>
      </c>
      <c r="O45" s="12">
        <f>IF(COUNT(D45:K45)=0,"",ROUND(N45/8*100,1))</f>
        <v/>
      </c>
      <c r="P45" s="20">
        <f>IF(M45="","",IF(M45&gt;=Нэгтгэл!$K$4,"Хангалттай эзэмшиж байна",IF(M45&gt;=Нэгтгэл!$K$5,"Ахиж байна","Хөгжиж байна")))</f>
        <v/>
      </c>
    </row>
    <row r="46" ht="16" customHeight="1">
      <c r="A46" s="12" t="n">
        <v>40</v>
      </c>
      <c r="B46" s="12">
        <f>IF(Нэгтгэл!B46="","",Нэгтгэл!B46)</f>
        <v/>
      </c>
      <c r="C46" s="4" t="n"/>
      <c r="D46" s="13" t="n">
        <v>1</v>
      </c>
      <c r="E46" s="13" t="n">
        <v>1</v>
      </c>
      <c r="F46" s="13" t="n">
        <v>1</v>
      </c>
      <c r="G46" s="13" t="n">
        <v>1</v>
      </c>
      <c r="H46" s="13" t="n">
        <v>1</v>
      </c>
      <c r="I46" s="13" t="n">
        <v>1</v>
      </c>
      <c r="J46" s="13" t="n">
        <v>1</v>
      </c>
      <c r="K46" s="13" t="n">
        <v>0</v>
      </c>
      <c r="L46" s="12">
        <f>COUNTIF(D46:K46,1)</f>
        <v/>
      </c>
      <c r="M46" s="12">
        <f>IF(COUNT(D46:K46)=0,"",ROUND(L46/8*100,1))</f>
        <v/>
      </c>
      <c r="N46" s="12">
        <f>COUNTIF(D46:K46,0)</f>
        <v/>
      </c>
      <c r="O46" s="12">
        <f>IF(COUNT(D46:K46)=0,"",ROUND(N46/8*100,1))</f>
        <v/>
      </c>
      <c r="P46" s="20">
        <f>IF(M46="","",IF(M46&gt;=Нэгтгэл!$K$4,"Хангалттай эзэмшиж байна",IF(M46&gt;=Нэгтгэл!$K$5,"Ахиж байна","Хөгжиж байна")))</f>
        <v/>
      </c>
    </row>
    <row r="47" ht="16" customHeight="1">
      <c r="A47" s="12" t="n">
        <v>41</v>
      </c>
      <c r="B47" s="12">
        <f>IF(Нэгтгэл!B47="","",Нэгтгэл!B47)</f>
        <v/>
      </c>
      <c r="C47" s="4" t="n"/>
      <c r="D47" s="13" t="n">
        <v>1</v>
      </c>
      <c r="E47" s="13" t="n">
        <v>0</v>
      </c>
      <c r="F47" s="13" t="n">
        <v>1</v>
      </c>
      <c r="G47" s="13" t="n">
        <v>1</v>
      </c>
      <c r="H47" s="13" t="n">
        <v>0</v>
      </c>
      <c r="I47" s="13" t="n">
        <v>1</v>
      </c>
      <c r="J47" s="13" t="n">
        <v>1</v>
      </c>
      <c r="K47" s="13" t="n">
        <v>1</v>
      </c>
      <c r="L47" s="12">
        <f>COUNTIF(D47:K47,1)</f>
        <v/>
      </c>
      <c r="M47" s="12">
        <f>IF(COUNT(D47:K47)=0,"",ROUND(L47/8*100,1))</f>
        <v/>
      </c>
      <c r="N47" s="12">
        <f>COUNTIF(D47:K47,0)</f>
        <v/>
      </c>
      <c r="O47" s="12">
        <f>IF(COUNT(D47:K47)=0,"",ROUND(N47/8*100,1))</f>
        <v/>
      </c>
      <c r="P47" s="20">
        <f>IF(M47="","",IF(M47&gt;=Нэгтгэл!$K$4,"Хангалттай эзэмшиж байна",IF(M47&gt;=Нэгтгэл!$K$5,"Ахиж байна","Хөгжиж байна")))</f>
        <v/>
      </c>
    </row>
    <row r="48" ht="16" customHeight="1">
      <c r="A48" s="12" t="n">
        <v>42</v>
      </c>
      <c r="B48" s="12">
        <f>IF(Нэгтгэл!B48="","",Нэгтгэл!B48)</f>
        <v/>
      </c>
      <c r="C48" s="4" t="n"/>
      <c r="D48" s="13" t="n">
        <v>0</v>
      </c>
      <c r="E48" s="13" t="n">
        <v>1</v>
      </c>
      <c r="F48" s="13" t="n">
        <v>1</v>
      </c>
      <c r="G48" s="13" t="n">
        <v>1</v>
      </c>
      <c r="H48" s="13" t="n">
        <v>0</v>
      </c>
      <c r="I48" s="13" t="n">
        <v>1</v>
      </c>
      <c r="J48" s="13" t="n">
        <v>0</v>
      </c>
      <c r="K48" s="13" t="n">
        <v>1</v>
      </c>
      <c r="L48" s="12">
        <f>COUNTIF(D48:K48,1)</f>
        <v/>
      </c>
      <c r="M48" s="12">
        <f>IF(COUNT(D48:K48)=0,"",ROUND(L48/8*100,1))</f>
        <v/>
      </c>
      <c r="N48" s="12">
        <f>COUNTIF(D48:K48,0)</f>
        <v/>
      </c>
      <c r="O48" s="12">
        <f>IF(COUNT(D48:K48)=0,"",ROUND(N48/8*100,1))</f>
        <v/>
      </c>
      <c r="P48" s="20">
        <f>IF(M48="","",IF(M48&gt;=Нэгтгэл!$K$4,"Хангалттай эзэмшиж байна",IF(M48&gt;=Нэгтгэл!$K$5,"Ахиж байна","Хөгжиж байна")))</f>
        <v/>
      </c>
    </row>
    <row r="49" ht="16" customHeight="1">
      <c r="A49" s="12" t="n">
        <v>43</v>
      </c>
      <c r="B49" s="12">
        <f>IF(Нэгтгэл!B49="","",Нэгтгэл!B49)</f>
        <v/>
      </c>
      <c r="C49" s="4" t="n"/>
      <c r="D49" s="13" t="n">
        <v>0</v>
      </c>
      <c r="E49" s="13" t="n">
        <v>0</v>
      </c>
      <c r="F49" s="13" t="n">
        <v>0</v>
      </c>
      <c r="G49" s="13" t="n">
        <v>1</v>
      </c>
      <c r="H49" s="13" t="n">
        <v>0</v>
      </c>
      <c r="I49" s="13" t="n">
        <v>0</v>
      </c>
      <c r="J49" s="13" t="n">
        <v>1</v>
      </c>
      <c r="K49" s="13" t="n">
        <v>0</v>
      </c>
      <c r="L49" s="12">
        <f>COUNTIF(D49:K49,1)</f>
        <v/>
      </c>
      <c r="M49" s="12">
        <f>IF(COUNT(D49:K49)=0,"",ROUND(L49/8*100,1))</f>
        <v/>
      </c>
      <c r="N49" s="12">
        <f>COUNTIF(D49:K49,0)</f>
        <v/>
      </c>
      <c r="O49" s="12">
        <f>IF(COUNT(D49:K49)=0,"",ROUND(N49/8*100,1))</f>
        <v/>
      </c>
      <c r="P49" s="20">
        <f>IF(M49="","",IF(M49&gt;=Нэгтгэл!$K$4,"Хангалттай эзэмшиж байна",IF(M49&gt;=Нэгтгэл!$K$5,"Ахиж байна","Хөгжиж байна")))</f>
        <v/>
      </c>
    </row>
    <row r="50" ht="16" customHeight="1">
      <c r="A50" s="12" t="n">
        <v>44</v>
      </c>
      <c r="B50" s="12">
        <f>IF(Нэгтгэл!B50="","",Нэгтгэл!B50)</f>
        <v/>
      </c>
      <c r="C50" s="4" t="n"/>
      <c r="D50" s="13" t="n">
        <v>1</v>
      </c>
      <c r="E50" s="13" t="n">
        <v>1</v>
      </c>
      <c r="F50" s="13" t="n">
        <v>1</v>
      </c>
      <c r="G50" s="13" t="n">
        <v>1</v>
      </c>
      <c r="H50" s="13" t="n">
        <v>1</v>
      </c>
      <c r="I50" s="13" t="n">
        <v>1</v>
      </c>
      <c r="J50" s="13" t="n">
        <v>0</v>
      </c>
      <c r="K50" s="13" t="n">
        <v>1</v>
      </c>
      <c r="L50" s="12">
        <f>COUNTIF(D50:K50,1)</f>
        <v/>
      </c>
      <c r="M50" s="12">
        <f>IF(COUNT(D50:K50)=0,"",ROUND(L50/8*100,1))</f>
        <v/>
      </c>
      <c r="N50" s="12">
        <f>COUNTIF(D50:K50,0)</f>
        <v/>
      </c>
      <c r="O50" s="12">
        <f>IF(COUNT(D50:K50)=0,"",ROUND(N50/8*100,1))</f>
        <v/>
      </c>
      <c r="P50" s="20">
        <f>IF(M50="","",IF(M50&gt;=Нэгтгэл!$K$4,"Хангалттай эзэмшиж байна",IF(M50&gt;=Нэгтгэл!$K$5,"Ахиж байна","Хөгжиж байна")))</f>
        <v/>
      </c>
    </row>
    <row r="51" ht="16" customHeight="1">
      <c r="A51" s="12" t="n">
        <v>45</v>
      </c>
      <c r="B51" s="12">
        <f>IF(Нэгтгэл!B51="","",Нэгтгэл!B51)</f>
        <v/>
      </c>
      <c r="C51" s="4" t="n"/>
      <c r="D51" s="13" t="n">
        <v>1</v>
      </c>
      <c r="E51" s="13" t="n">
        <v>1</v>
      </c>
      <c r="F51" s="13" t="n">
        <v>1</v>
      </c>
      <c r="G51" s="13" t="n">
        <v>0</v>
      </c>
      <c r="H51" s="13" t="n">
        <v>0</v>
      </c>
      <c r="I51" s="13" t="n">
        <v>0</v>
      </c>
      <c r="J51" s="13" t="n">
        <v>0</v>
      </c>
      <c r="K51" s="13" t="n">
        <v>1</v>
      </c>
      <c r="L51" s="12">
        <f>COUNTIF(D51:K51,1)</f>
        <v/>
      </c>
      <c r="M51" s="12">
        <f>IF(COUNT(D51:K51)=0,"",ROUND(L51/8*100,1))</f>
        <v/>
      </c>
      <c r="N51" s="12">
        <f>COUNTIF(D51:K51,0)</f>
        <v/>
      </c>
      <c r="O51" s="12">
        <f>IF(COUNT(D51:K51)=0,"",ROUND(N51/8*100,1))</f>
        <v/>
      </c>
      <c r="P51" s="20">
        <f>IF(M51="","",IF(M51&gt;=Нэгтгэл!$K$4,"Хангалттай эзэмшиж байна",IF(M51&gt;=Нэгтгэл!$K$5,"Ахиж байна","Хөгжиж байна")))</f>
        <v/>
      </c>
    </row>
    <row r="52" ht="16" customHeight="1">
      <c r="A52" s="12" t="n">
        <v>46</v>
      </c>
      <c r="B52" s="12">
        <f>IF(Нэгтгэл!B52="","",Нэгтгэл!B52)</f>
        <v/>
      </c>
      <c r="C52" s="4" t="n"/>
      <c r="D52" s="13" t="n">
        <v>0</v>
      </c>
      <c r="E52" s="13" t="n">
        <v>1</v>
      </c>
      <c r="F52" s="13" t="n">
        <v>1</v>
      </c>
      <c r="G52" s="13" t="n">
        <v>1</v>
      </c>
      <c r="H52" s="13" t="n">
        <v>0</v>
      </c>
      <c r="I52" s="13" t="n">
        <v>1</v>
      </c>
      <c r="J52" s="13" t="n">
        <v>0</v>
      </c>
      <c r="K52" s="13" t="n">
        <v>0</v>
      </c>
      <c r="L52" s="12">
        <f>COUNTIF(D52:K52,1)</f>
        <v/>
      </c>
      <c r="M52" s="12">
        <f>IF(COUNT(D52:K52)=0,"",ROUND(L52/8*100,1))</f>
        <v/>
      </c>
      <c r="N52" s="12">
        <f>COUNTIF(D52:K52,0)</f>
        <v/>
      </c>
      <c r="O52" s="12">
        <f>IF(COUNT(D52:K52)=0,"",ROUND(N52/8*100,1))</f>
        <v/>
      </c>
      <c r="P52" s="20">
        <f>IF(M52="","",IF(M52&gt;=Нэгтгэл!$K$4,"Хангалттай эзэмшиж байна",IF(M52&gt;=Нэгтгэл!$K$5,"Ахиж байна","Хөгжиж байна")))</f>
        <v/>
      </c>
    </row>
    <row r="53" ht="16" customHeight="1">
      <c r="A53" s="12" t="n">
        <v>47</v>
      </c>
      <c r="B53" s="12">
        <f>IF(Нэгтгэл!B53="","",Нэгтгэл!B53)</f>
        <v/>
      </c>
      <c r="C53" s="4" t="n"/>
      <c r="D53" s="13" t="n">
        <v>1</v>
      </c>
      <c r="E53" s="13" t="n">
        <v>1</v>
      </c>
      <c r="F53" s="13" t="n">
        <v>0</v>
      </c>
      <c r="G53" s="13" t="n">
        <v>1</v>
      </c>
      <c r="H53" s="13" t="n">
        <v>1</v>
      </c>
      <c r="I53" s="13" t="n">
        <v>0</v>
      </c>
      <c r="J53" s="13" t="n">
        <v>1</v>
      </c>
      <c r="K53" s="13" t="n">
        <v>0</v>
      </c>
      <c r="L53" s="12">
        <f>COUNTIF(D53:K53,1)</f>
        <v/>
      </c>
      <c r="M53" s="12">
        <f>IF(COUNT(D53:K53)=0,"",ROUND(L53/8*100,1))</f>
        <v/>
      </c>
      <c r="N53" s="12">
        <f>COUNTIF(D53:K53,0)</f>
        <v/>
      </c>
      <c r="O53" s="12">
        <f>IF(COUNT(D53:K53)=0,"",ROUND(N53/8*100,1))</f>
        <v/>
      </c>
      <c r="P53" s="20">
        <f>IF(M53="","",IF(M53&gt;=Нэгтгэл!$K$4,"Хангалттай эзэмшиж байна",IF(M53&gt;=Нэгтгэл!$K$5,"Ахиж байна","Хөгжиж байна")))</f>
        <v/>
      </c>
    </row>
    <row r="54" ht="16" customHeight="1">
      <c r="A54" s="12" t="n">
        <v>48</v>
      </c>
      <c r="B54" s="12">
        <f>IF(Нэгтгэл!B54="","",Нэгтгэл!B54)</f>
        <v/>
      </c>
      <c r="C54" s="4" t="n"/>
      <c r="D54" s="13" t="n">
        <v>1</v>
      </c>
      <c r="E54" s="13" t="n">
        <v>1</v>
      </c>
      <c r="F54" s="13" t="n">
        <v>1</v>
      </c>
      <c r="G54" s="13" t="n">
        <v>1</v>
      </c>
      <c r="H54" s="13" t="n">
        <v>1</v>
      </c>
      <c r="I54" s="13" t="n">
        <v>0</v>
      </c>
      <c r="J54" s="13" t="n">
        <v>1</v>
      </c>
      <c r="K54" s="13" t="n">
        <v>1</v>
      </c>
      <c r="L54" s="12">
        <f>COUNTIF(D54:K54,1)</f>
        <v/>
      </c>
      <c r="M54" s="12">
        <f>IF(COUNT(D54:K54)=0,"",ROUND(L54/8*100,1))</f>
        <v/>
      </c>
      <c r="N54" s="12">
        <f>COUNTIF(D54:K54,0)</f>
        <v/>
      </c>
      <c r="O54" s="12">
        <f>IF(COUNT(D54:K54)=0,"",ROUND(N54/8*100,1))</f>
        <v/>
      </c>
      <c r="P54" s="20">
        <f>IF(M54="","",IF(M54&gt;=Нэгтгэл!$K$4,"Хангалттай эзэмшиж байна",IF(M54&gt;=Нэгтгэл!$K$5,"Ахиж байна","Хөгжиж байна")))</f>
        <v/>
      </c>
    </row>
    <row r="55" ht="16" customHeight="1">
      <c r="A55" s="12" t="n">
        <v>49</v>
      </c>
      <c r="B55" s="12">
        <f>IF(Нэгтгэл!B55="","",Нэгтгэл!B55)</f>
        <v/>
      </c>
      <c r="C55" s="4" t="n"/>
      <c r="D55" s="13" t="n">
        <v>1</v>
      </c>
      <c r="E55" s="13" t="n">
        <v>1</v>
      </c>
      <c r="F55" s="13" t="n">
        <v>0</v>
      </c>
      <c r="G55" s="13" t="n">
        <v>1</v>
      </c>
      <c r="H55" s="13" t="n">
        <v>1</v>
      </c>
      <c r="I55" s="13" t="n">
        <v>1</v>
      </c>
      <c r="J55" s="13" t="n">
        <v>1</v>
      </c>
      <c r="K55" s="13" t="n">
        <v>0</v>
      </c>
      <c r="L55" s="12">
        <f>COUNTIF(D55:K55,1)</f>
        <v/>
      </c>
      <c r="M55" s="12">
        <f>IF(COUNT(D55:K55)=0,"",ROUND(L55/8*100,1))</f>
        <v/>
      </c>
      <c r="N55" s="12">
        <f>COUNTIF(D55:K55,0)</f>
        <v/>
      </c>
      <c r="O55" s="12">
        <f>IF(COUNT(D55:K55)=0,"",ROUND(N55/8*100,1))</f>
        <v/>
      </c>
      <c r="P55" s="20">
        <f>IF(M55="","",IF(M55&gt;=Нэгтгэл!$K$4,"Хангалттай эзэмшиж байна",IF(M55&gt;=Нэгтгэл!$K$5,"Ахиж байна","Хөгжиж байна")))</f>
        <v/>
      </c>
    </row>
    <row r="56" ht="17" customHeight="1">
      <c r="A56" s="5" t="inlineStr">
        <is>
          <t>Чадна (1)</t>
        </is>
      </c>
      <c r="B56" s="15" t="n"/>
      <c r="C56" s="15" t="n"/>
      <c r="D56" s="5">
        <f>COUNTIF(D7:D55,1)</f>
        <v/>
      </c>
      <c r="E56" s="5">
        <f>COUNTIF(E7:E55,1)</f>
        <v/>
      </c>
      <c r="F56" s="5">
        <f>COUNTIF(F7:F55,1)</f>
        <v/>
      </c>
      <c r="G56" s="5">
        <f>COUNTIF(G7:G55,1)</f>
        <v/>
      </c>
      <c r="H56" s="5">
        <f>COUNTIF(H7:H55,1)</f>
        <v/>
      </c>
      <c r="I56" s="5">
        <f>COUNTIF(I7:I55,1)</f>
        <v/>
      </c>
      <c r="J56" s="5">
        <f>COUNTIF(J7:J55,1)</f>
        <v/>
      </c>
      <c r="K56" s="5">
        <f>COUNTIF(K7:K55,1)</f>
        <v/>
      </c>
      <c r="L56" s="21" t="inlineStr">
        <is>
          <t>Хангалттай эзэмшиж байна</t>
        </is>
      </c>
      <c r="M56" s="22" t="n"/>
      <c r="N56" s="22" t="n"/>
      <c r="O56" s="23" t="n"/>
      <c r="P56" s="5">
        <f>COUNTIF(P7:P55,"Хангалттай эзэмшиж байна")</f>
        <v/>
      </c>
    </row>
    <row r="57" ht="17" customHeight="1">
      <c r="A57" s="5" t="inlineStr">
        <is>
          <t>Хувь</t>
        </is>
      </c>
      <c r="B57" s="15" t="n"/>
      <c r="C57" s="15" t="n"/>
      <c r="D57" s="5">
        <f>IF(COUNT(D7:D55)=0,"",ROUND(COUNTIF(D7:D55,1)/COUNT(D7:D55)*100,1))</f>
        <v/>
      </c>
      <c r="E57" s="5">
        <f>IF(COUNT(E7:E55)=0,"",ROUND(COUNTIF(E7:E55,1)/COUNT(E7:E55)*100,1))</f>
        <v/>
      </c>
      <c r="F57" s="5">
        <f>IF(COUNT(F7:F55)=0,"",ROUND(COUNTIF(F7:F55,1)/COUNT(F7:F55)*100,1))</f>
        <v/>
      </c>
      <c r="G57" s="5">
        <f>IF(COUNT(G7:G55)=0,"",ROUND(COUNTIF(G7:G55,1)/COUNT(G7:G55)*100,1))</f>
        <v/>
      </c>
      <c r="H57" s="5">
        <f>IF(COUNT(H7:H55)=0,"",ROUND(COUNTIF(H7:H55,1)/COUNT(H7:H55)*100,1))</f>
        <v/>
      </c>
      <c r="I57" s="5">
        <f>IF(COUNT(I7:I55)=0,"",ROUND(COUNTIF(I7:I55,1)/COUNT(I7:I55)*100,1))</f>
        <v/>
      </c>
      <c r="J57" s="5">
        <f>IF(COUNT(J7:J55)=0,"",ROUND(COUNTIF(J7:J55,1)/COUNT(J7:J55)*100,1))</f>
        <v/>
      </c>
      <c r="K57" s="5">
        <f>IF(COUNT(K7:K55)=0,"",ROUND(COUNTIF(K7:K55,1)/COUNT(K7:K55)*100,1))</f>
        <v/>
      </c>
      <c r="L57" s="21" t="inlineStr">
        <is>
          <t>Ахиж байна</t>
        </is>
      </c>
      <c r="M57" s="22" t="n"/>
      <c r="N57" s="22" t="n"/>
      <c r="O57" s="23" t="n"/>
      <c r="P57" s="5">
        <f>COUNTIF(P7:P55,"Ахиж байна")</f>
        <v/>
      </c>
    </row>
    <row r="58" ht="17" customHeight="1">
      <c r="A58" s="5" t="inlineStr">
        <is>
          <t>Чадахгүй (0)</t>
        </is>
      </c>
      <c r="B58" s="15" t="n"/>
      <c r="C58" s="15" t="n"/>
      <c r="D58" s="5">
        <f>COUNTIF(D7:D55,0)</f>
        <v/>
      </c>
      <c r="E58" s="5">
        <f>COUNTIF(E7:E55,0)</f>
        <v/>
      </c>
      <c r="F58" s="5">
        <f>COUNTIF(F7:F55,0)</f>
        <v/>
      </c>
      <c r="G58" s="5">
        <f>COUNTIF(G7:G55,0)</f>
        <v/>
      </c>
      <c r="H58" s="5">
        <f>COUNTIF(H7:H55,0)</f>
        <v/>
      </c>
      <c r="I58" s="5">
        <f>COUNTIF(I7:I55,0)</f>
        <v/>
      </c>
      <c r="J58" s="5">
        <f>COUNTIF(J7:J55,0)</f>
        <v/>
      </c>
      <c r="K58" s="5">
        <f>COUNTIF(K7:K55,0)</f>
        <v/>
      </c>
      <c r="L58" s="21" t="inlineStr">
        <is>
          <t>Хөгжиж байна</t>
        </is>
      </c>
      <c r="M58" s="22" t="n"/>
      <c r="N58" s="22" t="n"/>
      <c r="O58" s="23" t="n"/>
      <c r="P58" s="5">
        <f>COUNTIF(P7:P55,"Хөгжиж байна")</f>
        <v/>
      </c>
    </row>
    <row r="59" ht="17" customHeight="1">
      <c r="A59" s="5" t="inlineStr">
        <is>
          <t>Хувь</t>
        </is>
      </c>
      <c r="B59" s="15" t="n"/>
      <c r="C59" s="15" t="n"/>
      <c r="D59" s="5">
        <f>IF(COUNT(D7:D55)=0,"",ROUND(COUNTIF(D7:D55,0)/COUNT(D7:D55)*100,1))</f>
        <v/>
      </c>
      <c r="E59" s="5">
        <f>IF(COUNT(E7:E55)=0,"",ROUND(COUNTIF(E7:E55,0)/COUNT(E7:E55)*100,1))</f>
        <v/>
      </c>
      <c r="F59" s="5">
        <f>IF(COUNT(F7:F55)=0,"",ROUND(COUNTIF(F7:F55,0)/COUNT(F7:F55)*100,1))</f>
        <v/>
      </c>
      <c r="G59" s="5">
        <f>IF(COUNT(G7:G55)=0,"",ROUND(COUNTIF(G7:G55,0)/COUNT(G7:G55)*100,1))</f>
        <v/>
      </c>
      <c r="H59" s="5">
        <f>IF(COUNT(H7:H55)=0,"",ROUND(COUNTIF(H7:H55,0)/COUNT(H7:H55)*100,1))</f>
        <v/>
      </c>
      <c r="I59" s="5">
        <f>IF(COUNT(I7:I55)=0,"",ROUND(COUNTIF(I7:I55,0)/COUNT(I7:I55)*100,1))</f>
        <v/>
      </c>
      <c r="J59" s="5">
        <f>IF(COUNT(J7:J55)=0,"",ROUND(COUNTIF(J7:J55,0)/COUNT(J7:J55)*100,1))</f>
        <v/>
      </c>
      <c r="K59" s="5">
        <f>IF(COUNT(K7:K55)=0,"",ROUND(COUNTIF(K7:K55,0)/COUNT(K7:K55)*100,1))</f>
        <v/>
      </c>
      <c r="L59" s="15" t="n"/>
      <c r="M59" s="15" t="n"/>
      <c r="N59" s="15" t="n"/>
      <c r="O59" s="15" t="n"/>
      <c r="P59" s="15" t="n"/>
    </row>
  </sheetData>
  <mergeCells count="66">
    <mergeCell ref="B47:C47"/>
    <mergeCell ref="B16:C16"/>
    <mergeCell ref="B54:C54"/>
    <mergeCell ref="B7:C7"/>
    <mergeCell ref="B25:C25"/>
    <mergeCell ref="O3:O6"/>
    <mergeCell ref="L56:O56"/>
    <mergeCell ref="L3:L6"/>
    <mergeCell ref="B46:C46"/>
    <mergeCell ref="B22:C22"/>
    <mergeCell ref="A56:C56"/>
    <mergeCell ref="B31:C31"/>
    <mergeCell ref="B18:C18"/>
    <mergeCell ref="B27:C27"/>
    <mergeCell ref="A57:C57"/>
    <mergeCell ref="B43:C43"/>
    <mergeCell ref="B12:C12"/>
    <mergeCell ref="B39:C39"/>
    <mergeCell ref="B52:C52"/>
    <mergeCell ref="B21:C21"/>
    <mergeCell ref="B48:C48"/>
    <mergeCell ref="B11:C11"/>
    <mergeCell ref="N3:N6"/>
    <mergeCell ref="B42:C42"/>
    <mergeCell ref="B23:C23"/>
    <mergeCell ref="A3:A6"/>
    <mergeCell ref="B14:C14"/>
    <mergeCell ref="B17:C17"/>
    <mergeCell ref="B8:C8"/>
    <mergeCell ref="B53:C53"/>
    <mergeCell ref="B13:C13"/>
    <mergeCell ref="L57:O57"/>
    <mergeCell ref="B38:C38"/>
    <mergeCell ref="B44:C44"/>
    <mergeCell ref="B29:C29"/>
    <mergeCell ref="A1:P1"/>
    <mergeCell ref="B19:C19"/>
    <mergeCell ref="M3:M6"/>
    <mergeCell ref="B34:C34"/>
    <mergeCell ref="B10:C10"/>
    <mergeCell ref="B28:C28"/>
    <mergeCell ref="B37:C37"/>
    <mergeCell ref="A58:C58"/>
    <mergeCell ref="P3:P6"/>
    <mergeCell ref="B40:C40"/>
    <mergeCell ref="B9:C9"/>
    <mergeCell ref="A59:C59"/>
    <mergeCell ref="B49:C49"/>
    <mergeCell ref="B55:C55"/>
    <mergeCell ref="D3:K3"/>
    <mergeCell ref="B3:C6"/>
    <mergeCell ref="B24:C24"/>
    <mergeCell ref="B30:C30"/>
    <mergeCell ref="B15:C15"/>
    <mergeCell ref="B33:C33"/>
    <mergeCell ref="B51:C51"/>
    <mergeCell ref="B20:C20"/>
    <mergeCell ref="B45:C45"/>
    <mergeCell ref="B36:C36"/>
    <mergeCell ref="L58:O58"/>
    <mergeCell ref="B32:C32"/>
    <mergeCell ref="B50:C50"/>
    <mergeCell ref="B26:C26"/>
    <mergeCell ref="B41:C41"/>
    <mergeCell ref="B35:C35"/>
    <mergeCell ref="A2:P2"/>
  </mergeCells>
  <conditionalFormatting sqref="D7:K55">
    <cfRule type="cellIs" priority="1" operator="equal" dxfId="0">
      <formula>0</formula>
    </cfRule>
  </conditionalFormatting>
  <dataValidations count="1">
    <dataValidation sqref="D7 D8 D9 D10 D11 D12 D13 D14 D15 D16 D17 D18 D19 D20 D21 D22 D23 D24 D25 D26 D27 D28 D29 D30 D31 D32 D33 D34 D35 D36 D37 D38 D39 D40 D41 D42 D43 D44 D45 D46 D47 D48 D49 D50 D51 D52 D53 D54 D55 E7 E8 E9 E10 E11 E12 E13 E14 E15 E16 E17 E18 E19 E20 E21 E22 E23 E24 E25 E26 E27 E28 E29 E30 E31 E32 E33 E34 E35 E36 E37 E38 E39 E40 E41 E42 E43 E44 E45 E46 E47 E48 E49 E50 E51 E52 E53 E54 E55 F7 F8 F9 F10 F11 F12 F13 F14 F15 F16 F17 F18 F19 F20 F21 F22 F23 F24 F25 F26 F27 F28 F29 F30 F31 F32 F33 F34 F35 F36 F37 F38 F39 F40 F41 F42 F43 F44 F45 F46 F47 F48 F49 F50 F51 F52 F53 F54 F55 G7 G8 G9 G10 G11 G12 G13 G14 G15 G16 G17 G18 G19 G20 G21 G22 G23 G24 G25 G26 G27 G28 G29 G30 G31 G32 G33 G34 G35 G36 G37 G38 G39 G40 G41 G42 G43 G44 G45 G46 G47 G48 G49 G50 G51 G52 G53 G54 G55 H7 H8 H9 H10 H11 H12 H13 H14 H15 H16 H17 H18 H19 H20 H21 H22 H23 H24 H25 H26 H27 H28 H29 H30 H31 H32 H33 H34 H35 H36 H37 H38 H39 H40 H41 H42 H43 H44 H45 H46 H47 H48 H49 H50 H51 H52 H53 H54 H55 I7 I8 I9 I10 I11 I12 I13 I14 I15 I16 I17 I18 I19 I20 I21 I22 I23 I24 I25 I26 I27 I28 I29 I30 I31 I32 I33 I34 I35 I36 I37 I38 I39 I40 I41 I42 I43 I44 I45 I46 I47 I48 I49 I50 I51 I52 I53 I54 I55 J7 J8 J9 J10 J11 J12 J13 J14 J15 J16 J17 J18 J19 J20 J21 J22 J23 J24 J25 J26 J27 J28 J29 J30 J31 J32 J33 J34 J35 J36 J37 J38 J39 J40 J41 J42 J43 J44 J45 J46 J47 J48 J49 J50 J51 J52 J53 J54 J55 K7 K8 K9 K10 K11 K12 K13 K14 K15 K16 K17 K18 K19 K20 K21 K22 K23 K24 K25 K26 K27 K28 K29 K30 K31 K32 K33 K34 K35 K36 K37 K38 K39 K40 K41 K42 K43 K44 K45 K46 K47 K48 K49 K50 K51 K52 K53 K54 K55" showDropDown="0" showInputMessage="1" showErrorMessage="1" allowBlank="1" errorTitle="1 эсвэл 0" error="Чадна бол 1, чадахгүй бол 0 гэж бичнэ." promptTitle="Тэмдэглэх" prompt="Чадна = 1, Чадахгүй = 0" type="list">
      <formula1>"1,0"</formula1>
    </dataValidation>
  </dataValidations>
  <printOptions horizontalCentered="1"/>
  <pageMargins left="0.5905511811023622" right="0.1968503937007874" top="0.5905511811023622" bottom="0.5905511811023622" header="0.3149606299212598" footer="0.3149606299212598"/>
  <pageSetup orientation="landscape" paperSize="9" fitToHeight="2" fitToWidth="1"/>
</worksheet>
</file>

<file path=xl/worksheets/sheet3.xml><?xml version="1.0" encoding="utf-8"?>
<worksheet xmlns="http://schemas.openxmlformats.org/spreadsheetml/2006/main">
  <sheetPr>
    <outlinePr summaryBelow="1" summaryRight="1"/>
    <pageSetUpPr fitToPage="1"/>
  </sheetPr>
  <dimension ref="A1:M59"/>
  <sheetViews>
    <sheetView workbookViewId="0">
      <selection activeCell="A1" sqref="A1"/>
    </sheetView>
  </sheetViews>
  <sheetFormatPr baseColWidth="8" defaultRowHeight="15"/>
  <cols>
    <col width="4.5" customWidth="1" min="1" max="1"/>
    <col width="8" customWidth="1" min="2" max="2"/>
    <col width="4" customWidth="1" min="3" max="3"/>
    <col width="18" customWidth="1" min="4" max="4"/>
    <col width="18" customWidth="1" min="5" max="5"/>
    <col width="18" customWidth="1" min="6" max="6"/>
    <col width="18" customWidth="1" min="7" max="7"/>
    <col width="18" customWidth="1" min="8" max="8"/>
    <col width="7" customWidth="1" min="9" max="9"/>
    <col width="7" customWidth="1" min="10" max="10"/>
    <col width="8" customWidth="1" min="11" max="11"/>
    <col width="7" customWidth="1" min="12" max="12"/>
    <col width="14" customWidth="1" min="13" max="13"/>
  </cols>
  <sheetData>
    <row r="1">
      <c r="A1" s="1" t="inlineStr">
        <is>
          <t>................ ЦЭЦЭРЛЭГИЙН БАГА БҮЛГИЙН (2 НАС) ГАРААНЫ (ОНОШЛОХ) ҮНЭЛГЭЭ</t>
        </is>
      </c>
    </row>
    <row r="2" ht="30" customHeight="1">
      <c r="A2" s="18" t="inlineStr">
        <is>
          <t>Хөгжлийн чиглэл: Нийгэмшихүй, сэтгэл хөдлөл          Огноо: 20.... оны .... сар          Багш: ................................          Чадна = 1, Чадахгүй = 0  (А/79-ийн 2.4: «Нялх, балчир насны хүүхдийн хөгжлийг дэмжих хөтөлбөр», 25–36 сар)</t>
        </is>
      </c>
    </row>
    <row r="3">
      <c r="A3" s="3" t="inlineStr">
        <is>
          <t>№</t>
        </is>
      </c>
      <c r="B3" s="3" t="inlineStr">
        <is>
          <t>Хүүхдийн код</t>
        </is>
      </c>
      <c r="C3" s="4" t="n"/>
      <c r="D3" s="3" t="inlineStr">
        <is>
          <t>Хөгжлийн чиглэл: Нийгэмшихүй, сэтгэл хөдлөл</t>
        </is>
      </c>
      <c r="E3" s="4" t="n"/>
      <c r="F3" s="4" t="n"/>
      <c r="G3" s="4" t="n"/>
      <c r="H3" s="4" t="n"/>
      <c r="I3" s="5" t="inlineStr">
        <is>
          <t>Чадна (1)</t>
        </is>
      </c>
      <c r="J3" s="5" t="inlineStr">
        <is>
          <t>Хувь</t>
        </is>
      </c>
      <c r="K3" s="5" t="inlineStr">
        <is>
          <t>Чадахгүй (0)</t>
        </is>
      </c>
      <c r="L3" s="5" t="inlineStr">
        <is>
          <t>Хувь</t>
        </is>
      </c>
      <c r="M3" s="5" t="inlineStr">
        <is>
          <t>Түвшин</t>
        </is>
      </c>
    </row>
    <row r="4" ht="56" customHeight="1">
      <c r="A4" s="4" t="n"/>
      <c r="B4" s="4" t="n"/>
      <c r="C4" s="4" t="n"/>
      <c r="D4" s="6" t="inlineStr">
        <is>
          <t>Бусдыг дуурайна, ялангуяа том хүн, бусад хүүхдийг дуурайна.</t>
        </is>
      </c>
      <c r="E4" s="6" t="inlineStr">
        <is>
          <t>Миний, чиний гэсэн төлөөний нэрийг ойлгож хариулна.</t>
        </is>
      </c>
      <c r="F4" s="6" t="inlineStr">
        <is>
          <t>Бусад хүүхдийн дэргэд зэрэгцэж тоглоно.</t>
        </is>
      </c>
      <c r="G4" s="6" t="inlineStr">
        <is>
          <t>Уйлж байгаа хүүхдэд санаа тавина.</t>
        </is>
      </c>
      <c r="H4" s="6" t="inlineStr">
        <is>
          <t>Эцэг эхээсээ асуудалгүй холдоно.</t>
        </is>
      </c>
      <c r="I4" s="4" t="n"/>
      <c r="J4" s="4" t="n"/>
      <c r="K4" s="4" t="n"/>
      <c r="L4" s="4" t="n"/>
      <c r="M4" s="4" t="n"/>
    </row>
    <row r="5" ht="74" customHeight="1">
      <c r="A5" s="4" t="n"/>
      <c r="B5" s="4" t="n"/>
      <c r="C5" s="4" t="n"/>
      <c r="D5" s="19" t="inlineStr">
        <is>
          <t>СҮД: БНО1.2б. Гэр бүлийн гишүүдээ нэрлэж, тэдний хийж буй үйлдлийг дуурайж тоглоно.</t>
        </is>
      </c>
      <c r="E5" s="19" t="inlineStr">
        <is>
          <t>СҮД: ХЯ1.1а. Бусдын яриаг сонсоод ойлгосноо үг үйлдлээр илэрхийлнэ.</t>
        </is>
      </c>
      <c r="F5" s="19" t="inlineStr">
        <is>
          <t>СҮД: НСХ1.3б. Бусад хүмүүс ижил зүйл хийж байгааг ажиглаж мэддэг болно.</t>
        </is>
      </c>
      <c r="G5" s="19" t="inlineStr">
        <is>
          <t>СҮД: НСХ1.2б. Бусдыг энэрсэн сэтгэлээ нүүр гар, биеийн хөдөлгөөн, дуу авиа, үгээр илэрхийлдэг болно.</t>
        </is>
      </c>
      <c r="H5" s="19" t="inlineStr">
        <is>
          <t>СҮД: НСХ1.3в. Насанд хүрэгчийн тусламжтай өдрийн хуваарьт үйл ажиллагаанд дасан зохицож оролцдог болно.</t>
        </is>
      </c>
      <c r="I5" s="4" t="n"/>
      <c r="J5" s="4" t="n"/>
      <c r="K5" s="4" t="n"/>
      <c r="L5" s="4" t="n"/>
      <c r="M5" s="4" t="n"/>
    </row>
    <row r="6" ht="14" customHeight="1">
      <c r="A6" s="4" t="n"/>
      <c r="B6" s="4" t="n"/>
      <c r="C6" s="4" t="n"/>
      <c r="D6" s="10" t="inlineStr">
        <is>
          <t>1 / 0</t>
        </is>
      </c>
      <c r="E6" s="10" t="inlineStr">
        <is>
          <t>1 / 0</t>
        </is>
      </c>
      <c r="F6" s="10" t="inlineStr">
        <is>
          <t>1 / 0</t>
        </is>
      </c>
      <c r="G6" s="10" t="inlineStr">
        <is>
          <t>1 / 0</t>
        </is>
      </c>
      <c r="H6" s="10" t="inlineStr">
        <is>
          <t>1 / 0</t>
        </is>
      </c>
      <c r="I6" s="4" t="n"/>
      <c r="J6" s="4" t="n"/>
      <c r="K6" s="4" t="n"/>
      <c r="L6" s="4" t="n"/>
      <c r="M6" s="4" t="n"/>
    </row>
    <row r="7" ht="16" customHeight="1">
      <c r="A7" s="12" t="n">
        <v>1</v>
      </c>
      <c r="B7" s="12">
        <f>IF(Нэгтгэл!B7="","",Нэгтгэл!B7)</f>
        <v/>
      </c>
      <c r="C7" s="4" t="n"/>
      <c r="D7" s="13" t="n">
        <v>1</v>
      </c>
      <c r="E7" s="13" t="n">
        <v>0</v>
      </c>
      <c r="F7" s="13" t="n">
        <v>1</v>
      </c>
      <c r="G7" s="13" t="n">
        <v>1</v>
      </c>
      <c r="H7" s="13" t="n">
        <v>1</v>
      </c>
      <c r="I7" s="12">
        <f>COUNTIF(D7:H7,1)</f>
        <v/>
      </c>
      <c r="J7" s="12">
        <f>IF(COUNT(D7:H7)=0,"",ROUND(I7/5*100,1))</f>
        <v/>
      </c>
      <c r="K7" s="12">
        <f>COUNTIF(D7:H7,0)</f>
        <v/>
      </c>
      <c r="L7" s="12">
        <f>IF(COUNT(D7:H7)=0,"",ROUND(K7/5*100,1))</f>
        <v/>
      </c>
      <c r="M7" s="20">
        <f>IF(J7="","",IF(J7&gt;=Нэгтгэл!$K$4,"Хангалттай эзэмшиж байна",IF(J7&gt;=Нэгтгэл!$K$5,"Ахиж байна","Хөгжиж байна")))</f>
        <v/>
      </c>
    </row>
    <row r="8" ht="16" customHeight="1">
      <c r="A8" s="12" t="n">
        <v>2</v>
      </c>
      <c r="B8" s="12">
        <f>IF(Нэгтгэл!B8="","",Нэгтгэл!B8)</f>
        <v/>
      </c>
      <c r="C8" s="4" t="n"/>
      <c r="D8" s="13" t="n">
        <v>1</v>
      </c>
      <c r="E8" s="13" t="n">
        <v>0</v>
      </c>
      <c r="F8" s="13" t="n">
        <v>0</v>
      </c>
      <c r="G8" s="13" t="n">
        <v>0</v>
      </c>
      <c r="H8" s="13" t="n">
        <v>0</v>
      </c>
      <c r="I8" s="12">
        <f>COUNTIF(D8:H8,1)</f>
        <v/>
      </c>
      <c r="J8" s="12">
        <f>IF(COUNT(D8:H8)=0,"",ROUND(I8/5*100,1))</f>
        <v/>
      </c>
      <c r="K8" s="12">
        <f>COUNTIF(D8:H8,0)</f>
        <v/>
      </c>
      <c r="L8" s="12">
        <f>IF(COUNT(D8:H8)=0,"",ROUND(K8/5*100,1))</f>
        <v/>
      </c>
      <c r="M8" s="20">
        <f>IF(J8="","",IF(J8&gt;=Нэгтгэл!$K$4,"Хангалттай эзэмшиж байна",IF(J8&gt;=Нэгтгэл!$K$5,"Ахиж байна","Хөгжиж байна")))</f>
        <v/>
      </c>
    </row>
    <row r="9" ht="16" customHeight="1">
      <c r="A9" s="12" t="n">
        <v>3</v>
      </c>
      <c r="B9" s="12">
        <f>IF(Нэгтгэл!B9="","",Нэгтгэл!B9)</f>
        <v/>
      </c>
      <c r="C9" s="4" t="n"/>
      <c r="D9" s="13" t="n">
        <v>1</v>
      </c>
      <c r="E9" s="13" t="n">
        <v>1</v>
      </c>
      <c r="F9" s="13" t="n">
        <v>1</v>
      </c>
      <c r="G9" s="13" t="n">
        <v>1</v>
      </c>
      <c r="H9" s="13" t="n">
        <v>1</v>
      </c>
      <c r="I9" s="12">
        <f>COUNTIF(D9:H9,1)</f>
        <v/>
      </c>
      <c r="J9" s="12">
        <f>IF(COUNT(D9:H9)=0,"",ROUND(I9/5*100,1))</f>
        <v/>
      </c>
      <c r="K9" s="12">
        <f>COUNTIF(D9:H9,0)</f>
        <v/>
      </c>
      <c r="L9" s="12">
        <f>IF(COUNT(D9:H9)=0,"",ROUND(K9/5*100,1))</f>
        <v/>
      </c>
      <c r="M9" s="20">
        <f>IF(J9="","",IF(J9&gt;=Нэгтгэл!$K$4,"Хангалттай эзэмшиж байна",IF(J9&gt;=Нэгтгэл!$K$5,"Ахиж байна","Хөгжиж байна")))</f>
        <v/>
      </c>
    </row>
    <row r="10" ht="16" customHeight="1">
      <c r="A10" s="12" t="n">
        <v>4</v>
      </c>
      <c r="B10" s="12">
        <f>IF(Нэгтгэл!B10="","",Нэгтгэл!B10)</f>
        <v/>
      </c>
      <c r="C10" s="4" t="n"/>
      <c r="D10" s="13" t="n">
        <v>0</v>
      </c>
      <c r="E10" s="13" t="n">
        <v>1</v>
      </c>
      <c r="F10" s="13" t="n">
        <v>0</v>
      </c>
      <c r="G10" s="13" t="n">
        <v>1</v>
      </c>
      <c r="H10" s="13" t="n">
        <v>1</v>
      </c>
      <c r="I10" s="12">
        <f>COUNTIF(D10:H10,1)</f>
        <v/>
      </c>
      <c r="J10" s="12">
        <f>IF(COUNT(D10:H10)=0,"",ROUND(I10/5*100,1))</f>
        <v/>
      </c>
      <c r="K10" s="12">
        <f>COUNTIF(D10:H10,0)</f>
        <v/>
      </c>
      <c r="L10" s="12">
        <f>IF(COUNT(D10:H10)=0,"",ROUND(K10/5*100,1))</f>
        <v/>
      </c>
      <c r="M10" s="20">
        <f>IF(J10="","",IF(J10&gt;=Нэгтгэл!$K$4,"Хангалттай эзэмшиж байна",IF(J10&gt;=Нэгтгэл!$K$5,"Ахиж байна","Хөгжиж байна")))</f>
        <v/>
      </c>
    </row>
    <row r="11" ht="16" customHeight="1">
      <c r="A11" s="12" t="n">
        <v>5</v>
      </c>
      <c r="B11" s="12">
        <f>IF(Нэгтгэл!B11="","",Нэгтгэл!B11)</f>
        <v/>
      </c>
      <c r="C11" s="4" t="n"/>
      <c r="D11" s="13" t="n">
        <v>1</v>
      </c>
      <c r="E11" s="13" t="n">
        <v>1</v>
      </c>
      <c r="F11" s="13" t="n">
        <v>1</v>
      </c>
      <c r="G11" s="13" t="n">
        <v>1</v>
      </c>
      <c r="H11" s="13" t="n">
        <v>1</v>
      </c>
      <c r="I11" s="12">
        <f>COUNTIF(D11:H11,1)</f>
        <v/>
      </c>
      <c r="J11" s="12">
        <f>IF(COUNT(D11:H11)=0,"",ROUND(I11/5*100,1))</f>
        <v/>
      </c>
      <c r="K11" s="12">
        <f>COUNTIF(D11:H11,0)</f>
        <v/>
      </c>
      <c r="L11" s="12">
        <f>IF(COUNT(D11:H11)=0,"",ROUND(K11/5*100,1))</f>
        <v/>
      </c>
      <c r="M11" s="20">
        <f>IF(J11="","",IF(J11&gt;=Нэгтгэл!$K$4,"Хангалттай эзэмшиж байна",IF(J11&gt;=Нэгтгэл!$K$5,"Ахиж байна","Хөгжиж байна")))</f>
        <v/>
      </c>
    </row>
    <row r="12" ht="16" customHeight="1">
      <c r="A12" s="12" t="n">
        <v>6</v>
      </c>
      <c r="B12" s="12">
        <f>IF(Нэгтгэл!B12="","",Нэгтгэл!B12)</f>
        <v/>
      </c>
      <c r="C12" s="4" t="n"/>
      <c r="D12" s="13" t="n">
        <v>1</v>
      </c>
      <c r="E12" s="13" t="n">
        <v>0</v>
      </c>
      <c r="F12" s="13" t="n">
        <v>1</v>
      </c>
      <c r="G12" s="13" t="n">
        <v>0</v>
      </c>
      <c r="H12" s="13" t="n">
        <v>0</v>
      </c>
      <c r="I12" s="12">
        <f>COUNTIF(D12:H12,1)</f>
        <v/>
      </c>
      <c r="J12" s="12">
        <f>IF(COUNT(D12:H12)=0,"",ROUND(I12/5*100,1))</f>
        <v/>
      </c>
      <c r="K12" s="12">
        <f>COUNTIF(D12:H12,0)</f>
        <v/>
      </c>
      <c r="L12" s="12">
        <f>IF(COUNT(D12:H12)=0,"",ROUND(K12/5*100,1))</f>
        <v/>
      </c>
      <c r="M12" s="20">
        <f>IF(J12="","",IF(J12&gt;=Нэгтгэл!$K$4,"Хангалттай эзэмшиж байна",IF(J12&gt;=Нэгтгэл!$K$5,"Ахиж байна","Хөгжиж байна")))</f>
        <v/>
      </c>
    </row>
    <row r="13" ht="16" customHeight="1">
      <c r="A13" s="12" t="n">
        <v>7</v>
      </c>
      <c r="B13" s="12">
        <f>IF(Нэгтгэл!B13="","",Нэгтгэл!B13)</f>
        <v/>
      </c>
      <c r="C13" s="4" t="n"/>
      <c r="D13" s="13" t="n">
        <v>1</v>
      </c>
      <c r="E13" s="13" t="n">
        <v>1</v>
      </c>
      <c r="F13" s="13" t="n">
        <v>1</v>
      </c>
      <c r="G13" s="13" t="n">
        <v>1</v>
      </c>
      <c r="H13" s="13" t="n">
        <v>0</v>
      </c>
      <c r="I13" s="12">
        <f>COUNTIF(D13:H13,1)</f>
        <v/>
      </c>
      <c r="J13" s="12">
        <f>IF(COUNT(D13:H13)=0,"",ROUND(I13/5*100,1))</f>
        <v/>
      </c>
      <c r="K13" s="12">
        <f>COUNTIF(D13:H13,0)</f>
        <v/>
      </c>
      <c r="L13" s="12">
        <f>IF(COUNT(D13:H13)=0,"",ROUND(K13/5*100,1))</f>
        <v/>
      </c>
      <c r="M13" s="20">
        <f>IF(J13="","",IF(J13&gt;=Нэгтгэл!$K$4,"Хангалттай эзэмшиж байна",IF(J13&gt;=Нэгтгэл!$K$5,"Ахиж байна","Хөгжиж байна")))</f>
        <v/>
      </c>
    </row>
    <row r="14" ht="16" customHeight="1">
      <c r="A14" s="12" t="n">
        <v>8</v>
      </c>
      <c r="B14" s="12">
        <f>IF(Нэгтгэл!B14="","",Нэгтгэл!B14)</f>
        <v/>
      </c>
      <c r="C14" s="4" t="n"/>
      <c r="D14" s="13" t="n">
        <v>1</v>
      </c>
      <c r="E14" s="13" t="n">
        <v>1</v>
      </c>
      <c r="F14" s="13" t="n">
        <v>0</v>
      </c>
      <c r="G14" s="13" t="n">
        <v>1</v>
      </c>
      <c r="H14" s="13" t="n">
        <v>1</v>
      </c>
      <c r="I14" s="12">
        <f>COUNTIF(D14:H14,1)</f>
        <v/>
      </c>
      <c r="J14" s="12">
        <f>IF(COUNT(D14:H14)=0,"",ROUND(I14/5*100,1))</f>
        <v/>
      </c>
      <c r="K14" s="12">
        <f>COUNTIF(D14:H14,0)</f>
        <v/>
      </c>
      <c r="L14" s="12">
        <f>IF(COUNT(D14:H14)=0,"",ROUND(K14/5*100,1))</f>
        <v/>
      </c>
      <c r="M14" s="20">
        <f>IF(J14="","",IF(J14&gt;=Нэгтгэл!$K$4,"Хангалттай эзэмшиж байна",IF(J14&gt;=Нэгтгэл!$K$5,"Ахиж байна","Хөгжиж байна")))</f>
        <v/>
      </c>
    </row>
    <row r="15" ht="16" customHeight="1">
      <c r="A15" s="12" t="n">
        <v>9</v>
      </c>
      <c r="B15" s="12">
        <f>IF(Нэгтгэл!B15="","",Нэгтгэл!B15)</f>
        <v/>
      </c>
      <c r="C15" s="4" t="n"/>
      <c r="D15" s="13" t="n">
        <v>1</v>
      </c>
      <c r="E15" s="13" t="n">
        <v>1</v>
      </c>
      <c r="F15" s="13" t="n">
        <v>0</v>
      </c>
      <c r="G15" s="13" t="n">
        <v>1</v>
      </c>
      <c r="H15" s="13" t="n">
        <v>1</v>
      </c>
      <c r="I15" s="12">
        <f>COUNTIF(D15:H15,1)</f>
        <v/>
      </c>
      <c r="J15" s="12">
        <f>IF(COUNT(D15:H15)=0,"",ROUND(I15/5*100,1))</f>
        <v/>
      </c>
      <c r="K15" s="12">
        <f>COUNTIF(D15:H15,0)</f>
        <v/>
      </c>
      <c r="L15" s="12">
        <f>IF(COUNT(D15:H15)=0,"",ROUND(K15/5*100,1))</f>
        <v/>
      </c>
      <c r="M15" s="20">
        <f>IF(J15="","",IF(J15&gt;=Нэгтгэл!$K$4,"Хангалттай эзэмшиж байна",IF(J15&gt;=Нэгтгэл!$K$5,"Ахиж байна","Хөгжиж байна")))</f>
        <v/>
      </c>
    </row>
    <row r="16" ht="16" customHeight="1">
      <c r="A16" s="12" t="n">
        <v>10</v>
      </c>
      <c r="B16" s="12">
        <f>IF(Нэгтгэл!B16="","",Нэгтгэл!B16)</f>
        <v/>
      </c>
      <c r="C16" s="4" t="n"/>
      <c r="D16" s="13" t="n">
        <v>1</v>
      </c>
      <c r="E16" s="13" t="n">
        <v>0</v>
      </c>
      <c r="F16" s="13" t="n">
        <v>1</v>
      </c>
      <c r="G16" s="13" t="n">
        <v>1</v>
      </c>
      <c r="H16" s="13" t="n">
        <v>1</v>
      </c>
      <c r="I16" s="12">
        <f>COUNTIF(D16:H16,1)</f>
        <v/>
      </c>
      <c r="J16" s="12">
        <f>IF(COUNT(D16:H16)=0,"",ROUND(I16/5*100,1))</f>
        <v/>
      </c>
      <c r="K16" s="12">
        <f>COUNTIF(D16:H16,0)</f>
        <v/>
      </c>
      <c r="L16" s="12">
        <f>IF(COUNT(D16:H16)=0,"",ROUND(K16/5*100,1))</f>
        <v/>
      </c>
      <c r="M16" s="20">
        <f>IF(J16="","",IF(J16&gt;=Нэгтгэл!$K$4,"Хангалттай эзэмшиж байна",IF(J16&gt;=Нэгтгэл!$K$5,"Ахиж байна","Хөгжиж байна")))</f>
        <v/>
      </c>
    </row>
    <row r="17" ht="16" customHeight="1">
      <c r="A17" s="12" t="n">
        <v>11</v>
      </c>
      <c r="B17" s="12">
        <f>IF(Нэгтгэл!B17="","",Нэгтгэл!B17)</f>
        <v/>
      </c>
      <c r="C17" s="4" t="n"/>
      <c r="D17" s="13" t="n">
        <v>1</v>
      </c>
      <c r="E17" s="13" t="n">
        <v>0</v>
      </c>
      <c r="F17" s="13" t="n">
        <v>0</v>
      </c>
      <c r="G17" s="13" t="n">
        <v>0</v>
      </c>
      <c r="H17" s="13" t="n">
        <v>1</v>
      </c>
      <c r="I17" s="12">
        <f>COUNTIF(D17:H17,1)</f>
        <v/>
      </c>
      <c r="J17" s="12">
        <f>IF(COUNT(D17:H17)=0,"",ROUND(I17/5*100,1))</f>
        <v/>
      </c>
      <c r="K17" s="12">
        <f>COUNTIF(D17:H17,0)</f>
        <v/>
      </c>
      <c r="L17" s="12">
        <f>IF(COUNT(D17:H17)=0,"",ROUND(K17/5*100,1))</f>
        <v/>
      </c>
      <c r="M17" s="20">
        <f>IF(J17="","",IF(J17&gt;=Нэгтгэл!$K$4,"Хангалттай эзэмшиж байна",IF(J17&gt;=Нэгтгэл!$K$5,"Ахиж байна","Хөгжиж байна")))</f>
        <v/>
      </c>
    </row>
    <row r="18" ht="16" customHeight="1">
      <c r="A18" s="12" t="n">
        <v>12</v>
      </c>
      <c r="B18" s="12">
        <f>IF(Нэгтгэл!B18="","",Нэгтгэл!B18)</f>
        <v/>
      </c>
      <c r="C18" s="4" t="n"/>
      <c r="D18" s="13" t="n">
        <v>1</v>
      </c>
      <c r="E18" s="13" t="n">
        <v>0</v>
      </c>
      <c r="F18" s="13" t="n">
        <v>1</v>
      </c>
      <c r="G18" s="13" t="n">
        <v>1</v>
      </c>
      <c r="H18" s="13" t="n">
        <v>1</v>
      </c>
      <c r="I18" s="12">
        <f>COUNTIF(D18:H18,1)</f>
        <v/>
      </c>
      <c r="J18" s="12">
        <f>IF(COUNT(D18:H18)=0,"",ROUND(I18/5*100,1))</f>
        <v/>
      </c>
      <c r="K18" s="12">
        <f>COUNTIF(D18:H18,0)</f>
        <v/>
      </c>
      <c r="L18" s="12">
        <f>IF(COUNT(D18:H18)=0,"",ROUND(K18/5*100,1))</f>
        <v/>
      </c>
      <c r="M18" s="20">
        <f>IF(J18="","",IF(J18&gt;=Нэгтгэл!$K$4,"Хангалттай эзэмшиж байна",IF(J18&gt;=Нэгтгэл!$K$5,"Ахиж байна","Хөгжиж байна")))</f>
        <v/>
      </c>
    </row>
    <row r="19" ht="16" customHeight="1">
      <c r="A19" s="12" t="n">
        <v>13</v>
      </c>
      <c r="B19" s="12">
        <f>IF(Нэгтгэл!B19="","",Нэгтгэл!B19)</f>
        <v/>
      </c>
      <c r="C19" s="4" t="n"/>
      <c r="D19" s="13" t="n">
        <v>0</v>
      </c>
      <c r="E19" s="13" t="n">
        <v>1</v>
      </c>
      <c r="F19" s="13" t="n">
        <v>0</v>
      </c>
      <c r="G19" s="13" t="n">
        <v>1</v>
      </c>
      <c r="H19" s="13" t="n">
        <v>1</v>
      </c>
      <c r="I19" s="12">
        <f>COUNTIF(D19:H19,1)</f>
        <v/>
      </c>
      <c r="J19" s="12">
        <f>IF(COUNT(D19:H19)=0,"",ROUND(I19/5*100,1))</f>
        <v/>
      </c>
      <c r="K19" s="12">
        <f>COUNTIF(D19:H19,0)</f>
        <v/>
      </c>
      <c r="L19" s="12">
        <f>IF(COUNT(D19:H19)=0,"",ROUND(K19/5*100,1))</f>
        <v/>
      </c>
      <c r="M19" s="20">
        <f>IF(J19="","",IF(J19&gt;=Нэгтгэл!$K$4,"Хангалттай эзэмшиж байна",IF(J19&gt;=Нэгтгэл!$K$5,"Ахиж байна","Хөгжиж байна")))</f>
        <v/>
      </c>
    </row>
    <row r="20" ht="16" customHeight="1">
      <c r="A20" s="12" t="n">
        <v>14</v>
      </c>
      <c r="B20" s="12">
        <f>IF(Нэгтгэл!B20="","",Нэгтгэл!B20)</f>
        <v/>
      </c>
      <c r="C20" s="4" t="n"/>
      <c r="D20" s="13" t="n">
        <v>0</v>
      </c>
      <c r="E20" s="13" t="n">
        <v>1</v>
      </c>
      <c r="F20" s="13" t="n">
        <v>1</v>
      </c>
      <c r="G20" s="13" t="n">
        <v>1</v>
      </c>
      <c r="H20" s="13" t="n">
        <v>0</v>
      </c>
      <c r="I20" s="12">
        <f>COUNTIF(D20:H20,1)</f>
        <v/>
      </c>
      <c r="J20" s="12">
        <f>IF(COUNT(D20:H20)=0,"",ROUND(I20/5*100,1))</f>
        <v/>
      </c>
      <c r="K20" s="12">
        <f>COUNTIF(D20:H20,0)</f>
        <v/>
      </c>
      <c r="L20" s="12">
        <f>IF(COUNT(D20:H20)=0,"",ROUND(K20/5*100,1))</f>
        <v/>
      </c>
      <c r="M20" s="20">
        <f>IF(J20="","",IF(J20&gt;=Нэгтгэл!$K$4,"Хангалттай эзэмшиж байна",IF(J20&gt;=Нэгтгэл!$K$5,"Ахиж байна","Хөгжиж байна")))</f>
        <v/>
      </c>
    </row>
    <row r="21" ht="16" customHeight="1">
      <c r="A21" s="12" t="n">
        <v>15</v>
      </c>
      <c r="B21" s="12">
        <f>IF(Нэгтгэл!B21="","",Нэгтгэл!B21)</f>
        <v/>
      </c>
      <c r="C21" s="4" t="n"/>
      <c r="D21" s="13" t="n">
        <v>1</v>
      </c>
      <c r="E21" s="13" t="n">
        <v>0</v>
      </c>
      <c r="F21" s="13" t="n">
        <v>1</v>
      </c>
      <c r="G21" s="13" t="n">
        <v>1</v>
      </c>
      <c r="H21" s="13" t="n">
        <v>1</v>
      </c>
      <c r="I21" s="12">
        <f>COUNTIF(D21:H21,1)</f>
        <v/>
      </c>
      <c r="J21" s="12">
        <f>IF(COUNT(D21:H21)=0,"",ROUND(I21/5*100,1))</f>
        <v/>
      </c>
      <c r="K21" s="12">
        <f>COUNTIF(D21:H21,0)</f>
        <v/>
      </c>
      <c r="L21" s="12">
        <f>IF(COUNT(D21:H21)=0,"",ROUND(K21/5*100,1))</f>
        <v/>
      </c>
      <c r="M21" s="20">
        <f>IF(J21="","",IF(J21&gt;=Нэгтгэл!$K$4,"Хангалттай эзэмшиж байна",IF(J21&gt;=Нэгтгэл!$K$5,"Ахиж байна","Хөгжиж байна")))</f>
        <v/>
      </c>
    </row>
    <row r="22" ht="16" customHeight="1">
      <c r="A22" s="12" t="n">
        <v>16</v>
      </c>
      <c r="B22" s="12">
        <f>IF(Нэгтгэл!B22="","",Нэгтгэл!B22)</f>
        <v/>
      </c>
      <c r="C22" s="4" t="n"/>
      <c r="D22" s="13" t="n">
        <v>1</v>
      </c>
      <c r="E22" s="13" t="n">
        <v>0</v>
      </c>
      <c r="F22" s="13" t="n">
        <v>1</v>
      </c>
      <c r="G22" s="13" t="n">
        <v>1</v>
      </c>
      <c r="H22" s="13" t="n">
        <v>1</v>
      </c>
      <c r="I22" s="12">
        <f>COUNTIF(D22:H22,1)</f>
        <v/>
      </c>
      <c r="J22" s="12">
        <f>IF(COUNT(D22:H22)=0,"",ROUND(I22/5*100,1))</f>
        <v/>
      </c>
      <c r="K22" s="12">
        <f>COUNTIF(D22:H22,0)</f>
        <v/>
      </c>
      <c r="L22" s="12">
        <f>IF(COUNT(D22:H22)=0,"",ROUND(K22/5*100,1))</f>
        <v/>
      </c>
      <c r="M22" s="20">
        <f>IF(J22="","",IF(J22&gt;=Нэгтгэл!$K$4,"Хангалттай эзэмшиж байна",IF(J22&gt;=Нэгтгэл!$K$5,"Ахиж байна","Хөгжиж байна")))</f>
        <v/>
      </c>
    </row>
    <row r="23" ht="16" customHeight="1">
      <c r="A23" s="12" t="n">
        <v>17</v>
      </c>
      <c r="B23" s="12">
        <f>IF(Нэгтгэл!B23="","",Нэгтгэл!B23)</f>
        <v/>
      </c>
      <c r="C23" s="4" t="n"/>
      <c r="D23" s="13" t="n">
        <v>1</v>
      </c>
      <c r="E23" s="13" t="n">
        <v>1</v>
      </c>
      <c r="F23" s="13" t="n">
        <v>1</v>
      </c>
      <c r="G23" s="13" t="n">
        <v>1</v>
      </c>
      <c r="H23" s="13" t="n">
        <v>1</v>
      </c>
      <c r="I23" s="12">
        <f>COUNTIF(D23:H23,1)</f>
        <v/>
      </c>
      <c r="J23" s="12">
        <f>IF(COUNT(D23:H23)=0,"",ROUND(I23/5*100,1))</f>
        <v/>
      </c>
      <c r="K23" s="12">
        <f>COUNTIF(D23:H23,0)</f>
        <v/>
      </c>
      <c r="L23" s="12">
        <f>IF(COUNT(D23:H23)=0,"",ROUND(K23/5*100,1))</f>
        <v/>
      </c>
      <c r="M23" s="20">
        <f>IF(J23="","",IF(J23&gt;=Нэгтгэл!$K$4,"Хангалттай эзэмшиж байна",IF(J23&gt;=Нэгтгэл!$K$5,"Ахиж байна","Хөгжиж байна")))</f>
        <v/>
      </c>
    </row>
    <row r="24" ht="16" customHeight="1">
      <c r="A24" s="12" t="n">
        <v>18</v>
      </c>
      <c r="B24" s="12">
        <f>IF(Нэгтгэл!B24="","",Нэгтгэл!B24)</f>
        <v/>
      </c>
      <c r="C24" s="4" t="n"/>
      <c r="D24" s="13" t="n">
        <v>1</v>
      </c>
      <c r="E24" s="13" t="n">
        <v>1</v>
      </c>
      <c r="F24" s="13" t="n">
        <v>0</v>
      </c>
      <c r="G24" s="13" t="n">
        <v>0</v>
      </c>
      <c r="H24" s="13" t="n">
        <v>0</v>
      </c>
      <c r="I24" s="12">
        <f>COUNTIF(D24:H24,1)</f>
        <v/>
      </c>
      <c r="J24" s="12">
        <f>IF(COUNT(D24:H24)=0,"",ROUND(I24/5*100,1))</f>
        <v/>
      </c>
      <c r="K24" s="12">
        <f>COUNTIF(D24:H24,0)</f>
        <v/>
      </c>
      <c r="L24" s="12">
        <f>IF(COUNT(D24:H24)=0,"",ROUND(K24/5*100,1))</f>
        <v/>
      </c>
      <c r="M24" s="20">
        <f>IF(J24="","",IF(J24&gt;=Нэгтгэл!$K$4,"Хангалттай эзэмшиж байна",IF(J24&gt;=Нэгтгэл!$K$5,"Ахиж байна","Хөгжиж байна")))</f>
        <v/>
      </c>
    </row>
    <row r="25" ht="16" customHeight="1">
      <c r="A25" s="12" t="n">
        <v>19</v>
      </c>
      <c r="B25" s="12">
        <f>IF(Нэгтгэл!B25="","",Нэгтгэл!B25)</f>
        <v/>
      </c>
      <c r="C25" s="4" t="n"/>
      <c r="D25" s="13" t="n">
        <v>0</v>
      </c>
      <c r="E25" s="13" t="n">
        <v>1</v>
      </c>
      <c r="F25" s="13" t="n">
        <v>1</v>
      </c>
      <c r="G25" s="13" t="n">
        <v>1</v>
      </c>
      <c r="H25" s="13" t="n">
        <v>1</v>
      </c>
      <c r="I25" s="12">
        <f>COUNTIF(D25:H25,1)</f>
        <v/>
      </c>
      <c r="J25" s="12">
        <f>IF(COUNT(D25:H25)=0,"",ROUND(I25/5*100,1))</f>
        <v/>
      </c>
      <c r="K25" s="12">
        <f>COUNTIF(D25:H25,0)</f>
        <v/>
      </c>
      <c r="L25" s="12">
        <f>IF(COUNT(D25:H25)=0,"",ROUND(K25/5*100,1))</f>
        <v/>
      </c>
      <c r="M25" s="20">
        <f>IF(J25="","",IF(J25&gt;=Нэгтгэл!$K$4,"Хангалттай эзэмшиж байна",IF(J25&gt;=Нэгтгэл!$K$5,"Ахиж байна","Хөгжиж байна")))</f>
        <v/>
      </c>
    </row>
    <row r="26" ht="16" customHeight="1">
      <c r="A26" s="12" t="n">
        <v>20</v>
      </c>
      <c r="B26" s="12">
        <f>IF(Нэгтгэл!B26="","",Нэгтгэл!B26)</f>
        <v/>
      </c>
      <c r="C26" s="4" t="n"/>
      <c r="D26" s="13" t="n">
        <v>1</v>
      </c>
      <c r="E26" s="13" t="n">
        <v>0</v>
      </c>
      <c r="F26" s="13" t="n">
        <v>0</v>
      </c>
      <c r="G26" s="13" t="n">
        <v>1</v>
      </c>
      <c r="H26" s="13" t="n">
        <v>1</v>
      </c>
      <c r="I26" s="12">
        <f>COUNTIF(D26:H26,1)</f>
        <v/>
      </c>
      <c r="J26" s="12">
        <f>IF(COUNT(D26:H26)=0,"",ROUND(I26/5*100,1))</f>
        <v/>
      </c>
      <c r="K26" s="12">
        <f>COUNTIF(D26:H26,0)</f>
        <v/>
      </c>
      <c r="L26" s="12">
        <f>IF(COUNT(D26:H26)=0,"",ROUND(K26/5*100,1))</f>
        <v/>
      </c>
      <c r="M26" s="20">
        <f>IF(J26="","",IF(J26&gt;=Нэгтгэл!$K$4,"Хангалттай эзэмшиж байна",IF(J26&gt;=Нэгтгэл!$K$5,"Ахиж байна","Хөгжиж байна")))</f>
        <v/>
      </c>
    </row>
    <row r="27" ht="16" customHeight="1">
      <c r="A27" s="12" t="n">
        <v>21</v>
      </c>
      <c r="B27" s="12">
        <f>IF(Нэгтгэл!B27="","",Нэгтгэл!B27)</f>
        <v/>
      </c>
      <c r="C27" s="4" t="n"/>
      <c r="D27" s="13" t="n">
        <v>1</v>
      </c>
      <c r="E27" s="13" t="n">
        <v>1</v>
      </c>
      <c r="F27" s="13" t="n">
        <v>1</v>
      </c>
      <c r="G27" s="13" t="n">
        <v>1</v>
      </c>
      <c r="H27" s="13" t="n">
        <v>0</v>
      </c>
      <c r="I27" s="12">
        <f>COUNTIF(D27:H27,1)</f>
        <v/>
      </c>
      <c r="J27" s="12">
        <f>IF(COUNT(D27:H27)=0,"",ROUND(I27/5*100,1))</f>
        <v/>
      </c>
      <c r="K27" s="12">
        <f>COUNTIF(D27:H27,0)</f>
        <v/>
      </c>
      <c r="L27" s="12">
        <f>IF(COUNT(D27:H27)=0,"",ROUND(K27/5*100,1))</f>
        <v/>
      </c>
      <c r="M27" s="20">
        <f>IF(J27="","",IF(J27&gt;=Нэгтгэл!$K$4,"Хангалттай эзэмшиж байна",IF(J27&gt;=Нэгтгэл!$K$5,"Ахиж байна","Хөгжиж байна")))</f>
        <v/>
      </c>
    </row>
    <row r="28" ht="16" customHeight="1">
      <c r="A28" s="12" t="n">
        <v>22</v>
      </c>
      <c r="B28" s="12">
        <f>IF(Нэгтгэл!B28="","",Нэгтгэл!B28)</f>
        <v/>
      </c>
      <c r="C28" s="4" t="n"/>
      <c r="D28" s="13" t="n">
        <v>1</v>
      </c>
      <c r="E28" s="13" t="n">
        <v>0</v>
      </c>
      <c r="F28" s="13" t="n">
        <v>1</v>
      </c>
      <c r="G28" s="13" t="n">
        <v>1</v>
      </c>
      <c r="H28" s="13" t="n">
        <v>1</v>
      </c>
      <c r="I28" s="12">
        <f>COUNTIF(D28:H28,1)</f>
        <v/>
      </c>
      <c r="J28" s="12">
        <f>IF(COUNT(D28:H28)=0,"",ROUND(I28/5*100,1))</f>
        <v/>
      </c>
      <c r="K28" s="12">
        <f>COUNTIF(D28:H28,0)</f>
        <v/>
      </c>
      <c r="L28" s="12">
        <f>IF(COUNT(D28:H28)=0,"",ROUND(K28/5*100,1))</f>
        <v/>
      </c>
      <c r="M28" s="20">
        <f>IF(J28="","",IF(J28&gt;=Нэгтгэл!$K$4,"Хангалттай эзэмшиж байна",IF(J28&gt;=Нэгтгэл!$K$5,"Ахиж байна","Хөгжиж байна")))</f>
        <v/>
      </c>
    </row>
    <row r="29" ht="16" customHeight="1">
      <c r="A29" s="12" t="n">
        <v>23</v>
      </c>
      <c r="B29" s="12">
        <f>IF(Нэгтгэл!B29="","",Нэгтгэл!B29)</f>
        <v/>
      </c>
      <c r="C29" s="4" t="n"/>
      <c r="D29" s="13" t="n">
        <v>1</v>
      </c>
      <c r="E29" s="13" t="n">
        <v>0</v>
      </c>
      <c r="F29" s="13" t="n">
        <v>1</v>
      </c>
      <c r="G29" s="13" t="n">
        <v>1</v>
      </c>
      <c r="H29" s="13" t="n">
        <v>1</v>
      </c>
      <c r="I29" s="12">
        <f>COUNTIF(D29:H29,1)</f>
        <v/>
      </c>
      <c r="J29" s="12">
        <f>IF(COUNT(D29:H29)=0,"",ROUND(I29/5*100,1))</f>
        <v/>
      </c>
      <c r="K29" s="12">
        <f>COUNTIF(D29:H29,0)</f>
        <v/>
      </c>
      <c r="L29" s="12">
        <f>IF(COUNT(D29:H29)=0,"",ROUND(K29/5*100,1))</f>
        <v/>
      </c>
      <c r="M29" s="20">
        <f>IF(J29="","",IF(J29&gt;=Нэгтгэл!$K$4,"Хангалттай эзэмшиж байна",IF(J29&gt;=Нэгтгэл!$K$5,"Ахиж байна","Хөгжиж байна")))</f>
        <v/>
      </c>
    </row>
    <row r="30" ht="16" customHeight="1">
      <c r="A30" s="12" t="n">
        <v>24</v>
      </c>
      <c r="B30" s="12">
        <f>IF(Нэгтгэл!B30="","",Нэгтгэл!B30)</f>
        <v/>
      </c>
      <c r="C30" s="4" t="n"/>
      <c r="D30" s="13" t="n">
        <v>1</v>
      </c>
      <c r="E30" s="13" t="n">
        <v>1</v>
      </c>
      <c r="F30" s="13" t="n">
        <v>1</v>
      </c>
      <c r="G30" s="13" t="n">
        <v>1</v>
      </c>
      <c r="H30" s="13" t="n">
        <v>1</v>
      </c>
      <c r="I30" s="12">
        <f>COUNTIF(D30:H30,1)</f>
        <v/>
      </c>
      <c r="J30" s="12">
        <f>IF(COUNT(D30:H30)=0,"",ROUND(I30/5*100,1))</f>
        <v/>
      </c>
      <c r="K30" s="12">
        <f>COUNTIF(D30:H30,0)</f>
        <v/>
      </c>
      <c r="L30" s="12">
        <f>IF(COUNT(D30:H30)=0,"",ROUND(K30/5*100,1))</f>
        <v/>
      </c>
      <c r="M30" s="20">
        <f>IF(J30="","",IF(J30&gt;=Нэгтгэл!$K$4,"Хангалттай эзэмшиж байна",IF(J30&gt;=Нэгтгэл!$K$5,"Ахиж байна","Хөгжиж байна")))</f>
        <v/>
      </c>
    </row>
    <row r="31" ht="16" customHeight="1">
      <c r="A31" s="12" t="n">
        <v>25</v>
      </c>
      <c r="B31" s="12">
        <f>IF(Нэгтгэл!B31="","",Нэгтгэл!B31)</f>
        <v/>
      </c>
      <c r="C31" s="4" t="n"/>
      <c r="D31" s="13" t="n">
        <v>1</v>
      </c>
      <c r="E31" s="13" t="n">
        <v>1</v>
      </c>
      <c r="F31" s="13" t="n">
        <v>1</v>
      </c>
      <c r="G31" s="13" t="n">
        <v>1</v>
      </c>
      <c r="H31" s="13" t="n">
        <v>1</v>
      </c>
      <c r="I31" s="12">
        <f>COUNTIF(D31:H31,1)</f>
        <v/>
      </c>
      <c r="J31" s="12">
        <f>IF(COUNT(D31:H31)=0,"",ROUND(I31/5*100,1))</f>
        <v/>
      </c>
      <c r="K31" s="12">
        <f>COUNTIF(D31:H31,0)</f>
        <v/>
      </c>
      <c r="L31" s="12">
        <f>IF(COUNT(D31:H31)=0,"",ROUND(K31/5*100,1))</f>
        <v/>
      </c>
      <c r="M31" s="20">
        <f>IF(J31="","",IF(J31&gt;=Нэгтгэл!$K$4,"Хангалттай эзэмшиж байна",IF(J31&gt;=Нэгтгэл!$K$5,"Ахиж байна","Хөгжиж байна")))</f>
        <v/>
      </c>
    </row>
    <row r="32" ht="16" customHeight="1">
      <c r="A32" s="12" t="n">
        <v>26</v>
      </c>
      <c r="B32" s="12">
        <f>IF(Нэгтгэл!B32="","",Нэгтгэл!B32)</f>
        <v/>
      </c>
      <c r="C32" s="4" t="n"/>
      <c r="D32" s="13" t="n">
        <v>1</v>
      </c>
      <c r="E32" s="13" t="n">
        <v>1</v>
      </c>
      <c r="F32" s="13" t="n">
        <v>1</v>
      </c>
      <c r="G32" s="13" t="n">
        <v>1</v>
      </c>
      <c r="H32" s="13" t="n">
        <v>1</v>
      </c>
      <c r="I32" s="12">
        <f>COUNTIF(D32:H32,1)</f>
        <v/>
      </c>
      <c r="J32" s="12">
        <f>IF(COUNT(D32:H32)=0,"",ROUND(I32/5*100,1))</f>
        <v/>
      </c>
      <c r="K32" s="12">
        <f>COUNTIF(D32:H32,0)</f>
        <v/>
      </c>
      <c r="L32" s="12">
        <f>IF(COUNT(D32:H32)=0,"",ROUND(K32/5*100,1))</f>
        <v/>
      </c>
      <c r="M32" s="20">
        <f>IF(J32="","",IF(J32&gt;=Нэгтгэл!$K$4,"Хангалттай эзэмшиж байна",IF(J32&gt;=Нэгтгэл!$K$5,"Ахиж байна","Хөгжиж байна")))</f>
        <v/>
      </c>
    </row>
    <row r="33" ht="16" customHeight="1">
      <c r="A33" s="12" t="n">
        <v>27</v>
      </c>
      <c r="B33" s="12">
        <f>IF(Нэгтгэл!B33="","",Нэгтгэл!B33)</f>
        <v/>
      </c>
      <c r="C33" s="4" t="n"/>
      <c r="D33" s="13" t="n">
        <v>1</v>
      </c>
      <c r="E33" s="13" t="n">
        <v>1</v>
      </c>
      <c r="F33" s="13" t="n">
        <v>1</v>
      </c>
      <c r="G33" s="13" t="n">
        <v>1</v>
      </c>
      <c r="H33" s="13" t="n">
        <v>1</v>
      </c>
      <c r="I33" s="12">
        <f>COUNTIF(D33:H33,1)</f>
        <v/>
      </c>
      <c r="J33" s="12">
        <f>IF(COUNT(D33:H33)=0,"",ROUND(I33/5*100,1))</f>
        <v/>
      </c>
      <c r="K33" s="12">
        <f>COUNTIF(D33:H33,0)</f>
        <v/>
      </c>
      <c r="L33" s="12">
        <f>IF(COUNT(D33:H33)=0,"",ROUND(K33/5*100,1))</f>
        <v/>
      </c>
      <c r="M33" s="20">
        <f>IF(J33="","",IF(J33&gt;=Нэгтгэл!$K$4,"Хангалттай эзэмшиж байна",IF(J33&gt;=Нэгтгэл!$K$5,"Ахиж байна","Хөгжиж байна")))</f>
        <v/>
      </c>
    </row>
    <row r="34" ht="16" customHeight="1">
      <c r="A34" s="12" t="n">
        <v>28</v>
      </c>
      <c r="B34" s="12">
        <f>IF(Нэгтгэл!B34="","",Нэгтгэл!B34)</f>
        <v/>
      </c>
      <c r="C34" s="4" t="n"/>
      <c r="D34" s="13" t="n">
        <v>1</v>
      </c>
      <c r="E34" s="13" t="n">
        <v>1</v>
      </c>
      <c r="F34" s="13" t="n">
        <v>0</v>
      </c>
      <c r="G34" s="13" t="n">
        <v>0</v>
      </c>
      <c r="H34" s="13" t="n">
        <v>0</v>
      </c>
      <c r="I34" s="12">
        <f>COUNTIF(D34:H34,1)</f>
        <v/>
      </c>
      <c r="J34" s="12">
        <f>IF(COUNT(D34:H34)=0,"",ROUND(I34/5*100,1))</f>
        <v/>
      </c>
      <c r="K34" s="12">
        <f>COUNTIF(D34:H34,0)</f>
        <v/>
      </c>
      <c r="L34" s="12">
        <f>IF(COUNT(D34:H34)=0,"",ROUND(K34/5*100,1))</f>
        <v/>
      </c>
      <c r="M34" s="20">
        <f>IF(J34="","",IF(J34&gt;=Нэгтгэл!$K$4,"Хангалттай эзэмшиж байна",IF(J34&gt;=Нэгтгэл!$K$5,"Ахиж байна","Хөгжиж байна")))</f>
        <v/>
      </c>
    </row>
    <row r="35" ht="16" customHeight="1">
      <c r="A35" s="12" t="n">
        <v>29</v>
      </c>
      <c r="B35" s="12">
        <f>IF(Нэгтгэл!B35="","",Нэгтгэл!B35)</f>
        <v/>
      </c>
      <c r="C35" s="4" t="n"/>
      <c r="D35" s="13" t="n">
        <v>0</v>
      </c>
      <c r="E35" s="13" t="n">
        <v>1</v>
      </c>
      <c r="F35" s="13" t="n">
        <v>1</v>
      </c>
      <c r="G35" s="13" t="n">
        <v>1</v>
      </c>
      <c r="H35" s="13" t="n">
        <v>1</v>
      </c>
      <c r="I35" s="12">
        <f>COUNTIF(D35:H35,1)</f>
        <v/>
      </c>
      <c r="J35" s="12">
        <f>IF(COUNT(D35:H35)=0,"",ROUND(I35/5*100,1))</f>
        <v/>
      </c>
      <c r="K35" s="12">
        <f>COUNTIF(D35:H35,0)</f>
        <v/>
      </c>
      <c r="L35" s="12">
        <f>IF(COUNT(D35:H35)=0,"",ROUND(K35/5*100,1))</f>
        <v/>
      </c>
      <c r="M35" s="20">
        <f>IF(J35="","",IF(J35&gt;=Нэгтгэл!$K$4,"Хангалттай эзэмшиж байна",IF(J35&gt;=Нэгтгэл!$K$5,"Ахиж байна","Хөгжиж байна")))</f>
        <v/>
      </c>
    </row>
    <row r="36" ht="16" customHeight="1">
      <c r="A36" s="12" t="n">
        <v>30</v>
      </c>
      <c r="B36" s="12">
        <f>IF(Нэгтгэл!B36="","",Нэгтгэл!B36)</f>
        <v/>
      </c>
      <c r="C36" s="4" t="n"/>
      <c r="D36" s="13" t="n">
        <v>1</v>
      </c>
      <c r="E36" s="13" t="n">
        <v>0</v>
      </c>
      <c r="F36" s="13" t="n">
        <v>0</v>
      </c>
      <c r="G36" s="13" t="n">
        <v>1</v>
      </c>
      <c r="H36" s="13" t="n">
        <v>1</v>
      </c>
      <c r="I36" s="12">
        <f>COUNTIF(D36:H36,1)</f>
        <v/>
      </c>
      <c r="J36" s="12">
        <f>IF(COUNT(D36:H36)=0,"",ROUND(I36/5*100,1))</f>
        <v/>
      </c>
      <c r="K36" s="12">
        <f>COUNTIF(D36:H36,0)</f>
        <v/>
      </c>
      <c r="L36" s="12">
        <f>IF(COUNT(D36:H36)=0,"",ROUND(K36/5*100,1))</f>
        <v/>
      </c>
      <c r="M36" s="20">
        <f>IF(J36="","",IF(J36&gt;=Нэгтгэл!$K$4,"Хангалттай эзэмшиж байна",IF(J36&gt;=Нэгтгэл!$K$5,"Ахиж байна","Хөгжиж байна")))</f>
        <v/>
      </c>
    </row>
    <row r="37" ht="16" customHeight="1">
      <c r="A37" s="12" t="n">
        <v>31</v>
      </c>
      <c r="B37" s="12">
        <f>IF(Нэгтгэл!B37="","",Нэгтгэл!B37)</f>
        <v/>
      </c>
      <c r="C37" s="4" t="n"/>
      <c r="D37" s="13" t="n">
        <v>1</v>
      </c>
      <c r="E37" s="13" t="n">
        <v>0</v>
      </c>
      <c r="F37" s="13" t="n">
        <v>1</v>
      </c>
      <c r="G37" s="13" t="n">
        <v>0</v>
      </c>
      <c r="H37" s="13" t="n">
        <v>1</v>
      </c>
      <c r="I37" s="12">
        <f>COUNTIF(D37:H37,1)</f>
        <v/>
      </c>
      <c r="J37" s="12">
        <f>IF(COUNT(D37:H37)=0,"",ROUND(I37/5*100,1))</f>
        <v/>
      </c>
      <c r="K37" s="12">
        <f>COUNTIF(D37:H37,0)</f>
        <v/>
      </c>
      <c r="L37" s="12">
        <f>IF(COUNT(D37:H37)=0,"",ROUND(K37/5*100,1))</f>
        <v/>
      </c>
      <c r="M37" s="20">
        <f>IF(J37="","",IF(J37&gt;=Нэгтгэл!$K$4,"Хангалттай эзэмшиж байна",IF(J37&gt;=Нэгтгэл!$K$5,"Ахиж байна","Хөгжиж байна")))</f>
        <v/>
      </c>
    </row>
    <row r="38" ht="16" customHeight="1">
      <c r="A38" s="12" t="n">
        <v>32</v>
      </c>
      <c r="B38" s="12">
        <f>IF(Нэгтгэл!B38="","",Нэгтгэл!B38)</f>
        <v/>
      </c>
      <c r="C38" s="4" t="n"/>
      <c r="D38" s="13" t="n">
        <v>1</v>
      </c>
      <c r="E38" s="13" t="n">
        <v>0</v>
      </c>
      <c r="F38" s="13" t="n">
        <v>1</v>
      </c>
      <c r="G38" s="13" t="n">
        <v>1</v>
      </c>
      <c r="H38" s="13" t="n">
        <v>1</v>
      </c>
      <c r="I38" s="12">
        <f>COUNTIF(D38:H38,1)</f>
        <v/>
      </c>
      <c r="J38" s="12">
        <f>IF(COUNT(D38:H38)=0,"",ROUND(I38/5*100,1))</f>
        <v/>
      </c>
      <c r="K38" s="12">
        <f>COUNTIF(D38:H38,0)</f>
        <v/>
      </c>
      <c r="L38" s="12">
        <f>IF(COUNT(D38:H38)=0,"",ROUND(K38/5*100,1))</f>
        <v/>
      </c>
      <c r="M38" s="20">
        <f>IF(J38="","",IF(J38&gt;=Нэгтгэл!$K$4,"Хангалттай эзэмшиж байна",IF(J38&gt;=Нэгтгэл!$K$5,"Ахиж байна","Хөгжиж байна")))</f>
        <v/>
      </c>
    </row>
    <row r="39" ht="16" customHeight="1">
      <c r="A39" s="12" t="n">
        <v>33</v>
      </c>
      <c r="B39" s="12">
        <f>IF(Нэгтгэл!B39="","",Нэгтгэл!B39)</f>
        <v/>
      </c>
      <c r="C39" s="4" t="n"/>
      <c r="D39" s="13" t="n">
        <v>1</v>
      </c>
      <c r="E39" s="13" t="n">
        <v>1</v>
      </c>
      <c r="F39" s="13" t="n">
        <v>0</v>
      </c>
      <c r="G39" s="13" t="n">
        <v>1</v>
      </c>
      <c r="H39" s="13" t="n">
        <v>1</v>
      </c>
      <c r="I39" s="12">
        <f>COUNTIF(D39:H39,1)</f>
        <v/>
      </c>
      <c r="J39" s="12">
        <f>IF(COUNT(D39:H39)=0,"",ROUND(I39/5*100,1))</f>
        <v/>
      </c>
      <c r="K39" s="12">
        <f>COUNTIF(D39:H39,0)</f>
        <v/>
      </c>
      <c r="L39" s="12">
        <f>IF(COUNT(D39:H39)=0,"",ROUND(K39/5*100,1))</f>
        <v/>
      </c>
      <c r="M39" s="20">
        <f>IF(J39="","",IF(J39&gt;=Нэгтгэл!$K$4,"Хангалттай эзэмшиж байна",IF(J39&gt;=Нэгтгэл!$K$5,"Ахиж байна","Хөгжиж байна")))</f>
        <v/>
      </c>
    </row>
    <row r="40" ht="16" customHeight="1">
      <c r="A40" s="12" t="n">
        <v>34</v>
      </c>
      <c r="B40" s="12">
        <f>IF(Нэгтгэл!B40="","",Нэгтгэл!B40)</f>
        <v/>
      </c>
      <c r="C40" s="4" t="n"/>
      <c r="D40" s="13" t="n">
        <v>0</v>
      </c>
      <c r="E40" s="13" t="n">
        <v>1</v>
      </c>
      <c r="F40" s="13" t="n">
        <v>1</v>
      </c>
      <c r="G40" s="13" t="n">
        <v>1</v>
      </c>
      <c r="H40" s="13" t="n">
        <v>1</v>
      </c>
      <c r="I40" s="12">
        <f>COUNTIF(D40:H40,1)</f>
        <v/>
      </c>
      <c r="J40" s="12">
        <f>IF(COUNT(D40:H40)=0,"",ROUND(I40/5*100,1))</f>
        <v/>
      </c>
      <c r="K40" s="12">
        <f>COUNTIF(D40:H40,0)</f>
        <v/>
      </c>
      <c r="L40" s="12">
        <f>IF(COUNT(D40:H40)=0,"",ROUND(K40/5*100,1))</f>
        <v/>
      </c>
      <c r="M40" s="20">
        <f>IF(J40="","",IF(J40&gt;=Нэгтгэл!$K$4,"Хангалттай эзэмшиж байна",IF(J40&gt;=Нэгтгэл!$K$5,"Ахиж байна","Хөгжиж байна")))</f>
        <v/>
      </c>
    </row>
    <row r="41" ht="16" customHeight="1">
      <c r="A41" s="12" t="n">
        <v>35</v>
      </c>
      <c r="B41" s="12">
        <f>IF(Нэгтгэл!B41="","",Нэгтгэл!B41)</f>
        <v/>
      </c>
      <c r="C41" s="4" t="n"/>
      <c r="D41" s="13" t="n">
        <v>1</v>
      </c>
      <c r="E41" s="13" t="n">
        <v>1</v>
      </c>
      <c r="F41" s="13" t="n">
        <v>1</v>
      </c>
      <c r="G41" s="13" t="n">
        <v>1</v>
      </c>
      <c r="H41" s="13" t="n">
        <v>1</v>
      </c>
      <c r="I41" s="12">
        <f>COUNTIF(D41:H41,1)</f>
        <v/>
      </c>
      <c r="J41" s="12">
        <f>IF(COUNT(D41:H41)=0,"",ROUND(I41/5*100,1))</f>
        <v/>
      </c>
      <c r="K41" s="12">
        <f>COUNTIF(D41:H41,0)</f>
        <v/>
      </c>
      <c r="L41" s="12">
        <f>IF(COUNT(D41:H41)=0,"",ROUND(K41/5*100,1))</f>
        <v/>
      </c>
      <c r="M41" s="20">
        <f>IF(J41="","",IF(J41&gt;=Нэгтгэл!$K$4,"Хангалттай эзэмшиж байна",IF(J41&gt;=Нэгтгэл!$K$5,"Ахиж байна","Хөгжиж байна")))</f>
        <v/>
      </c>
    </row>
    <row r="42" ht="16" customHeight="1">
      <c r="A42" s="12" t="n">
        <v>36</v>
      </c>
      <c r="B42" s="12">
        <f>IF(Нэгтгэл!B42="","",Нэгтгэл!B42)</f>
        <v/>
      </c>
      <c r="C42" s="4" t="n"/>
      <c r="D42" s="13" t="n">
        <v>0</v>
      </c>
      <c r="E42" s="13" t="n">
        <v>0</v>
      </c>
      <c r="F42" s="13" t="n">
        <v>1</v>
      </c>
      <c r="G42" s="13" t="n">
        <v>1</v>
      </c>
      <c r="H42" s="13" t="n">
        <v>0</v>
      </c>
      <c r="I42" s="12">
        <f>COUNTIF(D42:H42,1)</f>
        <v/>
      </c>
      <c r="J42" s="12">
        <f>IF(COUNT(D42:H42)=0,"",ROUND(I42/5*100,1))</f>
        <v/>
      </c>
      <c r="K42" s="12">
        <f>COUNTIF(D42:H42,0)</f>
        <v/>
      </c>
      <c r="L42" s="12">
        <f>IF(COUNT(D42:H42)=0,"",ROUND(K42/5*100,1))</f>
        <v/>
      </c>
      <c r="M42" s="20">
        <f>IF(J42="","",IF(J42&gt;=Нэгтгэл!$K$4,"Хангалттай эзэмшиж байна",IF(J42&gt;=Нэгтгэл!$K$5,"Ахиж байна","Хөгжиж байна")))</f>
        <v/>
      </c>
    </row>
    <row r="43" ht="16" customHeight="1">
      <c r="A43" s="12" t="n">
        <v>37</v>
      </c>
      <c r="B43" s="12">
        <f>IF(Нэгтгэл!B43="","",Нэгтгэл!B43)</f>
        <v/>
      </c>
      <c r="C43" s="4" t="n"/>
      <c r="D43" s="13" t="n">
        <v>0</v>
      </c>
      <c r="E43" s="13" t="n">
        <v>1</v>
      </c>
      <c r="F43" s="13" t="n">
        <v>1</v>
      </c>
      <c r="G43" s="13" t="n">
        <v>1</v>
      </c>
      <c r="H43" s="13" t="n">
        <v>1</v>
      </c>
      <c r="I43" s="12">
        <f>COUNTIF(D43:H43,1)</f>
        <v/>
      </c>
      <c r="J43" s="12">
        <f>IF(COUNT(D43:H43)=0,"",ROUND(I43/5*100,1))</f>
        <v/>
      </c>
      <c r="K43" s="12">
        <f>COUNTIF(D43:H43,0)</f>
        <v/>
      </c>
      <c r="L43" s="12">
        <f>IF(COUNT(D43:H43)=0,"",ROUND(K43/5*100,1))</f>
        <v/>
      </c>
      <c r="M43" s="20">
        <f>IF(J43="","",IF(J43&gt;=Нэгтгэл!$K$4,"Хангалттай эзэмшиж байна",IF(J43&gt;=Нэгтгэл!$K$5,"Ахиж байна","Хөгжиж байна")))</f>
        <v/>
      </c>
    </row>
    <row r="44" ht="16" customHeight="1">
      <c r="A44" s="12" t="n">
        <v>38</v>
      </c>
      <c r="B44" s="12">
        <f>IF(Нэгтгэл!B44="","",Нэгтгэл!B44)</f>
        <v/>
      </c>
      <c r="C44" s="4" t="n"/>
      <c r="D44" s="13" t="n">
        <v>1</v>
      </c>
      <c r="E44" s="13" t="n">
        <v>1</v>
      </c>
      <c r="F44" s="13" t="n">
        <v>1</v>
      </c>
      <c r="G44" s="13" t="n">
        <v>1</v>
      </c>
      <c r="H44" s="13" t="n">
        <v>1</v>
      </c>
      <c r="I44" s="12">
        <f>COUNTIF(D44:H44,1)</f>
        <v/>
      </c>
      <c r="J44" s="12">
        <f>IF(COUNT(D44:H44)=0,"",ROUND(I44/5*100,1))</f>
        <v/>
      </c>
      <c r="K44" s="12">
        <f>COUNTIF(D44:H44,0)</f>
        <v/>
      </c>
      <c r="L44" s="12">
        <f>IF(COUNT(D44:H44)=0,"",ROUND(K44/5*100,1))</f>
        <v/>
      </c>
      <c r="M44" s="20">
        <f>IF(J44="","",IF(J44&gt;=Нэгтгэл!$K$4,"Хангалттай эзэмшиж байна",IF(J44&gt;=Нэгтгэл!$K$5,"Ахиж байна","Хөгжиж байна")))</f>
        <v/>
      </c>
    </row>
    <row r="45" ht="16" customHeight="1">
      <c r="A45" s="12" t="n">
        <v>39</v>
      </c>
      <c r="B45" s="12">
        <f>IF(Нэгтгэл!B45="","",Нэгтгэл!B45)</f>
        <v/>
      </c>
      <c r="C45" s="4" t="n"/>
      <c r="D45" s="13" t="n">
        <v>1</v>
      </c>
      <c r="E45" s="13" t="n">
        <v>0</v>
      </c>
      <c r="F45" s="13" t="n">
        <v>1</v>
      </c>
      <c r="G45" s="13" t="n">
        <v>0</v>
      </c>
      <c r="H45" s="13" t="n">
        <v>1</v>
      </c>
      <c r="I45" s="12">
        <f>COUNTIF(D45:H45,1)</f>
        <v/>
      </c>
      <c r="J45" s="12">
        <f>IF(COUNT(D45:H45)=0,"",ROUND(I45/5*100,1))</f>
        <v/>
      </c>
      <c r="K45" s="12">
        <f>COUNTIF(D45:H45,0)</f>
        <v/>
      </c>
      <c r="L45" s="12">
        <f>IF(COUNT(D45:H45)=0,"",ROUND(K45/5*100,1))</f>
        <v/>
      </c>
      <c r="M45" s="20">
        <f>IF(J45="","",IF(J45&gt;=Нэгтгэл!$K$4,"Хангалттай эзэмшиж байна",IF(J45&gt;=Нэгтгэл!$K$5,"Ахиж байна","Хөгжиж байна")))</f>
        <v/>
      </c>
    </row>
    <row r="46" ht="16" customHeight="1">
      <c r="A46" s="12" t="n">
        <v>40</v>
      </c>
      <c r="B46" s="12">
        <f>IF(Нэгтгэл!B46="","",Нэгтгэл!B46)</f>
        <v/>
      </c>
      <c r="C46" s="4" t="n"/>
      <c r="D46" s="13" t="n">
        <v>1</v>
      </c>
      <c r="E46" s="13" t="n">
        <v>0</v>
      </c>
      <c r="F46" s="13" t="n">
        <v>1</v>
      </c>
      <c r="G46" s="13" t="n">
        <v>0</v>
      </c>
      <c r="H46" s="13" t="n">
        <v>1</v>
      </c>
      <c r="I46" s="12">
        <f>COUNTIF(D46:H46,1)</f>
        <v/>
      </c>
      <c r="J46" s="12">
        <f>IF(COUNT(D46:H46)=0,"",ROUND(I46/5*100,1))</f>
        <v/>
      </c>
      <c r="K46" s="12">
        <f>COUNTIF(D46:H46,0)</f>
        <v/>
      </c>
      <c r="L46" s="12">
        <f>IF(COUNT(D46:H46)=0,"",ROUND(K46/5*100,1))</f>
        <v/>
      </c>
      <c r="M46" s="20">
        <f>IF(J46="","",IF(J46&gt;=Нэгтгэл!$K$4,"Хангалттай эзэмшиж байна",IF(J46&gt;=Нэгтгэл!$K$5,"Ахиж байна","Хөгжиж байна")))</f>
        <v/>
      </c>
    </row>
    <row r="47" ht="16" customHeight="1">
      <c r="A47" s="12" t="n">
        <v>41</v>
      </c>
      <c r="B47" s="12">
        <f>IF(Нэгтгэл!B47="","",Нэгтгэл!B47)</f>
        <v/>
      </c>
      <c r="C47" s="4" t="n"/>
      <c r="D47" s="13" t="n">
        <v>1</v>
      </c>
      <c r="E47" s="13" t="n">
        <v>1</v>
      </c>
      <c r="F47" s="13" t="n">
        <v>1</v>
      </c>
      <c r="G47" s="13" t="n">
        <v>1</v>
      </c>
      <c r="H47" s="13" t="n">
        <v>0</v>
      </c>
      <c r="I47" s="12">
        <f>COUNTIF(D47:H47,1)</f>
        <v/>
      </c>
      <c r="J47" s="12">
        <f>IF(COUNT(D47:H47)=0,"",ROUND(I47/5*100,1))</f>
        <v/>
      </c>
      <c r="K47" s="12">
        <f>COUNTIF(D47:H47,0)</f>
        <v/>
      </c>
      <c r="L47" s="12">
        <f>IF(COUNT(D47:H47)=0,"",ROUND(K47/5*100,1))</f>
        <v/>
      </c>
      <c r="M47" s="20">
        <f>IF(J47="","",IF(J47&gt;=Нэгтгэл!$K$4,"Хангалттай эзэмшиж байна",IF(J47&gt;=Нэгтгэл!$K$5,"Ахиж байна","Хөгжиж байна")))</f>
        <v/>
      </c>
    </row>
    <row r="48" ht="16" customHeight="1">
      <c r="A48" s="12" t="n">
        <v>42</v>
      </c>
      <c r="B48" s="12">
        <f>IF(Нэгтгэл!B48="","",Нэгтгэл!B48)</f>
        <v/>
      </c>
      <c r="C48" s="4" t="n"/>
      <c r="D48" s="13" t="n">
        <v>0</v>
      </c>
      <c r="E48" s="13" t="n">
        <v>1</v>
      </c>
      <c r="F48" s="13" t="n">
        <v>0</v>
      </c>
      <c r="G48" s="13" t="n">
        <v>1</v>
      </c>
      <c r="H48" s="13" t="n">
        <v>1</v>
      </c>
      <c r="I48" s="12">
        <f>COUNTIF(D48:H48,1)</f>
        <v/>
      </c>
      <c r="J48" s="12">
        <f>IF(COUNT(D48:H48)=0,"",ROUND(I48/5*100,1))</f>
        <v/>
      </c>
      <c r="K48" s="12">
        <f>COUNTIF(D48:H48,0)</f>
        <v/>
      </c>
      <c r="L48" s="12">
        <f>IF(COUNT(D48:H48)=0,"",ROUND(K48/5*100,1))</f>
        <v/>
      </c>
      <c r="M48" s="20">
        <f>IF(J48="","",IF(J48&gt;=Нэгтгэл!$K$4,"Хангалттай эзэмшиж байна",IF(J48&gt;=Нэгтгэл!$K$5,"Ахиж байна","Хөгжиж байна")))</f>
        <v/>
      </c>
    </row>
    <row r="49" ht="16" customHeight="1">
      <c r="A49" s="12" t="n">
        <v>43</v>
      </c>
      <c r="B49" s="12">
        <f>IF(Нэгтгэл!B49="","",Нэгтгэл!B49)</f>
        <v/>
      </c>
      <c r="C49" s="4" t="n"/>
      <c r="D49" s="13" t="n">
        <v>1</v>
      </c>
      <c r="E49" s="13" t="n">
        <v>1</v>
      </c>
      <c r="F49" s="13" t="n">
        <v>0</v>
      </c>
      <c r="G49" s="13" t="n">
        <v>0</v>
      </c>
      <c r="H49" s="13" t="n">
        <v>1</v>
      </c>
      <c r="I49" s="12">
        <f>COUNTIF(D49:H49,1)</f>
        <v/>
      </c>
      <c r="J49" s="12">
        <f>IF(COUNT(D49:H49)=0,"",ROUND(I49/5*100,1))</f>
        <v/>
      </c>
      <c r="K49" s="12">
        <f>COUNTIF(D49:H49,0)</f>
        <v/>
      </c>
      <c r="L49" s="12">
        <f>IF(COUNT(D49:H49)=0,"",ROUND(K49/5*100,1))</f>
        <v/>
      </c>
      <c r="M49" s="20">
        <f>IF(J49="","",IF(J49&gt;=Нэгтгэл!$K$4,"Хангалттай эзэмшиж байна",IF(J49&gt;=Нэгтгэл!$K$5,"Ахиж байна","Хөгжиж байна")))</f>
        <v/>
      </c>
    </row>
    <row r="50" ht="16" customHeight="1">
      <c r="A50" s="12" t="n">
        <v>44</v>
      </c>
      <c r="B50" s="12">
        <f>IF(Нэгтгэл!B50="","",Нэгтгэл!B50)</f>
        <v/>
      </c>
      <c r="C50" s="4" t="n"/>
      <c r="D50" s="13" t="n">
        <v>1</v>
      </c>
      <c r="E50" s="13" t="n">
        <v>1</v>
      </c>
      <c r="F50" s="13" t="n">
        <v>1</v>
      </c>
      <c r="G50" s="13" t="n">
        <v>1</v>
      </c>
      <c r="H50" s="13" t="n">
        <v>1</v>
      </c>
      <c r="I50" s="12">
        <f>COUNTIF(D50:H50,1)</f>
        <v/>
      </c>
      <c r="J50" s="12">
        <f>IF(COUNT(D50:H50)=0,"",ROUND(I50/5*100,1))</f>
        <v/>
      </c>
      <c r="K50" s="12">
        <f>COUNTIF(D50:H50,0)</f>
        <v/>
      </c>
      <c r="L50" s="12">
        <f>IF(COUNT(D50:H50)=0,"",ROUND(K50/5*100,1))</f>
        <v/>
      </c>
      <c r="M50" s="20">
        <f>IF(J50="","",IF(J50&gt;=Нэгтгэл!$K$4,"Хангалттай эзэмшиж байна",IF(J50&gt;=Нэгтгэл!$K$5,"Ахиж байна","Хөгжиж байна")))</f>
        <v/>
      </c>
    </row>
    <row r="51" ht="16" customHeight="1">
      <c r="A51" s="12" t="n">
        <v>45</v>
      </c>
      <c r="B51" s="12">
        <f>IF(Нэгтгэл!B51="","",Нэгтгэл!B51)</f>
        <v/>
      </c>
      <c r="C51" s="4" t="n"/>
      <c r="D51" s="13" t="n">
        <v>1</v>
      </c>
      <c r="E51" s="13" t="n">
        <v>1</v>
      </c>
      <c r="F51" s="13" t="n">
        <v>1</v>
      </c>
      <c r="G51" s="13" t="n">
        <v>1</v>
      </c>
      <c r="H51" s="13" t="n">
        <v>1</v>
      </c>
      <c r="I51" s="12">
        <f>COUNTIF(D51:H51,1)</f>
        <v/>
      </c>
      <c r="J51" s="12">
        <f>IF(COUNT(D51:H51)=0,"",ROUND(I51/5*100,1))</f>
        <v/>
      </c>
      <c r="K51" s="12">
        <f>COUNTIF(D51:H51,0)</f>
        <v/>
      </c>
      <c r="L51" s="12">
        <f>IF(COUNT(D51:H51)=0,"",ROUND(K51/5*100,1))</f>
        <v/>
      </c>
      <c r="M51" s="20">
        <f>IF(J51="","",IF(J51&gt;=Нэгтгэл!$K$4,"Хангалттай эзэмшиж байна",IF(J51&gt;=Нэгтгэл!$K$5,"Ахиж байна","Хөгжиж байна")))</f>
        <v/>
      </c>
    </row>
    <row r="52" ht="16" customHeight="1">
      <c r="A52" s="12" t="n">
        <v>46</v>
      </c>
      <c r="B52" s="12">
        <f>IF(Нэгтгэл!B52="","",Нэгтгэл!B52)</f>
        <v/>
      </c>
      <c r="C52" s="4" t="n"/>
      <c r="D52" s="13" t="n">
        <v>1</v>
      </c>
      <c r="E52" s="13" t="n">
        <v>1</v>
      </c>
      <c r="F52" s="13" t="n">
        <v>1</v>
      </c>
      <c r="G52" s="13" t="n">
        <v>1</v>
      </c>
      <c r="H52" s="13" t="n">
        <v>1</v>
      </c>
      <c r="I52" s="12">
        <f>COUNTIF(D52:H52,1)</f>
        <v/>
      </c>
      <c r="J52" s="12">
        <f>IF(COUNT(D52:H52)=0,"",ROUND(I52/5*100,1))</f>
        <v/>
      </c>
      <c r="K52" s="12">
        <f>COUNTIF(D52:H52,0)</f>
        <v/>
      </c>
      <c r="L52" s="12">
        <f>IF(COUNT(D52:H52)=0,"",ROUND(K52/5*100,1))</f>
        <v/>
      </c>
      <c r="M52" s="20">
        <f>IF(J52="","",IF(J52&gt;=Нэгтгэл!$K$4,"Хангалттай эзэмшиж байна",IF(J52&gt;=Нэгтгэл!$K$5,"Ахиж байна","Хөгжиж байна")))</f>
        <v/>
      </c>
    </row>
    <row r="53" ht="16" customHeight="1">
      <c r="A53" s="12" t="n">
        <v>47</v>
      </c>
      <c r="B53" s="12">
        <f>IF(Нэгтгэл!B53="","",Нэгтгэл!B53)</f>
        <v/>
      </c>
      <c r="C53" s="4" t="n"/>
      <c r="D53" s="13" t="n">
        <v>1</v>
      </c>
      <c r="E53" s="13" t="n">
        <v>0</v>
      </c>
      <c r="F53" s="13" t="n">
        <v>1</v>
      </c>
      <c r="G53" s="13" t="n">
        <v>1</v>
      </c>
      <c r="H53" s="13" t="n">
        <v>1</v>
      </c>
      <c r="I53" s="12">
        <f>COUNTIF(D53:H53,1)</f>
        <v/>
      </c>
      <c r="J53" s="12">
        <f>IF(COUNT(D53:H53)=0,"",ROUND(I53/5*100,1))</f>
        <v/>
      </c>
      <c r="K53" s="12">
        <f>COUNTIF(D53:H53,0)</f>
        <v/>
      </c>
      <c r="L53" s="12">
        <f>IF(COUNT(D53:H53)=0,"",ROUND(K53/5*100,1))</f>
        <v/>
      </c>
      <c r="M53" s="20">
        <f>IF(J53="","",IF(J53&gt;=Нэгтгэл!$K$4,"Хангалттай эзэмшиж байна",IF(J53&gt;=Нэгтгэл!$K$5,"Ахиж байна","Хөгжиж байна")))</f>
        <v/>
      </c>
    </row>
    <row r="54" ht="16" customHeight="1">
      <c r="A54" s="12" t="n">
        <v>48</v>
      </c>
      <c r="B54" s="12">
        <f>IF(Нэгтгэл!B54="","",Нэгтгэл!B54)</f>
        <v/>
      </c>
      <c r="C54" s="4" t="n"/>
      <c r="D54" s="13" t="n">
        <v>1</v>
      </c>
      <c r="E54" s="13" t="n">
        <v>1</v>
      </c>
      <c r="F54" s="13" t="n">
        <v>1</v>
      </c>
      <c r="G54" s="13" t="n">
        <v>1</v>
      </c>
      <c r="H54" s="13" t="n">
        <v>1</v>
      </c>
      <c r="I54" s="12">
        <f>COUNTIF(D54:H54,1)</f>
        <v/>
      </c>
      <c r="J54" s="12">
        <f>IF(COUNT(D54:H54)=0,"",ROUND(I54/5*100,1))</f>
        <v/>
      </c>
      <c r="K54" s="12">
        <f>COUNTIF(D54:H54,0)</f>
        <v/>
      </c>
      <c r="L54" s="12">
        <f>IF(COUNT(D54:H54)=0,"",ROUND(K54/5*100,1))</f>
        <v/>
      </c>
      <c r="M54" s="20">
        <f>IF(J54="","",IF(J54&gt;=Нэгтгэл!$K$4,"Хангалттай эзэмшиж байна",IF(J54&gt;=Нэгтгэл!$K$5,"Ахиж байна","Хөгжиж байна")))</f>
        <v/>
      </c>
    </row>
    <row r="55" ht="16" customHeight="1">
      <c r="A55" s="12" t="n">
        <v>49</v>
      </c>
      <c r="B55" s="12">
        <f>IF(Нэгтгэл!B55="","",Нэгтгэл!B55)</f>
        <v/>
      </c>
      <c r="C55" s="4" t="n"/>
      <c r="D55" s="13" t="n">
        <v>0</v>
      </c>
      <c r="E55" s="13" t="n">
        <v>1</v>
      </c>
      <c r="F55" s="13" t="n">
        <v>0</v>
      </c>
      <c r="G55" s="13" t="n">
        <v>1</v>
      </c>
      <c r="H55" s="13" t="n">
        <v>1</v>
      </c>
      <c r="I55" s="12">
        <f>COUNTIF(D55:H55,1)</f>
        <v/>
      </c>
      <c r="J55" s="12">
        <f>IF(COUNT(D55:H55)=0,"",ROUND(I55/5*100,1))</f>
        <v/>
      </c>
      <c r="K55" s="12">
        <f>COUNTIF(D55:H55,0)</f>
        <v/>
      </c>
      <c r="L55" s="12">
        <f>IF(COUNT(D55:H55)=0,"",ROUND(K55/5*100,1))</f>
        <v/>
      </c>
      <c r="M55" s="20">
        <f>IF(J55="","",IF(J55&gt;=Нэгтгэл!$K$4,"Хангалттай эзэмшиж байна",IF(J55&gt;=Нэгтгэл!$K$5,"Ахиж байна","Хөгжиж байна")))</f>
        <v/>
      </c>
    </row>
    <row r="56" ht="17" customHeight="1">
      <c r="A56" s="5" t="inlineStr">
        <is>
          <t>Чадна (1)</t>
        </is>
      </c>
      <c r="B56" s="15" t="n"/>
      <c r="C56" s="15" t="n"/>
      <c r="D56" s="5">
        <f>COUNTIF(D7:D55,1)</f>
        <v/>
      </c>
      <c r="E56" s="5">
        <f>COUNTIF(E7:E55,1)</f>
        <v/>
      </c>
      <c r="F56" s="5">
        <f>COUNTIF(F7:F55,1)</f>
        <v/>
      </c>
      <c r="G56" s="5">
        <f>COUNTIF(G7:G55,1)</f>
        <v/>
      </c>
      <c r="H56" s="5">
        <f>COUNTIF(H7:H55,1)</f>
        <v/>
      </c>
      <c r="I56" s="21" t="inlineStr">
        <is>
          <t>Хангалттай эзэмшиж байна</t>
        </is>
      </c>
      <c r="J56" s="22" t="n"/>
      <c r="K56" s="22" t="n"/>
      <c r="L56" s="23" t="n"/>
      <c r="M56" s="5">
        <f>COUNTIF(M7:M55,"Хангалттай эзэмшиж байна")</f>
        <v/>
      </c>
    </row>
    <row r="57" ht="17" customHeight="1">
      <c r="A57" s="5" t="inlineStr">
        <is>
          <t>Хувь</t>
        </is>
      </c>
      <c r="B57" s="15" t="n"/>
      <c r="C57" s="15" t="n"/>
      <c r="D57" s="5">
        <f>IF(COUNT(D7:D55)=0,"",ROUND(COUNTIF(D7:D55,1)/COUNT(D7:D55)*100,1))</f>
        <v/>
      </c>
      <c r="E57" s="5">
        <f>IF(COUNT(E7:E55)=0,"",ROUND(COUNTIF(E7:E55,1)/COUNT(E7:E55)*100,1))</f>
        <v/>
      </c>
      <c r="F57" s="5">
        <f>IF(COUNT(F7:F55)=0,"",ROUND(COUNTIF(F7:F55,1)/COUNT(F7:F55)*100,1))</f>
        <v/>
      </c>
      <c r="G57" s="5">
        <f>IF(COUNT(G7:G55)=0,"",ROUND(COUNTIF(G7:G55,1)/COUNT(G7:G55)*100,1))</f>
        <v/>
      </c>
      <c r="H57" s="5">
        <f>IF(COUNT(H7:H55)=0,"",ROUND(COUNTIF(H7:H55,1)/COUNT(H7:H55)*100,1))</f>
        <v/>
      </c>
      <c r="I57" s="21" t="inlineStr">
        <is>
          <t>Ахиж байна</t>
        </is>
      </c>
      <c r="J57" s="22" t="n"/>
      <c r="K57" s="22" t="n"/>
      <c r="L57" s="23" t="n"/>
      <c r="M57" s="5">
        <f>COUNTIF(M7:M55,"Ахиж байна")</f>
        <v/>
      </c>
    </row>
    <row r="58" ht="17" customHeight="1">
      <c r="A58" s="5" t="inlineStr">
        <is>
          <t>Чадахгүй (0)</t>
        </is>
      </c>
      <c r="B58" s="15" t="n"/>
      <c r="C58" s="15" t="n"/>
      <c r="D58" s="5">
        <f>COUNTIF(D7:D55,0)</f>
        <v/>
      </c>
      <c r="E58" s="5">
        <f>COUNTIF(E7:E55,0)</f>
        <v/>
      </c>
      <c r="F58" s="5">
        <f>COUNTIF(F7:F55,0)</f>
        <v/>
      </c>
      <c r="G58" s="5">
        <f>COUNTIF(G7:G55,0)</f>
        <v/>
      </c>
      <c r="H58" s="5">
        <f>COUNTIF(H7:H55,0)</f>
        <v/>
      </c>
      <c r="I58" s="21" t="inlineStr">
        <is>
          <t>Хөгжиж байна</t>
        </is>
      </c>
      <c r="J58" s="22" t="n"/>
      <c r="K58" s="22" t="n"/>
      <c r="L58" s="23" t="n"/>
      <c r="M58" s="5">
        <f>COUNTIF(M7:M55,"Хөгжиж байна")</f>
        <v/>
      </c>
    </row>
    <row r="59" ht="17" customHeight="1">
      <c r="A59" s="5" t="inlineStr">
        <is>
          <t>Хувь</t>
        </is>
      </c>
      <c r="B59" s="15" t="n"/>
      <c r="C59" s="15" t="n"/>
      <c r="D59" s="5">
        <f>IF(COUNT(D7:D55)=0,"",ROUND(COUNTIF(D7:D55,0)/COUNT(D7:D55)*100,1))</f>
        <v/>
      </c>
      <c r="E59" s="5">
        <f>IF(COUNT(E7:E55)=0,"",ROUND(COUNTIF(E7:E55,0)/COUNT(E7:E55)*100,1))</f>
        <v/>
      </c>
      <c r="F59" s="5">
        <f>IF(COUNT(F7:F55)=0,"",ROUND(COUNTIF(F7:F55,0)/COUNT(F7:F55)*100,1))</f>
        <v/>
      </c>
      <c r="G59" s="5">
        <f>IF(COUNT(G7:G55)=0,"",ROUND(COUNTIF(G7:G55,0)/COUNT(G7:G55)*100,1))</f>
        <v/>
      </c>
      <c r="H59" s="5">
        <f>IF(COUNT(H7:H55)=0,"",ROUND(COUNTIF(H7:H55,0)/COUNT(H7:H55)*100,1))</f>
        <v/>
      </c>
      <c r="I59" s="15" t="n"/>
      <c r="J59" s="15" t="n"/>
      <c r="K59" s="15" t="n"/>
      <c r="L59" s="15" t="n"/>
      <c r="M59" s="15" t="n"/>
    </row>
  </sheetData>
  <mergeCells count="66">
    <mergeCell ref="B47:C47"/>
    <mergeCell ref="B16:C16"/>
    <mergeCell ref="B54:C54"/>
    <mergeCell ref="B7:C7"/>
    <mergeCell ref="B25:C25"/>
    <mergeCell ref="L3:L6"/>
    <mergeCell ref="B46:C46"/>
    <mergeCell ref="B22:C22"/>
    <mergeCell ref="A56:C56"/>
    <mergeCell ref="B31:C31"/>
    <mergeCell ref="B18:C18"/>
    <mergeCell ref="B27:C27"/>
    <mergeCell ref="A57:C57"/>
    <mergeCell ref="B43:C43"/>
    <mergeCell ref="B12:C12"/>
    <mergeCell ref="B39:C39"/>
    <mergeCell ref="B52:C52"/>
    <mergeCell ref="B21:C21"/>
    <mergeCell ref="B48:C48"/>
    <mergeCell ref="B11:C11"/>
    <mergeCell ref="I3:I6"/>
    <mergeCell ref="B42:C42"/>
    <mergeCell ref="B23:C23"/>
    <mergeCell ref="A3:A6"/>
    <mergeCell ref="B14:C14"/>
    <mergeCell ref="B17:C17"/>
    <mergeCell ref="B8:C8"/>
    <mergeCell ref="B53:C53"/>
    <mergeCell ref="B13:C13"/>
    <mergeCell ref="B38:C38"/>
    <mergeCell ref="B44:C44"/>
    <mergeCell ref="A1:M1"/>
    <mergeCell ref="B29:C29"/>
    <mergeCell ref="B19:C19"/>
    <mergeCell ref="M3:M6"/>
    <mergeCell ref="B34:C34"/>
    <mergeCell ref="B10:C10"/>
    <mergeCell ref="B28:C28"/>
    <mergeCell ref="B37:C37"/>
    <mergeCell ref="A58:C58"/>
    <mergeCell ref="I57:L57"/>
    <mergeCell ref="B40:C40"/>
    <mergeCell ref="B9:C9"/>
    <mergeCell ref="A59:C59"/>
    <mergeCell ref="B35:C35"/>
    <mergeCell ref="B49:C49"/>
    <mergeCell ref="D3:H3"/>
    <mergeCell ref="B55:C55"/>
    <mergeCell ref="B3:C6"/>
    <mergeCell ref="B24:C24"/>
    <mergeCell ref="B30:C30"/>
    <mergeCell ref="B15:C15"/>
    <mergeCell ref="B33:C33"/>
    <mergeCell ref="I56:L56"/>
    <mergeCell ref="I58:L58"/>
    <mergeCell ref="J3:J6"/>
    <mergeCell ref="B51:C51"/>
    <mergeCell ref="B20:C20"/>
    <mergeCell ref="K3:K6"/>
    <mergeCell ref="B45:C45"/>
    <mergeCell ref="B36:C36"/>
    <mergeCell ref="B32:C32"/>
    <mergeCell ref="B50:C50"/>
    <mergeCell ref="B26:C26"/>
    <mergeCell ref="B41:C41"/>
    <mergeCell ref="A2:M2"/>
  </mergeCells>
  <conditionalFormatting sqref="D7:H55">
    <cfRule type="cellIs" priority="1" operator="equal" dxfId="0">
      <formula>0</formula>
    </cfRule>
  </conditionalFormatting>
  <dataValidations count="1">
    <dataValidation sqref="D7 D8 D9 D10 D11 D12 D13 D14 D15 D16 D17 D18 D19 D20 D21 D22 D23 D24 D25 D26 D27 D28 D29 D30 D31 D32 D33 D34 D35 D36 D37 D38 D39 D40 D41 D42 D43 D44 D45 D46 D47 D48 D49 D50 D51 D52 D53 D54 D55 E7 E8 E9 E10 E11 E12 E13 E14 E15 E16 E17 E18 E19 E20 E21 E22 E23 E24 E25 E26 E27 E28 E29 E30 E31 E32 E33 E34 E35 E36 E37 E38 E39 E40 E41 E42 E43 E44 E45 E46 E47 E48 E49 E50 E51 E52 E53 E54 E55 F7 F8 F9 F10 F11 F12 F13 F14 F15 F16 F17 F18 F19 F20 F21 F22 F23 F24 F25 F26 F27 F28 F29 F30 F31 F32 F33 F34 F35 F36 F37 F38 F39 F40 F41 F42 F43 F44 F45 F46 F47 F48 F49 F50 F51 F52 F53 F54 F55 G7 G8 G9 G10 G11 G12 G13 G14 G15 G16 G17 G18 G19 G20 G21 G22 G23 G24 G25 G26 G27 G28 G29 G30 G31 G32 G33 G34 G35 G36 G37 G38 G39 G40 G41 G42 G43 G44 G45 G46 G47 G48 G49 G50 G51 G52 G53 G54 G55 H7 H8 H9 H10 H11 H12 H13 H14 H15 H16 H17 H18 H19 H20 H21 H22 H23 H24 H25 H26 H27 H28 H29 H30 H31 H32 H33 H34 H35 H36 H37 H38 H39 H40 H41 H42 H43 H44 H45 H46 H47 H48 H49 H50 H51 H52 H53 H54 H55" showDropDown="0" showInputMessage="1" showErrorMessage="1" allowBlank="1" errorTitle="1 эсвэл 0" error="Чадна бол 1, чадахгүй бол 0 гэж бичнэ." promptTitle="Тэмдэглэх" prompt="Чадна = 1, Чадахгүй = 0" type="list">
      <formula1>"1,0"</formula1>
    </dataValidation>
  </dataValidations>
  <printOptions horizontalCentered="1"/>
  <pageMargins left="0.5905511811023622" right="0.1968503937007874" top="0.5905511811023622" bottom="0.5905511811023622" header="0.3149606299212598" footer="0.3149606299212598"/>
  <pageSetup orientation="landscape" paperSize="9" fitToHeight="2" fitToWidth="1"/>
</worksheet>
</file>

<file path=xl/worksheets/sheet4.xml><?xml version="1.0" encoding="utf-8"?>
<worksheet xmlns="http://schemas.openxmlformats.org/spreadsheetml/2006/main">
  <sheetPr>
    <outlinePr summaryBelow="1" summaryRight="1"/>
    <pageSetUpPr fitToPage="1"/>
  </sheetPr>
  <dimension ref="A1:Z59"/>
  <sheetViews>
    <sheetView workbookViewId="0">
      <selection activeCell="A1" sqref="A1"/>
    </sheetView>
  </sheetViews>
  <sheetFormatPr baseColWidth="8" defaultRowHeight="15"/>
  <cols>
    <col width="4.5" customWidth="1" min="1" max="1"/>
    <col width="8" customWidth="1" min="2" max="2"/>
    <col width="4"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7" customWidth="1" min="22" max="22"/>
    <col width="7" customWidth="1" min="23" max="23"/>
    <col width="8" customWidth="1" min="24" max="24"/>
    <col width="7" customWidth="1" min="25" max="25"/>
    <col width="14" customWidth="1" min="26" max="26"/>
  </cols>
  <sheetData>
    <row r="1">
      <c r="A1" s="1" t="inlineStr">
        <is>
          <t>................ ЦЭЦЭРЛЭГИЙН БАГА БҮЛГИЙН (2 НАС) ГАРААНЫ (ОНОШЛОХ) ҮНЭЛГЭЭ</t>
        </is>
      </c>
    </row>
    <row r="2" ht="30" customHeight="1">
      <c r="A2" s="18" t="inlineStr">
        <is>
          <t>Хөгжлийн чиглэл: Танин мэдэхүй          Огноо: 20.... оны .... сар          Багш: ................................          Чадна = 1, Чадахгүй = 0  (А/79-ийн 2.4: «Нялх, балчир насны хүүхдийн хөгжлийг дэмжих хөтөлбөр», 25–36 сар)</t>
        </is>
      </c>
    </row>
    <row r="3">
      <c r="A3" s="3" t="inlineStr">
        <is>
          <t>№</t>
        </is>
      </c>
      <c r="B3" s="3" t="inlineStr">
        <is>
          <t>Хүүхдийн код</t>
        </is>
      </c>
      <c r="C3" s="4" t="n"/>
      <c r="D3" s="3" t="inlineStr">
        <is>
          <t>Хөгжлийн чиглэл: Танин мэдэхүй</t>
        </is>
      </c>
      <c r="E3" s="4" t="n"/>
      <c r="F3" s="4" t="n"/>
      <c r="G3" s="4" t="n"/>
      <c r="H3" s="4" t="n"/>
      <c r="I3" s="4" t="n"/>
      <c r="J3" s="4" t="n"/>
      <c r="K3" s="4" t="n"/>
      <c r="L3" s="4" t="n"/>
      <c r="M3" s="4" t="n"/>
      <c r="N3" s="4" t="n"/>
      <c r="O3" s="4" t="n"/>
      <c r="P3" s="4" t="n"/>
      <c r="Q3" s="4" t="n"/>
      <c r="R3" s="4" t="n"/>
      <c r="S3" s="4" t="n"/>
      <c r="T3" s="4" t="n"/>
      <c r="U3" s="4" t="n"/>
      <c r="V3" s="5" t="inlineStr">
        <is>
          <t>Чадна (1)</t>
        </is>
      </c>
      <c r="W3" s="5" t="inlineStr">
        <is>
          <t>Хувь</t>
        </is>
      </c>
      <c r="X3" s="5" t="inlineStr">
        <is>
          <t>Чадахгүй (0)</t>
        </is>
      </c>
      <c r="Y3" s="5" t="inlineStr">
        <is>
          <t>Хувь</t>
        </is>
      </c>
      <c r="Z3" s="5" t="inlineStr">
        <is>
          <t>Түвшин</t>
        </is>
      </c>
    </row>
    <row r="4" ht="128" customHeight="1">
      <c r="A4" s="4" t="n"/>
      <c r="B4" s="4" t="n"/>
      <c r="C4" s="4" t="n"/>
      <c r="D4" s="6" t="inlineStr">
        <is>
          <t>2-3 алхамт зааварчилгааг дагах</t>
        </is>
      </c>
      <c r="E4" s="6" t="inlineStr">
        <is>
          <t>Дотор, дээр, гадна, доор гэсэн чиг заасан үгийг ойлгоно.</t>
        </is>
      </c>
      <c r="F4" s="6" t="inlineStr">
        <is>
          <t>Танил зүйлээ нэрлэнэ.</t>
        </is>
      </c>
      <c r="G4" s="6" t="inlineStr">
        <is>
          <t>Өөрийн нэр, нас, хүйсийг хэлнэ.</t>
        </is>
      </c>
      <c r="H4" s="6" t="inlineStr">
        <is>
          <t>Дүрд орж тоглоно.</t>
        </is>
      </c>
      <c r="I4" s="6" t="inlineStr">
        <is>
          <t>Тооны утгыг ойлгоно. Жишээ нь, нэг алим, олон цэцэг гэх мэт.</t>
        </is>
      </c>
      <c r="J4" s="6" t="inlineStr">
        <is>
          <t>3-4 хэсэгтэй эвлүүлдэг дүрсээр тоглоно.</t>
        </is>
      </c>
      <c r="K4" s="6" t="inlineStr">
        <is>
          <t>Тойрог, шулуун зураас дуурайж зурна.</t>
        </is>
      </c>
      <c r="L4" s="6" t="inlineStr">
        <is>
          <t>Эд юмсыг том жижиг, их бага гэх мэт эсрэг утгыг ойлгож, зааж үзүүлнэ.</t>
        </is>
      </c>
      <c r="M4" s="6" t="inlineStr">
        <is>
          <t>Найзынхаа нэрийг мэднэ.</t>
        </is>
      </c>
      <c r="N4" s="6" t="inlineStr">
        <is>
          <t>Би, чи, миний, бид гэсэн төлөөний үгийг хэлж, зарим үгийн олон тоог хэлнэ.</t>
        </is>
      </c>
      <c r="O4" s="6" t="inlineStr">
        <is>
          <t>Танихгүй хүнтэй ярилцаж чадна.</t>
        </is>
      </c>
      <c r="P4" s="6" t="inlineStr">
        <is>
          <t>Хоёр гурван өгүүлбэр ашиглан харилцан яриа өрнүүлнэ.</t>
        </is>
      </c>
      <c r="Q4" s="6" t="inlineStr">
        <is>
          <t>Өөр эд зүйлсийг өнгө, хэмжээ, хэлбэрээр нь ангилна.</t>
        </is>
      </c>
      <c r="R4" s="6" t="inlineStr">
        <is>
          <t>6-аас олон эвлүүлдэг тоглоомоор цамхаг барьж чадна.</t>
        </is>
      </c>
      <c r="S4" s="6" t="inlineStr">
        <is>
          <t>Дуу дуулна.</t>
        </is>
      </c>
      <c r="T4" s="6" t="inlineStr">
        <is>
          <t>Номыг зөв харуулж үзнэ.</t>
        </is>
      </c>
      <c r="U4" s="6" t="inlineStr">
        <is>
          <t>Бие эрхтний нэрийг хэлэхэд хуруугаараа заана.</t>
        </is>
      </c>
      <c r="V4" s="4" t="n"/>
      <c r="W4" s="4" t="n"/>
      <c r="X4" s="4" t="n"/>
      <c r="Y4" s="4" t="n"/>
      <c r="Z4" s="4" t="n"/>
    </row>
    <row r="5" ht="162" customHeight="1">
      <c r="A5" s="4" t="n"/>
      <c r="B5" s="4" t="n"/>
      <c r="C5" s="4" t="n"/>
      <c r="D5" s="19" t="inlineStr">
        <is>
          <t>СҮД: БНО1.2в. Гэрт болон ангидаа эд зүйлсийн байрлалыг мэдэж, багшийн өгсөн энгийн зааврыг биелүүлнэ.</t>
        </is>
      </c>
      <c r="E5" s="19" t="inlineStr">
        <is>
          <t>СҮД: МАТ1.3в. Юмсын байршлыг танина. (дээр, доор)</t>
        </is>
      </c>
      <c r="F5" s="19" t="inlineStr">
        <is>
          <t>СҮД: ХЯ1.2в. Танил эд юмсыг нэрлэнэ.</t>
        </is>
      </c>
      <c r="G5" s="19" t="inlineStr">
        <is>
          <t>СҮД: БНО1.2а. Өөрийн нэр, нас, бие, эрхтнээ нэрлэж, тоглоом, эд зүйлсээ танина.</t>
        </is>
      </c>
      <c r="H5" s="19" t="inlineStr">
        <is>
          <t>СҮД: БНО1.2б. Гэр бүлийн гишүүдээ нэрлэж, тэдний хийж буй үйлдлийг дуурайж тоглоно.</t>
        </is>
      </c>
      <c r="I5" s="19" t="inlineStr">
        <is>
          <t>СҮД: МАТ1.1а. Гэр, цэцэрлэгийн орчин тойронд байх юмсаас 1 эсвэл 3 ширхэг тоглоом, юмсыг заах, нэг гэж хэлнэ.</t>
        </is>
      </c>
      <c r="J5" s="19" t="inlineStr">
        <is>
          <t>СҮД: ЗУ1.2е. Өрж байгуулах, эвлүүлэх аргаар тоглоом, эд юмсыг бусдын дэмжлэгтэй бүтээнэ.</t>
        </is>
      </c>
      <c r="K5" s="19" t="inlineStr">
        <is>
          <t>СҮД: ЗУ1.2а. Зурах хэрэгслүүдийг ашиглан зурааслаж дүрсэлнэ.</t>
        </is>
      </c>
      <c r="L5" s="19" t="inlineStr">
        <is>
          <t>СҮД: МАТ1.3а. Тоглоом юмсаас тодорхой шинжтэй зүйлийг ялгана.</t>
        </is>
      </c>
      <c r="M5" s="19" t="inlineStr">
        <is>
          <t>СҮД: — (шууд тохирох СҮД байхгүй)</t>
        </is>
      </c>
      <c r="N5" s="19" t="inlineStr">
        <is>
          <t>СҮД: ХЯ1.2г. Хүсэл, хэрэгцээгээ тохирох үгс ашиглан илэрхийлнэ.</t>
        </is>
      </c>
      <c r="O5" s="19" t="inlineStr">
        <is>
          <t>СҮД: ХЯ1.2а. Харилцан яриаг ажиглан, үг, өгүүлбэрийг дуурайна.</t>
        </is>
      </c>
      <c r="P5" s="19" t="inlineStr">
        <is>
          <t>СҮД: ХЯ1.2д. Энгийн өгүүлбэрийг давтан хэлнэ.</t>
        </is>
      </c>
      <c r="Q5" s="19" t="inlineStr">
        <is>
          <t>СҮД: МАТ1.3а. Тоглоом юмсаас тодорхой шинжтэй зүйлийг ялгана.</t>
        </is>
      </c>
      <c r="R5" s="19" t="inlineStr">
        <is>
          <t>СҮД: ЗУ1.2е. Өрж байгуулах, эвлүүлэх аргаар тоглоом, эд юмсыг бусдын дэмжлэгтэй бүтээнэ.</t>
        </is>
      </c>
      <c r="S5" s="19" t="inlineStr">
        <is>
          <t>СҮД: ХӨГ1.1б. Дууг анхааралтай сонсож, зарим үг, авиаг дуурайн хэлж, аялна.</t>
        </is>
      </c>
      <c r="T5" s="19" t="inlineStr">
        <is>
          <t>СҮД: ХЯ1.3а. Номыг сонирхож үзнэ.</t>
        </is>
      </c>
      <c r="U5" s="19" t="inlineStr">
        <is>
          <t>СҮД: БНО1.2а. Өөрийн нэр, нас, бие, эрхтнээ нэрлэж, тоглоом, эд зүйлсээ танина.</t>
        </is>
      </c>
      <c r="V5" s="4" t="n"/>
      <c r="W5" s="4" t="n"/>
      <c r="X5" s="4" t="n"/>
      <c r="Y5" s="4" t="n"/>
      <c r="Z5" s="4" t="n"/>
    </row>
    <row r="6" ht="14" customHeight="1">
      <c r="A6" s="4" t="n"/>
      <c r="B6" s="4" t="n"/>
      <c r="C6" s="4" t="n"/>
      <c r="D6" s="10" t="inlineStr">
        <is>
          <t>1 / 0</t>
        </is>
      </c>
      <c r="E6" s="10" t="inlineStr">
        <is>
          <t>1 / 0</t>
        </is>
      </c>
      <c r="F6" s="10" t="inlineStr">
        <is>
          <t>1 / 0</t>
        </is>
      </c>
      <c r="G6" s="10" t="inlineStr">
        <is>
          <t>1 / 0</t>
        </is>
      </c>
      <c r="H6" s="10" t="inlineStr">
        <is>
          <t>1 / 0</t>
        </is>
      </c>
      <c r="I6" s="10" t="inlineStr">
        <is>
          <t>1 / 0</t>
        </is>
      </c>
      <c r="J6" s="10" t="inlineStr">
        <is>
          <t>1 / 0</t>
        </is>
      </c>
      <c r="K6" s="10" t="inlineStr">
        <is>
          <t>1 / 0</t>
        </is>
      </c>
      <c r="L6" s="10" t="inlineStr">
        <is>
          <t>1 / 0</t>
        </is>
      </c>
      <c r="M6" s="10" t="inlineStr">
        <is>
          <t>1 / 0</t>
        </is>
      </c>
      <c r="N6" s="10" t="inlineStr">
        <is>
          <t>1 / 0</t>
        </is>
      </c>
      <c r="O6" s="10" t="inlineStr">
        <is>
          <t>1 / 0</t>
        </is>
      </c>
      <c r="P6" s="10" t="inlineStr">
        <is>
          <t>1 / 0</t>
        </is>
      </c>
      <c r="Q6" s="10" t="inlineStr">
        <is>
          <t>1 / 0</t>
        </is>
      </c>
      <c r="R6" s="10" t="inlineStr">
        <is>
          <t>1 / 0</t>
        </is>
      </c>
      <c r="S6" s="10" t="inlineStr">
        <is>
          <t>1 / 0</t>
        </is>
      </c>
      <c r="T6" s="10" t="inlineStr">
        <is>
          <t>1 / 0</t>
        </is>
      </c>
      <c r="U6" s="10" t="inlineStr">
        <is>
          <t>1 / 0</t>
        </is>
      </c>
      <c r="V6" s="4" t="n"/>
      <c r="W6" s="4" t="n"/>
      <c r="X6" s="4" t="n"/>
      <c r="Y6" s="4" t="n"/>
      <c r="Z6" s="4" t="n"/>
    </row>
    <row r="7" ht="16" customHeight="1">
      <c r="A7" s="12" t="n">
        <v>1</v>
      </c>
      <c r="B7" s="12">
        <f>IF(Нэгтгэл!B7="","",Нэгтгэл!B7)</f>
        <v/>
      </c>
      <c r="C7" s="4" t="n"/>
      <c r="D7" s="13" t="n">
        <v>0</v>
      </c>
      <c r="E7" s="13" t="n">
        <v>1</v>
      </c>
      <c r="F7" s="13" t="n">
        <v>1</v>
      </c>
      <c r="G7" s="13" t="n">
        <v>0</v>
      </c>
      <c r="H7" s="13" t="n">
        <v>1</v>
      </c>
      <c r="I7" s="13" t="n">
        <v>1</v>
      </c>
      <c r="J7" s="13" t="n">
        <v>0</v>
      </c>
      <c r="K7" s="13" t="n">
        <v>1</v>
      </c>
      <c r="L7" s="13" t="n">
        <v>1</v>
      </c>
      <c r="M7" s="13" t="n">
        <v>0</v>
      </c>
      <c r="N7" s="13" t="n">
        <v>1</v>
      </c>
      <c r="O7" s="13" t="n">
        <v>1</v>
      </c>
      <c r="P7" s="13" t="n">
        <v>0</v>
      </c>
      <c r="Q7" s="13" t="n">
        <v>1</v>
      </c>
      <c r="R7" s="13" t="n">
        <v>0</v>
      </c>
      <c r="S7" s="13" t="n">
        <v>1</v>
      </c>
      <c r="T7" s="13" t="n">
        <v>1</v>
      </c>
      <c r="U7" s="13" t="n">
        <v>0</v>
      </c>
      <c r="V7" s="12">
        <f>COUNTIF(D7:U7,1)</f>
        <v/>
      </c>
      <c r="W7" s="12">
        <f>IF(COUNT(D7:U7)=0,"",ROUND(V7/18*100,1))</f>
        <v/>
      </c>
      <c r="X7" s="12">
        <f>COUNTIF(D7:U7,0)</f>
        <v/>
      </c>
      <c r="Y7" s="12">
        <f>IF(COUNT(D7:U7)=0,"",ROUND(X7/18*100,1))</f>
        <v/>
      </c>
      <c r="Z7" s="20">
        <f>IF(W7="","",IF(W7&gt;=Нэгтгэл!$K$4,"Хангалттай эзэмшиж байна",IF(W7&gt;=Нэгтгэл!$K$5,"Ахиж байна","Хөгжиж байна")))</f>
        <v/>
      </c>
    </row>
    <row r="8" ht="16" customHeight="1">
      <c r="A8" s="12" t="n">
        <v>2</v>
      </c>
      <c r="B8" s="12">
        <f>IF(Нэгтгэл!B8="","",Нэгтгэл!B8)</f>
        <v/>
      </c>
      <c r="C8" s="4" t="n"/>
      <c r="D8" s="13" t="n">
        <v>1</v>
      </c>
      <c r="E8" s="13" t="n">
        <v>1</v>
      </c>
      <c r="F8" s="13" t="n">
        <v>0</v>
      </c>
      <c r="G8" s="13" t="n">
        <v>0</v>
      </c>
      <c r="H8" s="13" t="n">
        <v>1</v>
      </c>
      <c r="I8" s="13" t="n">
        <v>1</v>
      </c>
      <c r="J8" s="13" t="n">
        <v>1</v>
      </c>
      <c r="K8" s="13" t="n">
        <v>1</v>
      </c>
      <c r="L8" s="13" t="n">
        <v>1</v>
      </c>
      <c r="M8" s="13" t="n">
        <v>1</v>
      </c>
      <c r="N8" s="13" t="n">
        <v>1</v>
      </c>
      <c r="O8" s="13" t="n">
        <v>1</v>
      </c>
      <c r="P8" s="13" t="n">
        <v>0</v>
      </c>
      <c r="Q8" s="13" t="n">
        <v>0</v>
      </c>
      <c r="R8" s="13" t="n">
        <v>1</v>
      </c>
      <c r="S8" s="13" t="n">
        <v>0</v>
      </c>
      <c r="T8" s="13" t="n">
        <v>1</v>
      </c>
      <c r="U8" s="13" t="n">
        <v>0</v>
      </c>
      <c r="V8" s="12">
        <f>COUNTIF(D8:U8,1)</f>
        <v/>
      </c>
      <c r="W8" s="12">
        <f>IF(COUNT(D8:U8)=0,"",ROUND(V8/18*100,1))</f>
        <v/>
      </c>
      <c r="X8" s="12">
        <f>COUNTIF(D8:U8,0)</f>
        <v/>
      </c>
      <c r="Y8" s="12">
        <f>IF(COUNT(D8:U8)=0,"",ROUND(X8/18*100,1))</f>
        <v/>
      </c>
      <c r="Z8" s="20">
        <f>IF(W8="","",IF(W8&gt;=Нэгтгэл!$K$4,"Хангалттай эзэмшиж байна",IF(W8&gt;=Нэгтгэл!$K$5,"Ахиж байна","Хөгжиж байна")))</f>
        <v/>
      </c>
    </row>
    <row r="9" ht="16" customHeight="1">
      <c r="A9" s="12" t="n">
        <v>3</v>
      </c>
      <c r="B9" s="12">
        <f>IF(Нэгтгэл!B9="","",Нэгтгэл!B9)</f>
        <v/>
      </c>
      <c r="C9" s="4" t="n"/>
      <c r="D9" s="13" t="n">
        <v>0</v>
      </c>
      <c r="E9" s="13" t="n">
        <v>1</v>
      </c>
      <c r="F9" s="13" t="n">
        <v>1</v>
      </c>
      <c r="G9" s="13" t="n">
        <v>1</v>
      </c>
      <c r="H9" s="13" t="n">
        <v>1</v>
      </c>
      <c r="I9" s="13" t="n">
        <v>0</v>
      </c>
      <c r="J9" s="13" t="n">
        <v>0</v>
      </c>
      <c r="K9" s="13" t="n">
        <v>1</v>
      </c>
      <c r="L9" s="13" t="n">
        <v>1</v>
      </c>
      <c r="M9" s="13" t="n">
        <v>0</v>
      </c>
      <c r="N9" s="13" t="n">
        <v>1</v>
      </c>
      <c r="O9" s="13" t="n">
        <v>0</v>
      </c>
      <c r="P9" s="13" t="n">
        <v>1</v>
      </c>
      <c r="Q9" s="13" t="n">
        <v>1</v>
      </c>
      <c r="R9" s="13" t="n">
        <v>1</v>
      </c>
      <c r="S9" s="13" t="n">
        <v>0</v>
      </c>
      <c r="T9" s="13" t="n">
        <v>1</v>
      </c>
      <c r="U9" s="13" t="n">
        <v>1</v>
      </c>
      <c r="V9" s="12">
        <f>COUNTIF(D9:U9,1)</f>
        <v/>
      </c>
      <c r="W9" s="12">
        <f>IF(COUNT(D9:U9)=0,"",ROUND(V9/18*100,1))</f>
        <v/>
      </c>
      <c r="X9" s="12">
        <f>COUNTIF(D9:U9,0)</f>
        <v/>
      </c>
      <c r="Y9" s="12">
        <f>IF(COUNT(D9:U9)=0,"",ROUND(X9/18*100,1))</f>
        <v/>
      </c>
      <c r="Z9" s="20">
        <f>IF(W9="","",IF(W9&gt;=Нэгтгэл!$K$4,"Хангалттай эзэмшиж байна",IF(W9&gt;=Нэгтгэл!$K$5,"Ахиж байна","Хөгжиж байна")))</f>
        <v/>
      </c>
    </row>
    <row r="10" ht="16" customHeight="1">
      <c r="A10" s="12" t="n">
        <v>4</v>
      </c>
      <c r="B10" s="12">
        <f>IF(Нэгтгэл!B10="","",Нэгтгэл!B10)</f>
        <v/>
      </c>
      <c r="C10" s="4" t="n"/>
      <c r="D10" s="13" t="n">
        <v>1</v>
      </c>
      <c r="E10" s="13" t="n">
        <v>1</v>
      </c>
      <c r="F10" s="13" t="n">
        <v>1</v>
      </c>
      <c r="G10" s="13" t="n">
        <v>1</v>
      </c>
      <c r="H10" s="13" t="n">
        <v>0</v>
      </c>
      <c r="I10" s="13" t="n">
        <v>1</v>
      </c>
      <c r="J10" s="13" t="n">
        <v>1</v>
      </c>
      <c r="K10" s="13" t="n">
        <v>1</v>
      </c>
      <c r="L10" s="13" t="n">
        <v>1</v>
      </c>
      <c r="M10" s="13" t="n">
        <v>1</v>
      </c>
      <c r="N10" s="13" t="n">
        <v>1</v>
      </c>
      <c r="O10" s="13" t="n">
        <v>1</v>
      </c>
      <c r="P10" s="13" t="n">
        <v>0</v>
      </c>
      <c r="Q10" s="13" t="n">
        <v>1</v>
      </c>
      <c r="R10" s="13" t="n">
        <v>1</v>
      </c>
      <c r="S10" s="13" t="n">
        <v>1</v>
      </c>
      <c r="T10" s="13" t="n">
        <v>1</v>
      </c>
      <c r="U10" s="13" t="n">
        <v>1</v>
      </c>
      <c r="V10" s="12">
        <f>COUNTIF(D10:U10,1)</f>
        <v/>
      </c>
      <c r="W10" s="12">
        <f>IF(COUNT(D10:U10)=0,"",ROUND(V10/18*100,1))</f>
        <v/>
      </c>
      <c r="X10" s="12">
        <f>COUNTIF(D10:U10,0)</f>
        <v/>
      </c>
      <c r="Y10" s="12">
        <f>IF(COUNT(D10:U10)=0,"",ROUND(X10/18*100,1))</f>
        <v/>
      </c>
      <c r="Z10" s="20">
        <f>IF(W10="","",IF(W10&gt;=Нэгтгэл!$K$4,"Хангалттай эзэмшиж байна",IF(W10&gt;=Нэгтгэл!$K$5,"Ахиж байна","Хөгжиж байна")))</f>
        <v/>
      </c>
    </row>
    <row r="11" ht="16" customHeight="1">
      <c r="A11" s="12" t="n">
        <v>5</v>
      </c>
      <c r="B11" s="12">
        <f>IF(Нэгтгэл!B11="","",Нэгтгэл!B11)</f>
        <v/>
      </c>
      <c r="C11" s="4" t="n"/>
      <c r="D11" s="13" t="n">
        <v>1</v>
      </c>
      <c r="E11" s="13" t="n">
        <v>1</v>
      </c>
      <c r="F11" s="13" t="n">
        <v>0</v>
      </c>
      <c r="G11" s="13" t="n">
        <v>1</v>
      </c>
      <c r="H11" s="13" t="n">
        <v>1</v>
      </c>
      <c r="I11" s="13" t="n">
        <v>1</v>
      </c>
      <c r="J11" s="13" t="n">
        <v>1</v>
      </c>
      <c r="K11" s="13" t="n">
        <v>1</v>
      </c>
      <c r="L11" s="13" t="n">
        <v>0</v>
      </c>
      <c r="M11" s="13" t="n">
        <v>0</v>
      </c>
      <c r="N11" s="13" t="n">
        <v>1</v>
      </c>
      <c r="O11" s="13" t="n">
        <v>1</v>
      </c>
      <c r="P11" s="13" t="n">
        <v>1</v>
      </c>
      <c r="Q11" s="13" t="n">
        <v>0</v>
      </c>
      <c r="R11" s="13" t="n">
        <v>0</v>
      </c>
      <c r="S11" s="13" t="n">
        <v>1</v>
      </c>
      <c r="T11" s="13" t="n">
        <v>1</v>
      </c>
      <c r="U11" s="13" t="n">
        <v>1</v>
      </c>
      <c r="V11" s="12">
        <f>COUNTIF(D11:U11,1)</f>
        <v/>
      </c>
      <c r="W11" s="12">
        <f>IF(COUNT(D11:U11)=0,"",ROUND(V11/18*100,1))</f>
        <v/>
      </c>
      <c r="X11" s="12">
        <f>COUNTIF(D11:U11,0)</f>
        <v/>
      </c>
      <c r="Y11" s="12">
        <f>IF(COUNT(D11:U11)=0,"",ROUND(X11/18*100,1))</f>
        <v/>
      </c>
      <c r="Z11" s="20">
        <f>IF(W11="","",IF(W11&gt;=Нэгтгэл!$K$4,"Хангалттай эзэмшиж байна",IF(W11&gt;=Нэгтгэл!$K$5,"Ахиж байна","Хөгжиж байна")))</f>
        <v/>
      </c>
    </row>
    <row r="12" ht="16" customHeight="1">
      <c r="A12" s="12" t="n">
        <v>6</v>
      </c>
      <c r="B12" s="12">
        <f>IF(Нэгтгэл!B12="","",Нэгтгэл!B12)</f>
        <v/>
      </c>
      <c r="C12" s="4" t="n"/>
      <c r="D12" s="13" t="n">
        <v>1</v>
      </c>
      <c r="E12" s="13" t="n">
        <v>0</v>
      </c>
      <c r="F12" s="13" t="n">
        <v>1</v>
      </c>
      <c r="G12" s="13" t="n">
        <v>1</v>
      </c>
      <c r="H12" s="13" t="n">
        <v>1</v>
      </c>
      <c r="I12" s="13" t="n">
        <v>0</v>
      </c>
      <c r="J12" s="13" t="n">
        <v>1</v>
      </c>
      <c r="K12" s="13" t="n">
        <v>1</v>
      </c>
      <c r="L12" s="13" t="n">
        <v>1</v>
      </c>
      <c r="M12" s="13" t="n">
        <v>1</v>
      </c>
      <c r="N12" s="13" t="n">
        <v>0</v>
      </c>
      <c r="O12" s="13" t="n">
        <v>1</v>
      </c>
      <c r="P12" s="13" t="n">
        <v>1</v>
      </c>
      <c r="Q12" s="13" t="n">
        <v>1</v>
      </c>
      <c r="R12" s="13" t="n">
        <v>1</v>
      </c>
      <c r="S12" s="13" t="n">
        <v>0</v>
      </c>
      <c r="T12" s="13" t="n">
        <v>1</v>
      </c>
      <c r="U12" s="13" t="n">
        <v>1</v>
      </c>
      <c r="V12" s="12">
        <f>COUNTIF(D12:U12,1)</f>
        <v/>
      </c>
      <c r="W12" s="12">
        <f>IF(COUNT(D12:U12)=0,"",ROUND(V12/18*100,1))</f>
        <v/>
      </c>
      <c r="X12" s="12">
        <f>COUNTIF(D12:U12,0)</f>
        <v/>
      </c>
      <c r="Y12" s="12">
        <f>IF(COUNT(D12:U12)=0,"",ROUND(X12/18*100,1))</f>
        <v/>
      </c>
      <c r="Z12" s="20">
        <f>IF(W12="","",IF(W12&gt;=Нэгтгэл!$K$4,"Хангалттай эзэмшиж байна",IF(W12&gt;=Нэгтгэл!$K$5,"Ахиж байна","Хөгжиж байна")))</f>
        <v/>
      </c>
    </row>
    <row r="13" ht="16" customHeight="1">
      <c r="A13" s="12" t="n">
        <v>7</v>
      </c>
      <c r="B13" s="12">
        <f>IF(Нэгтгэл!B13="","",Нэгтгэл!B13)</f>
        <v/>
      </c>
      <c r="C13" s="4" t="n"/>
      <c r="D13" s="13" t="n">
        <v>1</v>
      </c>
      <c r="E13" s="13" t="n">
        <v>1</v>
      </c>
      <c r="F13" s="13" t="n">
        <v>1</v>
      </c>
      <c r="G13" s="13" t="n">
        <v>1</v>
      </c>
      <c r="H13" s="13" t="n">
        <v>1</v>
      </c>
      <c r="I13" s="13" t="n">
        <v>1</v>
      </c>
      <c r="J13" s="13" t="n">
        <v>0</v>
      </c>
      <c r="K13" s="13" t="n">
        <v>1</v>
      </c>
      <c r="L13" s="13" t="n">
        <v>1</v>
      </c>
      <c r="M13" s="13" t="n">
        <v>1</v>
      </c>
      <c r="N13" s="13" t="n">
        <v>0</v>
      </c>
      <c r="O13" s="13" t="n">
        <v>1</v>
      </c>
      <c r="P13" s="13" t="n">
        <v>1</v>
      </c>
      <c r="Q13" s="13" t="n">
        <v>1</v>
      </c>
      <c r="R13" s="13" t="n">
        <v>1</v>
      </c>
      <c r="S13" s="13" t="n">
        <v>1</v>
      </c>
      <c r="T13" s="13" t="n">
        <v>1</v>
      </c>
      <c r="U13" s="13" t="n">
        <v>1</v>
      </c>
      <c r="V13" s="12">
        <f>COUNTIF(D13:U13,1)</f>
        <v/>
      </c>
      <c r="W13" s="12">
        <f>IF(COUNT(D13:U13)=0,"",ROUND(V13/18*100,1))</f>
        <v/>
      </c>
      <c r="X13" s="12">
        <f>COUNTIF(D13:U13,0)</f>
        <v/>
      </c>
      <c r="Y13" s="12">
        <f>IF(COUNT(D13:U13)=0,"",ROUND(X13/18*100,1))</f>
        <v/>
      </c>
      <c r="Z13" s="20">
        <f>IF(W13="","",IF(W13&gt;=Нэгтгэл!$K$4,"Хангалттай эзэмшиж байна",IF(W13&gt;=Нэгтгэл!$K$5,"Ахиж байна","Хөгжиж байна")))</f>
        <v/>
      </c>
    </row>
    <row r="14" ht="16" customHeight="1">
      <c r="A14" s="12" t="n">
        <v>8</v>
      </c>
      <c r="B14" s="12">
        <f>IF(Нэгтгэл!B14="","",Нэгтгэл!B14)</f>
        <v/>
      </c>
      <c r="C14" s="4" t="n"/>
      <c r="D14" s="13" t="n">
        <v>1</v>
      </c>
      <c r="E14" s="13" t="n">
        <v>0</v>
      </c>
      <c r="F14" s="13" t="n">
        <v>1</v>
      </c>
      <c r="G14" s="13" t="n">
        <v>1</v>
      </c>
      <c r="H14" s="13" t="n">
        <v>1</v>
      </c>
      <c r="I14" s="13" t="n">
        <v>1</v>
      </c>
      <c r="J14" s="13" t="n">
        <v>0</v>
      </c>
      <c r="K14" s="13" t="n">
        <v>1</v>
      </c>
      <c r="L14" s="13" t="n">
        <v>0</v>
      </c>
      <c r="M14" s="13" t="n">
        <v>1</v>
      </c>
      <c r="N14" s="13" t="n">
        <v>1</v>
      </c>
      <c r="O14" s="13" t="n">
        <v>0</v>
      </c>
      <c r="P14" s="13" t="n">
        <v>1</v>
      </c>
      <c r="Q14" s="13" t="n">
        <v>0</v>
      </c>
      <c r="R14" s="13" t="n">
        <v>0</v>
      </c>
      <c r="S14" s="13" t="n">
        <v>1</v>
      </c>
      <c r="T14" s="13" t="n">
        <v>0</v>
      </c>
      <c r="U14" s="13" t="n">
        <v>1</v>
      </c>
      <c r="V14" s="12">
        <f>COUNTIF(D14:U14,1)</f>
        <v/>
      </c>
      <c r="W14" s="12">
        <f>IF(COUNT(D14:U14)=0,"",ROUND(V14/18*100,1))</f>
        <v/>
      </c>
      <c r="X14" s="12">
        <f>COUNTIF(D14:U14,0)</f>
        <v/>
      </c>
      <c r="Y14" s="12">
        <f>IF(COUNT(D14:U14)=0,"",ROUND(X14/18*100,1))</f>
        <v/>
      </c>
      <c r="Z14" s="20">
        <f>IF(W14="","",IF(W14&gt;=Нэгтгэл!$K$4,"Хангалттай эзэмшиж байна",IF(W14&gt;=Нэгтгэл!$K$5,"Ахиж байна","Хөгжиж байна")))</f>
        <v/>
      </c>
    </row>
    <row r="15" ht="16" customHeight="1">
      <c r="A15" s="12" t="n">
        <v>9</v>
      </c>
      <c r="B15" s="12">
        <f>IF(Нэгтгэл!B15="","",Нэгтгэл!B15)</f>
        <v/>
      </c>
      <c r="C15" s="4" t="n"/>
      <c r="D15" s="13" t="n">
        <v>1</v>
      </c>
      <c r="E15" s="13" t="n">
        <v>0</v>
      </c>
      <c r="F15" s="13" t="n">
        <v>0</v>
      </c>
      <c r="G15" s="13" t="n">
        <v>1</v>
      </c>
      <c r="H15" s="13" t="n">
        <v>0</v>
      </c>
      <c r="I15" s="13" t="n">
        <v>1</v>
      </c>
      <c r="J15" s="13" t="n">
        <v>0</v>
      </c>
      <c r="K15" s="13" t="n">
        <v>0</v>
      </c>
      <c r="L15" s="13" t="n">
        <v>0</v>
      </c>
      <c r="M15" s="13" t="n">
        <v>0</v>
      </c>
      <c r="N15" s="13" t="n">
        <v>1</v>
      </c>
      <c r="O15" s="13" t="n">
        <v>0</v>
      </c>
      <c r="P15" s="13" t="n">
        <v>1</v>
      </c>
      <c r="Q15" s="13" t="n">
        <v>1</v>
      </c>
      <c r="R15" s="13" t="n">
        <v>1</v>
      </c>
      <c r="S15" s="13" t="n">
        <v>1</v>
      </c>
      <c r="T15" s="13" t="n">
        <v>1</v>
      </c>
      <c r="U15" s="13" t="n">
        <v>1</v>
      </c>
      <c r="V15" s="12">
        <f>COUNTIF(D15:U15,1)</f>
        <v/>
      </c>
      <c r="W15" s="12">
        <f>IF(COUNT(D15:U15)=0,"",ROUND(V15/18*100,1))</f>
        <v/>
      </c>
      <c r="X15" s="12">
        <f>COUNTIF(D15:U15,0)</f>
        <v/>
      </c>
      <c r="Y15" s="12">
        <f>IF(COUNT(D15:U15)=0,"",ROUND(X15/18*100,1))</f>
        <v/>
      </c>
      <c r="Z15" s="20">
        <f>IF(W15="","",IF(W15&gt;=Нэгтгэл!$K$4,"Хангалттай эзэмшиж байна",IF(W15&gt;=Нэгтгэл!$K$5,"Ахиж байна","Хөгжиж байна")))</f>
        <v/>
      </c>
    </row>
    <row r="16" ht="16" customHeight="1">
      <c r="A16" s="12" t="n">
        <v>10</v>
      </c>
      <c r="B16" s="12">
        <f>IF(Нэгтгэл!B16="","",Нэгтгэл!B16)</f>
        <v/>
      </c>
      <c r="C16" s="4" t="n"/>
      <c r="D16" s="13" t="n">
        <v>1</v>
      </c>
      <c r="E16" s="13" t="n">
        <v>0</v>
      </c>
      <c r="F16" s="13" t="n">
        <v>1</v>
      </c>
      <c r="G16" s="13" t="n">
        <v>1</v>
      </c>
      <c r="H16" s="13" t="n">
        <v>1</v>
      </c>
      <c r="I16" s="13" t="n">
        <v>1</v>
      </c>
      <c r="J16" s="13" t="n">
        <v>1</v>
      </c>
      <c r="K16" s="13" t="n">
        <v>1</v>
      </c>
      <c r="L16" s="13" t="n">
        <v>1</v>
      </c>
      <c r="M16" s="13" t="n">
        <v>1</v>
      </c>
      <c r="N16" s="13" t="n">
        <v>1</v>
      </c>
      <c r="O16" s="13" t="n">
        <v>1</v>
      </c>
      <c r="P16" s="13" t="n">
        <v>1</v>
      </c>
      <c r="Q16" s="13" t="n">
        <v>1</v>
      </c>
      <c r="R16" s="13" t="n">
        <v>1</v>
      </c>
      <c r="S16" s="13" t="n">
        <v>1</v>
      </c>
      <c r="T16" s="13" t="n">
        <v>1</v>
      </c>
      <c r="U16" s="13" t="n">
        <v>1</v>
      </c>
      <c r="V16" s="12">
        <f>COUNTIF(D16:U16,1)</f>
        <v/>
      </c>
      <c r="W16" s="12">
        <f>IF(COUNT(D16:U16)=0,"",ROUND(V16/18*100,1))</f>
        <v/>
      </c>
      <c r="X16" s="12">
        <f>COUNTIF(D16:U16,0)</f>
        <v/>
      </c>
      <c r="Y16" s="12">
        <f>IF(COUNT(D16:U16)=0,"",ROUND(X16/18*100,1))</f>
        <v/>
      </c>
      <c r="Z16" s="20">
        <f>IF(W16="","",IF(W16&gt;=Нэгтгэл!$K$4,"Хангалттай эзэмшиж байна",IF(W16&gt;=Нэгтгэл!$K$5,"Ахиж байна","Хөгжиж байна")))</f>
        <v/>
      </c>
    </row>
    <row r="17" ht="16" customHeight="1">
      <c r="A17" s="12" t="n">
        <v>11</v>
      </c>
      <c r="B17" s="12">
        <f>IF(Нэгтгэл!B17="","",Нэгтгэл!B17)</f>
        <v/>
      </c>
      <c r="C17" s="4" t="n"/>
      <c r="D17" s="13" t="n">
        <v>1</v>
      </c>
      <c r="E17" s="13" t="n">
        <v>1</v>
      </c>
      <c r="F17" s="13" t="n">
        <v>1</v>
      </c>
      <c r="G17" s="13" t="n">
        <v>1</v>
      </c>
      <c r="H17" s="13" t="n">
        <v>1</v>
      </c>
      <c r="I17" s="13" t="n">
        <v>1</v>
      </c>
      <c r="J17" s="13" t="n">
        <v>1</v>
      </c>
      <c r="K17" s="13" t="n">
        <v>1</v>
      </c>
      <c r="L17" s="13" t="n">
        <v>1</v>
      </c>
      <c r="M17" s="13" t="n">
        <v>1</v>
      </c>
      <c r="N17" s="13" t="n">
        <v>0</v>
      </c>
      <c r="O17" s="13" t="n">
        <v>1</v>
      </c>
      <c r="P17" s="13" t="n">
        <v>0</v>
      </c>
      <c r="Q17" s="13" t="n">
        <v>0</v>
      </c>
      <c r="R17" s="13" t="n">
        <v>0</v>
      </c>
      <c r="S17" s="13" t="n">
        <v>0</v>
      </c>
      <c r="T17" s="13" t="n">
        <v>1</v>
      </c>
      <c r="U17" s="13" t="n">
        <v>1</v>
      </c>
      <c r="V17" s="12">
        <f>COUNTIF(D17:U17,1)</f>
        <v/>
      </c>
      <c r="W17" s="12">
        <f>IF(COUNT(D17:U17)=0,"",ROUND(V17/18*100,1))</f>
        <v/>
      </c>
      <c r="X17" s="12">
        <f>COUNTIF(D17:U17,0)</f>
        <v/>
      </c>
      <c r="Y17" s="12">
        <f>IF(COUNT(D17:U17)=0,"",ROUND(X17/18*100,1))</f>
        <v/>
      </c>
      <c r="Z17" s="20">
        <f>IF(W17="","",IF(W17&gt;=Нэгтгэл!$K$4,"Хангалттай эзэмшиж байна",IF(W17&gt;=Нэгтгэл!$K$5,"Ахиж байна","Хөгжиж байна")))</f>
        <v/>
      </c>
    </row>
    <row r="18" ht="16" customHeight="1">
      <c r="A18" s="12" t="n">
        <v>12</v>
      </c>
      <c r="B18" s="12">
        <f>IF(Нэгтгэл!B18="","",Нэгтгэл!B18)</f>
        <v/>
      </c>
      <c r="C18" s="4" t="n"/>
      <c r="D18" s="13" t="n">
        <v>1</v>
      </c>
      <c r="E18" s="13" t="n">
        <v>1</v>
      </c>
      <c r="F18" s="13" t="n">
        <v>1</v>
      </c>
      <c r="G18" s="13" t="n">
        <v>1</v>
      </c>
      <c r="H18" s="13" t="n">
        <v>1</v>
      </c>
      <c r="I18" s="13" t="n">
        <v>1</v>
      </c>
      <c r="J18" s="13" t="n">
        <v>0</v>
      </c>
      <c r="K18" s="13" t="n">
        <v>1</v>
      </c>
      <c r="L18" s="13" t="n">
        <v>1</v>
      </c>
      <c r="M18" s="13" t="n">
        <v>1</v>
      </c>
      <c r="N18" s="13" t="n">
        <v>1</v>
      </c>
      <c r="O18" s="13" t="n">
        <v>1</v>
      </c>
      <c r="P18" s="13" t="n">
        <v>0</v>
      </c>
      <c r="Q18" s="13" t="n">
        <v>1</v>
      </c>
      <c r="R18" s="13" t="n">
        <v>1</v>
      </c>
      <c r="S18" s="13" t="n">
        <v>1</v>
      </c>
      <c r="T18" s="13" t="n">
        <v>1</v>
      </c>
      <c r="U18" s="13" t="n">
        <v>1</v>
      </c>
      <c r="V18" s="12">
        <f>COUNTIF(D18:U18,1)</f>
        <v/>
      </c>
      <c r="W18" s="12">
        <f>IF(COUNT(D18:U18)=0,"",ROUND(V18/18*100,1))</f>
        <v/>
      </c>
      <c r="X18" s="12">
        <f>COUNTIF(D18:U18,0)</f>
        <v/>
      </c>
      <c r="Y18" s="12">
        <f>IF(COUNT(D18:U18)=0,"",ROUND(X18/18*100,1))</f>
        <v/>
      </c>
      <c r="Z18" s="20">
        <f>IF(W18="","",IF(W18&gt;=Нэгтгэл!$K$4,"Хангалттай эзэмшиж байна",IF(W18&gt;=Нэгтгэл!$K$5,"Ахиж байна","Хөгжиж байна")))</f>
        <v/>
      </c>
    </row>
    <row r="19" ht="16" customHeight="1">
      <c r="A19" s="12" t="n">
        <v>13</v>
      </c>
      <c r="B19" s="12">
        <f>IF(Нэгтгэл!B19="","",Нэгтгэл!B19)</f>
        <v/>
      </c>
      <c r="C19" s="4" t="n"/>
      <c r="D19" s="13" t="n">
        <v>1</v>
      </c>
      <c r="E19" s="13" t="n">
        <v>1</v>
      </c>
      <c r="F19" s="13" t="n">
        <v>1</v>
      </c>
      <c r="G19" s="13" t="n">
        <v>1</v>
      </c>
      <c r="H19" s="13" t="n">
        <v>1</v>
      </c>
      <c r="I19" s="13" t="n">
        <v>1</v>
      </c>
      <c r="J19" s="13" t="n">
        <v>0</v>
      </c>
      <c r="K19" s="13" t="n">
        <v>1</v>
      </c>
      <c r="L19" s="13" t="n">
        <v>0</v>
      </c>
      <c r="M19" s="13" t="n">
        <v>1</v>
      </c>
      <c r="N19" s="13" t="n">
        <v>1</v>
      </c>
      <c r="O19" s="13" t="n">
        <v>1</v>
      </c>
      <c r="P19" s="13" t="n">
        <v>1</v>
      </c>
      <c r="Q19" s="13" t="n">
        <v>0</v>
      </c>
      <c r="R19" s="13" t="n">
        <v>1</v>
      </c>
      <c r="S19" s="13" t="n">
        <v>1</v>
      </c>
      <c r="T19" s="13" t="n">
        <v>1</v>
      </c>
      <c r="U19" s="13" t="n">
        <v>1</v>
      </c>
      <c r="V19" s="12">
        <f>COUNTIF(D19:U19,1)</f>
        <v/>
      </c>
      <c r="W19" s="12">
        <f>IF(COUNT(D19:U19)=0,"",ROUND(V19/18*100,1))</f>
        <v/>
      </c>
      <c r="X19" s="12">
        <f>COUNTIF(D19:U19,0)</f>
        <v/>
      </c>
      <c r="Y19" s="12">
        <f>IF(COUNT(D19:U19)=0,"",ROUND(X19/18*100,1))</f>
        <v/>
      </c>
      <c r="Z19" s="20">
        <f>IF(W19="","",IF(W19&gt;=Нэгтгэл!$K$4,"Хангалттай эзэмшиж байна",IF(W19&gt;=Нэгтгэл!$K$5,"Ахиж байна","Хөгжиж байна")))</f>
        <v/>
      </c>
    </row>
    <row r="20" ht="16" customHeight="1">
      <c r="A20" s="12" t="n">
        <v>14</v>
      </c>
      <c r="B20" s="12">
        <f>IF(Нэгтгэл!B20="","",Нэгтгэл!B20)</f>
        <v/>
      </c>
      <c r="C20" s="4" t="n"/>
      <c r="D20" s="13" t="n">
        <v>1</v>
      </c>
      <c r="E20" s="13" t="n">
        <v>1</v>
      </c>
      <c r="F20" s="13" t="n">
        <v>1</v>
      </c>
      <c r="G20" s="13" t="n">
        <v>1</v>
      </c>
      <c r="H20" s="13" t="n">
        <v>1</v>
      </c>
      <c r="I20" s="13" t="n">
        <v>1</v>
      </c>
      <c r="J20" s="13" t="n">
        <v>1</v>
      </c>
      <c r="K20" s="13" t="n">
        <v>1</v>
      </c>
      <c r="L20" s="13" t="n">
        <v>1</v>
      </c>
      <c r="M20" s="13" t="n">
        <v>1</v>
      </c>
      <c r="N20" s="13" t="n">
        <v>1</v>
      </c>
      <c r="O20" s="13" t="n">
        <v>1</v>
      </c>
      <c r="P20" s="13" t="n">
        <v>0</v>
      </c>
      <c r="Q20" s="13" t="n">
        <v>1</v>
      </c>
      <c r="R20" s="13" t="n">
        <v>1</v>
      </c>
      <c r="S20" s="13" t="n">
        <v>1</v>
      </c>
      <c r="T20" s="13" t="n">
        <v>1</v>
      </c>
      <c r="U20" s="13" t="n">
        <v>0</v>
      </c>
      <c r="V20" s="12">
        <f>COUNTIF(D20:U20,1)</f>
        <v/>
      </c>
      <c r="W20" s="12">
        <f>IF(COUNT(D20:U20)=0,"",ROUND(V20/18*100,1))</f>
        <v/>
      </c>
      <c r="X20" s="12">
        <f>COUNTIF(D20:U20,0)</f>
        <v/>
      </c>
      <c r="Y20" s="12">
        <f>IF(COUNT(D20:U20)=0,"",ROUND(X20/18*100,1))</f>
        <v/>
      </c>
      <c r="Z20" s="20">
        <f>IF(W20="","",IF(W20&gt;=Нэгтгэл!$K$4,"Хангалттай эзэмшиж байна",IF(W20&gt;=Нэгтгэл!$K$5,"Ахиж байна","Хөгжиж байна")))</f>
        <v/>
      </c>
    </row>
    <row r="21" ht="16" customHeight="1">
      <c r="A21" s="12" t="n">
        <v>15</v>
      </c>
      <c r="B21" s="12">
        <f>IF(Нэгтгэл!B21="","",Нэгтгэл!B21)</f>
        <v/>
      </c>
      <c r="C21" s="4" t="n"/>
      <c r="D21" s="13" t="n">
        <v>0</v>
      </c>
      <c r="E21" s="13" t="n">
        <v>0</v>
      </c>
      <c r="F21" s="13" t="n">
        <v>1</v>
      </c>
      <c r="G21" s="13" t="n">
        <v>0</v>
      </c>
      <c r="H21" s="13" t="n">
        <v>1</v>
      </c>
      <c r="I21" s="13" t="n">
        <v>1</v>
      </c>
      <c r="J21" s="13" t="n">
        <v>1</v>
      </c>
      <c r="K21" s="13" t="n">
        <v>1</v>
      </c>
      <c r="L21" s="13" t="n">
        <v>1</v>
      </c>
      <c r="M21" s="13" t="n">
        <v>1</v>
      </c>
      <c r="N21" s="13" t="n">
        <v>1</v>
      </c>
      <c r="O21" s="13" t="n">
        <v>1</v>
      </c>
      <c r="P21" s="13" t="n">
        <v>1</v>
      </c>
      <c r="Q21" s="13" t="n">
        <v>0</v>
      </c>
      <c r="R21" s="13" t="n">
        <v>1</v>
      </c>
      <c r="S21" s="13" t="n">
        <v>0</v>
      </c>
      <c r="T21" s="13" t="n">
        <v>1</v>
      </c>
      <c r="U21" s="13" t="n">
        <v>1</v>
      </c>
      <c r="V21" s="12">
        <f>COUNTIF(D21:U21,1)</f>
        <v/>
      </c>
      <c r="W21" s="12">
        <f>IF(COUNT(D21:U21)=0,"",ROUND(V21/18*100,1))</f>
        <v/>
      </c>
      <c r="X21" s="12">
        <f>COUNTIF(D21:U21,0)</f>
        <v/>
      </c>
      <c r="Y21" s="12">
        <f>IF(COUNT(D21:U21)=0,"",ROUND(X21/18*100,1))</f>
        <v/>
      </c>
      <c r="Z21" s="20">
        <f>IF(W21="","",IF(W21&gt;=Нэгтгэл!$K$4,"Хангалттай эзэмшиж байна",IF(W21&gt;=Нэгтгэл!$K$5,"Ахиж байна","Хөгжиж байна")))</f>
        <v/>
      </c>
    </row>
    <row r="22" ht="16" customHeight="1">
      <c r="A22" s="12" t="n">
        <v>16</v>
      </c>
      <c r="B22" s="12">
        <f>IF(Нэгтгэл!B22="","",Нэгтгэл!B22)</f>
        <v/>
      </c>
      <c r="C22" s="4" t="n"/>
      <c r="D22" s="13" t="n">
        <v>1</v>
      </c>
      <c r="E22" s="13" t="n">
        <v>1</v>
      </c>
      <c r="F22" s="13" t="n">
        <v>1</v>
      </c>
      <c r="G22" s="13" t="n">
        <v>1</v>
      </c>
      <c r="H22" s="13" t="n">
        <v>1</v>
      </c>
      <c r="I22" s="13" t="n">
        <v>1</v>
      </c>
      <c r="J22" s="13" t="n">
        <v>1</v>
      </c>
      <c r="K22" s="13" t="n">
        <v>1</v>
      </c>
      <c r="L22" s="13" t="n">
        <v>0</v>
      </c>
      <c r="M22" s="13" t="n">
        <v>1</v>
      </c>
      <c r="N22" s="13" t="n">
        <v>1</v>
      </c>
      <c r="O22" s="13" t="n">
        <v>0</v>
      </c>
      <c r="P22" s="13" t="n">
        <v>1</v>
      </c>
      <c r="Q22" s="13" t="n">
        <v>1</v>
      </c>
      <c r="R22" s="13" t="n">
        <v>1</v>
      </c>
      <c r="S22" s="13" t="n">
        <v>1</v>
      </c>
      <c r="T22" s="13" t="n">
        <v>1</v>
      </c>
      <c r="U22" s="13" t="n">
        <v>1</v>
      </c>
      <c r="V22" s="12">
        <f>COUNTIF(D22:U22,1)</f>
        <v/>
      </c>
      <c r="W22" s="12">
        <f>IF(COUNT(D22:U22)=0,"",ROUND(V22/18*100,1))</f>
        <v/>
      </c>
      <c r="X22" s="12">
        <f>COUNTIF(D22:U22,0)</f>
        <v/>
      </c>
      <c r="Y22" s="12">
        <f>IF(COUNT(D22:U22)=0,"",ROUND(X22/18*100,1))</f>
        <v/>
      </c>
      <c r="Z22" s="20">
        <f>IF(W22="","",IF(W22&gt;=Нэгтгэл!$K$4,"Хангалттай эзэмшиж байна",IF(W22&gt;=Нэгтгэл!$K$5,"Ахиж байна","Хөгжиж байна")))</f>
        <v/>
      </c>
    </row>
    <row r="23" ht="16" customHeight="1">
      <c r="A23" s="12" t="n">
        <v>17</v>
      </c>
      <c r="B23" s="12">
        <f>IF(Нэгтгэл!B23="","",Нэгтгэл!B23)</f>
        <v/>
      </c>
      <c r="C23" s="4" t="n"/>
      <c r="D23" s="13" t="n">
        <v>1</v>
      </c>
      <c r="E23" s="13" t="n">
        <v>1</v>
      </c>
      <c r="F23" s="13" t="n">
        <v>1</v>
      </c>
      <c r="G23" s="13" t="n">
        <v>1</v>
      </c>
      <c r="H23" s="13" t="n">
        <v>1</v>
      </c>
      <c r="I23" s="13" t="n">
        <v>1</v>
      </c>
      <c r="J23" s="13" t="n">
        <v>1</v>
      </c>
      <c r="K23" s="13" t="n">
        <v>1</v>
      </c>
      <c r="L23" s="13" t="n">
        <v>1</v>
      </c>
      <c r="M23" s="13" t="n">
        <v>1</v>
      </c>
      <c r="N23" s="13" t="n">
        <v>1</v>
      </c>
      <c r="O23" s="13" t="n">
        <v>1</v>
      </c>
      <c r="P23" s="13" t="n">
        <v>0</v>
      </c>
      <c r="Q23" s="13" t="n">
        <v>1</v>
      </c>
      <c r="R23" s="13" t="n">
        <v>1</v>
      </c>
      <c r="S23" s="13" t="n">
        <v>0</v>
      </c>
      <c r="T23" s="13" t="n">
        <v>0</v>
      </c>
      <c r="U23" s="13" t="n">
        <v>1</v>
      </c>
      <c r="V23" s="12">
        <f>COUNTIF(D23:U23,1)</f>
        <v/>
      </c>
      <c r="W23" s="12">
        <f>IF(COUNT(D23:U23)=0,"",ROUND(V23/18*100,1))</f>
        <v/>
      </c>
      <c r="X23" s="12">
        <f>COUNTIF(D23:U23,0)</f>
        <v/>
      </c>
      <c r="Y23" s="12">
        <f>IF(COUNT(D23:U23)=0,"",ROUND(X23/18*100,1))</f>
        <v/>
      </c>
      <c r="Z23" s="20">
        <f>IF(W23="","",IF(W23&gt;=Нэгтгэл!$K$4,"Хангалттай эзэмшиж байна",IF(W23&gt;=Нэгтгэл!$K$5,"Ахиж байна","Хөгжиж байна")))</f>
        <v/>
      </c>
    </row>
    <row r="24" ht="16" customHeight="1">
      <c r="A24" s="12" t="n">
        <v>18</v>
      </c>
      <c r="B24" s="12">
        <f>IF(Нэгтгэл!B24="","",Нэгтгэл!B24)</f>
        <v/>
      </c>
      <c r="C24" s="4" t="n"/>
      <c r="D24" s="13" t="n">
        <v>1</v>
      </c>
      <c r="E24" s="13" t="n">
        <v>0</v>
      </c>
      <c r="F24" s="13" t="n">
        <v>1</v>
      </c>
      <c r="G24" s="13" t="n">
        <v>0</v>
      </c>
      <c r="H24" s="13" t="n">
        <v>1</v>
      </c>
      <c r="I24" s="13" t="n">
        <v>1</v>
      </c>
      <c r="J24" s="13" t="n">
        <v>1</v>
      </c>
      <c r="K24" s="13" t="n">
        <v>1</v>
      </c>
      <c r="L24" s="13" t="n">
        <v>1</v>
      </c>
      <c r="M24" s="13" t="n">
        <v>1</v>
      </c>
      <c r="N24" s="13" t="n">
        <v>0</v>
      </c>
      <c r="O24" s="13" t="n">
        <v>0</v>
      </c>
      <c r="P24" s="13" t="n">
        <v>0</v>
      </c>
      <c r="Q24" s="13" t="n">
        <v>1</v>
      </c>
      <c r="R24" s="13" t="n">
        <v>1</v>
      </c>
      <c r="S24" s="13" t="n">
        <v>0</v>
      </c>
      <c r="T24" s="13" t="n">
        <v>0</v>
      </c>
      <c r="U24" s="13" t="n">
        <v>1</v>
      </c>
      <c r="V24" s="12">
        <f>COUNTIF(D24:U24,1)</f>
        <v/>
      </c>
      <c r="W24" s="12">
        <f>IF(COUNT(D24:U24)=0,"",ROUND(V24/18*100,1))</f>
        <v/>
      </c>
      <c r="X24" s="12">
        <f>COUNTIF(D24:U24,0)</f>
        <v/>
      </c>
      <c r="Y24" s="12">
        <f>IF(COUNT(D24:U24)=0,"",ROUND(X24/18*100,1))</f>
        <v/>
      </c>
      <c r="Z24" s="20">
        <f>IF(W24="","",IF(W24&gt;=Нэгтгэл!$K$4,"Хангалттай эзэмшиж байна",IF(W24&gt;=Нэгтгэл!$K$5,"Ахиж байна","Хөгжиж байна")))</f>
        <v/>
      </c>
    </row>
    <row r="25" ht="16" customHeight="1">
      <c r="A25" s="12" t="n">
        <v>19</v>
      </c>
      <c r="B25" s="12">
        <f>IF(Нэгтгэл!B25="","",Нэгтгэл!B25)</f>
        <v/>
      </c>
      <c r="C25" s="4" t="n"/>
      <c r="D25" s="13" t="n">
        <v>1</v>
      </c>
      <c r="E25" s="13" t="n">
        <v>1</v>
      </c>
      <c r="F25" s="13" t="n">
        <v>1</v>
      </c>
      <c r="G25" s="13" t="n">
        <v>1</v>
      </c>
      <c r="H25" s="13" t="n">
        <v>0</v>
      </c>
      <c r="I25" s="13" t="n">
        <v>1</v>
      </c>
      <c r="J25" s="13" t="n">
        <v>1</v>
      </c>
      <c r="K25" s="13" t="n">
        <v>1</v>
      </c>
      <c r="L25" s="13" t="n">
        <v>1</v>
      </c>
      <c r="M25" s="13" t="n">
        <v>1</v>
      </c>
      <c r="N25" s="13" t="n">
        <v>1</v>
      </c>
      <c r="O25" s="13" t="n">
        <v>1</v>
      </c>
      <c r="P25" s="13" t="n">
        <v>1</v>
      </c>
      <c r="Q25" s="13" t="n">
        <v>1</v>
      </c>
      <c r="R25" s="13" t="n">
        <v>0</v>
      </c>
      <c r="S25" s="13" t="n">
        <v>1</v>
      </c>
      <c r="T25" s="13" t="n">
        <v>1</v>
      </c>
      <c r="U25" s="13" t="n">
        <v>1</v>
      </c>
      <c r="V25" s="12">
        <f>COUNTIF(D25:U25,1)</f>
        <v/>
      </c>
      <c r="W25" s="12">
        <f>IF(COUNT(D25:U25)=0,"",ROUND(V25/18*100,1))</f>
        <v/>
      </c>
      <c r="X25" s="12">
        <f>COUNTIF(D25:U25,0)</f>
        <v/>
      </c>
      <c r="Y25" s="12">
        <f>IF(COUNT(D25:U25)=0,"",ROUND(X25/18*100,1))</f>
        <v/>
      </c>
      <c r="Z25" s="20">
        <f>IF(W25="","",IF(W25&gt;=Нэгтгэл!$K$4,"Хангалттай эзэмшиж байна",IF(W25&gt;=Нэгтгэл!$K$5,"Ахиж байна","Хөгжиж байна")))</f>
        <v/>
      </c>
    </row>
    <row r="26" ht="16" customHeight="1">
      <c r="A26" s="12" t="n">
        <v>20</v>
      </c>
      <c r="B26" s="12">
        <f>IF(Нэгтгэл!B26="","",Нэгтгэл!B26)</f>
        <v/>
      </c>
      <c r="C26" s="4" t="n"/>
      <c r="D26" s="13" t="n">
        <v>0</v>
      </c>
      <c r="E26" s="13" t="n">
        <v>1</v>
      </c>
      <c r="F26" s="13" t="n">
        <v>1</v>
      </c>
      <c r="G26" s="13" t="n">
        <v>1</v>
      </c>
      <c r="H26" s="13" t="n">
        <v>1</v>
      </c>
      <c r="I26" s="13" t="n">
        <v>1</v>
      </c>
      <c r="J26" s="13" t="n">
        <v>1</v>
      </c>
      <c r="K26" s="13" t="n">
        <v>1</v>
      </c>
      <c r="L26" s="13" t="n">
        <v>0</v>
      </c>
      <c r="M26" s="13" t="n">
        <v>0</v>
      </c>
      <c r="N26" s="13" t="n">
        <v>1</v>
      </c>
      <c r="O26" s="13" t="n">
        <v>1</v>
      </c>
      <c r="P26" s="13" t="n">
        <v>1</v>
      </c>
      <c r="Q26" s="13" t="n">
        <v>1</v>
      </c>
      <c r="R26" s="13" t="n">
        <v>1</v>
      </c>
      <c r="S26" s="13" t="n">
        <v>1</v>
      </c>
      <c r="T26" s="13" t="n">
        <v>1</v>
      </c>
      <c r="U26" s="13" t="n">
        <v>0</v>
      </c>
      <c r="V26" s="12">
        <f>COUNTIF(D26:U26,1)</f>
        <v/>
      </c>
      <c r="W26" s="12">
        <f>IF(COUNT(D26:U26)=0,"",ROUND(V26/18*100,1))</f>
        <v/>
      </c>
      <c r="X26" s="12">
        <f>COUNTIF(D26:U26,0)</f>
        <v/>
      </c>
      <c r="Y26" s="12">
        <f>IF(COUNT(D26:U26)=0,"",ROUND(X26/18*100,1))</f>
        <v/>
      </c>
      <c r="Z26" s="20">
        <f>IF(W26="","",IF(W26&gt;=Нэгтгэл!$K$4,"Хангалттай эзэмшиж байна",IF(W26&gt;=Нэгтгэл!$K$5,"Ахиж байна","Хөгжиж байна")))</f>
        <v/>
      </c>
    </row>
    <row r="27" ht="16" customHeight="1">
      <c r="A27" s="12" t="n">
        <v>21</v>
      </c>
      <c r="B27" s="12">
        <f>IF(Нэгтгэл!B27="","",Нэгтгэл!B27)</f>
        <v/>
      </c>
      <c r="C27" s="4" t="n"/>
      <c r="D27" s="13" t="n">
        <v>1</v>
      </c>
      <c r="E27" s="13" t="n">
        <v>0</v>
      </c>
      <c r="F27" s="13" t="n">
        <v>0</v>
      </c>
      <c r="G27" s="13" t="n">
        <v>1</v>
      </c>
      <c r="H27" s="13" t="n">
        <v>0</v>
      </c>
      <c r="I27" s="13" t="n">
        <v>1</v>
      </c>
      <c r="J27" s="13" t="n">
        <v>1</v>
      </c>
      <c r="K27" s="13" t="n">
        <v>1</v>
      </c>
      <c r="L27" s="13" t="n">
        <v>0</v>
      </c>
      <c r="M27" s="13" t="n">
        <v>1</v>
      </c>
      <c r="N27" s="13" t="n">
        <v>1</v>
      </c>
      <c r="O27" s="13" t="n">
        <v>1</v>
      </c>
      <c r="P27" s="13" t="n">
        <v>0</v>
      </c>
      <c r="Q27" s="13" t="n">
        <v>0</v>
      </c>
      <c r="R27" s="13" t="n">
        <v>1</v>
      </c>
      <c r="S27" s="13" t="n">
        <v>1</v>
      </c>
      <c r="T27" s="13" t="n">
        <v>1</v>
      </c>
      <c r="U27" s="13" t="n">
        <v>1</v>
      </c>
      <c r="V27" s="12">
        <f>COUNTIF(D27:U27,1)</f>
        <v/>
      </c>
      <c r="W27" s="12">
        <f>IF(COUNT(D27:U27)=0,"",ROUND(V27/18*100,1))</f>
        <v/>
      </c>
      <c r="X27" s="12">
        <f>COUNTIF(D27:U27,0)</f>
        <v/>
      </c>
      <c r="Y27" s="12">
        <f>IF(COUNT(D27:U27)=0,"",ROUND(X27/18*100,1))</f>
        <v/>
      </c>
      <c r="Z27" s="20">
        <f>IF(W27="","",IF(W27&gt;=Нэгтгэл!$K$4,"Хангалттай эзэмшиж байна",IF(W27&gt;=Нэгтгэл!$K$5,"Ахиж байна","Хөгжиж байна")))</f>
        <v/>
      </c>
    </row>
    <row r="28" ht="16" customHeight="1">
      <c r="A28" s="12" t="n">
        <v>22</v>
      </c>
      <c r="B28" s="12">
        <f>IF(Нэгтгэл!B28="","",Нэгтгэл!B28)</f>
        <v/>
      </c>
      <c r="C28" s="4" t="n"/>
      <c r="D28" s="13" t="n">
        <v>1</v>
      </c>
      <c r="E28" s="13" t="n">
        <v>1</v>
      </c>
      <c r="F28" s="13" t="n">
        <v>1</v>
      </c>
      <c r="G28" s="13" t="n">
        <v>1</v>
      </c>
      <c r="H28" s="13" t="n">
        <v>0</v>
      </c>
      <c r="I28" s="13" t="n">
        <v>1</v>
      </c>
      <c r="J28" s="13" t="n">
        <v>0</v>
      </c>
      <c r="K28" s="13" t="n">
        <v>1</v>
      </c>
      <c r="L28" s="13" t="n">
        <v>0</v>
      </c>
      <c r="M28" s="13" t="n">
        <v>0</v>
      </c>
      <c r="N28" s="13" t="n">
        <v>1</v>
      </c>
      <c r="O28" s="13" t="n">
        <v>1</v>
      </c>
      <c r="P28" s="13" t="n">
        <v>0</v>
      </c>
      <c r="Q28" s="13" t="n">
        <v>1</v>
      </c>
      <c r="R28" s="13" t="n">
        <v>1</v>
      </c>
      <c r="S28" s="13" t="n">
        <v>1</v>
      </c>
      <c r="T28" s="13" t="n">
        <v>1</v>
      </c>
      <c r="U28" s="13" t="n">
        <v>1</v>
      </c>
      <c r="V28" s="12">
        <f>COUNTIF(D28:U28,1)</f>
        <v/>
      </c>
      <c r="W28" s="12">
        <f>IF(COUNT(D28:U28)=0,"",ROUND(V28/18*100,1))</f>
        <v/>
      </c>
      <c r="X28" s="12">
        <f>COUNTIF(D28:U28,0)</f>
        <v/>
      </c>
      <c r="Y28" s="12">
        <f>IF(COUNT(D28:U28)=0,"",ROUND(X28/18*100,1))</f>
        <v/>
      </c>
      <c r="Z28" s="20">
        <f>IF(W28="","",IF(W28&gt;=Нэгтгэл!$K$4,"Хангалттай эзэмшиж байна",IF(W28&gt;=Нэгтгэл!$K$5,"Ахиж байна","Хөгжиж байна")))</f>
        <v/>
      </c>
    </row>
    <row r="29" ht="16" customHeight="1">
      <c r="A29" s="12" t="n">
        <v>23</v>
      </c>
      <c r="B29" s="12">
        <f>IF(Нэгтгэл!B29="","",Нэгтгэл!B29)</f>
        <v/>
      </c>
      <c r="C29" s="4" t="n"/>
      <c r="D29" s="13" t="n">
        <v>0</v>
      </c>
      <c r="E29" s="13" t="n">
        <v>0</v>
      </c>
      <c r="F29" s="13" t="n">
        <v>1</v>
      </c>
      <c r="G29" s="13" t="n">
        <v>0</v>
      </c>
      <c r="H29" s="13" t="n">
        <v>1</v>
      </c>
      <c r="I29" s="13" t="n">
        <v>1</v>
      </c>
      <c r="J29" s="13" t="n">
        <v>1</v>
      </c>
      <c r="K29" s="13" t="n">
        <v>1</v>
      </c>
      <c r="L29" s="13" t="n">
        <v>1</v>
      </c>
      <c r="M29" s="13" t="n">
        <v>1</v>
      </c>
      <c r="N29" s="13" t="n">
        <v>1</v>
      </c>
      <c r="O29" s="13" t="n">
        <v>0</v>
      </c>
      <c r="P29" s="13" t="n">
        <v>0</v>
      </c>
      <c r="Q29" s="13" t="n">
        <v>1</v>
      </c>
      <c r="R29" s="13" t="n">
        <v>0</v>
      </c>
      <c r="S29" s="13" t="n">
        <v>0</v>
      </c>
      <c r="T29" s="13" t="n">
        <v>1</v>
      </c>
      <c r="U29" s="13" t="n">
        <v>1</v>
      </c>
      <c r="V29" s="12">
        <f>COUNTIF(D29:U29,1)</f>
        <v/>
      </c>
      <c r="W29" s="12">
        <f>IF(COUNT(D29:U29)=0,"",ROUND(V29/18*100,1))</f>
        <v/>
      </c>
      <c r="X29" s="12">
        <f>COUNTIF(D29:U29,0)</f>
        <v/>
      </c>
      <c r="Y29" s="12">
        <f>IF(COUNT(D29:U29)=0,"",ROUND(X29/18*100,1))</f>
        <v/>
      </c>
      <c r="Z29" s="20">
        <f>IF(W29="","",IF(W29&gt;=Нэгтгэл!$K$4,"Хангалттай эзэмшиж байна",IF(W29&gt;=Нэгтгэл!$K$5,"Ахиж байна","Хөгжиж байна")))</f>
        <v/>
      </c>
    </row>
    <row r="30" ht="16" customHeight="1">
      <c r="A30" s="12" t="n">
        <v>24</v>
      </c>
      <c r="B30" s="12">
        <f>IF(Нэгтгэл!B30="","",Нэгтгэл!B30)</f>
        <v/>
      </c>
      <c r="C30" s="4" t="n"/>
      <c r="D30" s="13" t="n">
        <v>1</v>
      </c>
      <c r="E30" s="13" t="n">
        <v>0</v>
      </c>
      <c r="F30" s="13" t="n">
        <v>1</v>
      </c>
      <c r="G30" s="13" t="n">
        <v>0</v>
      </c>
      <c r="H30" s="13" t="n">
        <v>1</v>
      </c>
      <c r="I30" s="13" t="n">
        <v>0</v>
      </c>
      <c r="J30" s="13" t="n">
        <v>1</v>
      </c>
      <c r="K30" s="13" t="n">
        <v>1</v>
      </c>
      <c r="L30" s="13" t="n">
        <v>1</v>
      </c>
      <c r="M30" s="13" t="n">
        <v>0</v>
      </c>
      <c r="N30" s="13" t="n">
        <v>1</v>
      </c>
      <c r="O30" s="13" t="n">
        <v>1</v>
      </c>
      <c r="P30" s="13" t="n">
        <v>1</v>
      </c>
      <c r="Q30" s="13" t="n">
        <v>1</v>
      </c>
      <c r="R30" s="13" t="n">
        <v>1</v>
      </c>
      <c r="S30" s="13" t="n">
        <v>1</v>
      </c>
      <c r="T30" s="13" t="n">
        <v>1</v>
      </c>
      <c r="U30" s="13" t="n">
        <v>1</v>
      </c>
      <c r="V30" s="12">
        <f>COUNTIF(D30:U30,1)</f>
        <v/>
      </c>
      <c r="W30" s="12">
        <f>IF(COUNT(D30:U30)=0,"",ROUND(V30/18*100,1))</f>
        <v/>
      </c>
      <c r="X30" s="12">
        <f>COUNTIF(D30:U30,0)</f>
        <v/>
      </c>
      <c r="Y30" s="12">
        <f>IF(COUNT(D30:U30)=0,"",ROUND(X30/18*100,1))</f>
        <v/>
      </c>
      <c r="Z30" s="20">
        <f>IF(W30="","",IF(W30&gt;=Нэгтгэл!$K$4,"Хангалттай эзэмшиж байна",IF(W30&gt;=Нэгтгэл!$K$5,"Ахиж байна","Хөгжиж байна")))</f>
        <v/>
      </c>
    </row>
    <row r="31" ht="16" customHeight="1">
      <c r="A31" s="12" t="n">
        <v>25</v>
      </c>
      <c r="B31" s="12">
        <f>IF(Нэгтгэл!B31="","",Нэгтгэл!B31)</f>
        <v/>
      </c>
      <c r="C31" s="4" t="n"/>
      <c r="D31" s="13" t="n">
        <v>0</v>
      </c>
      <c r="E31" s="13" t="n">
        <v>1</v>
      </c>
      <c r="F31" s="13" t="n">
        <v>1</v>
      </c>
      <c r="G31" s="13" t="n">
        <v>1</v>
      </c>
      <c r="H31" s="13" t="n">
        <v>1</v>
      </c>
      <c r="I31" s="13" t="n">
        <v>1</v>
      </c>
      <c r="J31" s="13" t="n">
        <v>0</v>
      </c>
      <c r="K31" s="13" t="n">
        <v>1</v>
      </c>
      <c r="L31" s="13" t="n">
        <v>1</v>
      </c>
      <c r="M31" s="13" t="n">
        <v>1</v>
      </c>
      <c r="N31" s="13" t="n">
        <v>1</v>
      </c>
      <c r="O31" s="13" t="n">
        <v>1</v>
      </c>
      <c r="P31" s="13" t="n">
        <v>1</v>
      </c>
      <c r="Q31" s="13" t="n">
        <v>1</v>
      </c>
      <c r="R31" s="13" t="n">
        <v>0</v>
      </c>
      <c r="S31" s="13" t="n">
        <v>1</v>
      </c>
      <c r="T31" s="13" t="n">
        <v>0</v>
      </c>
      <c r="U31" s="13" t="n">
        <v>0</v>
      </c>
      <c r="V31" s="12">
        <f>COUNTIF(D31:U31,1)</f>
        <v/>
      </c>
      <c r="W31" s="12">
        <f>IF(COUNT(D31:U31)=0,"",ROUND(V31/18*100,1))</f>
        <v/>
      </c>
      <c r="X31" s="12">
        <f>COUNTIF(D31:U31,0)</f>
        <v/>
      </c>
      <c r="Y31" s="12">
        <f>IF(COUNT(D31:U31)=0,"",ROUND(X31/18*100,1))</f>
        <v/>
      </c>
      <c r="Z31" s="20">
        <f>IF(W31="","",IF(W31&gt;=Нэгтгэл!$K$4,"Хангалттай эзэмшиж байна",IF(W31&gt;=Нэгтгэл!$K$5,"Ахиж байна","Хөгжиж байна")))</f>
        <v/>
      </c>
    </row>
    <row r="32" ht="16" customHeight="1">
      <c r="A32" s="12" t="n">
        <v>26</v>
      </c>
      <c r="B32" s="12">
        <f>IF(Нэгтгэл!B32="","",Нэгтгэл!B32)</f>
        <v/>
      </c>
      <c r="C32" s="4" t="n"/>
      <c r="D32" s="13" t="n">
        <v>1</v>
      </c>
      <c r="E32" s="13" t="n">
        <v>1</v>
      </c>
      <c r="F32" s="13" t="n">
        <v>1</v>
      </c>
      <c r="G32" s="13" t="n">
        <v>1</v>
      </c>
      <c r="H32" s="13" t="n">
        <v>0</v>
      </c>
      <c r="I32" s="13" t="n">
        <v>1</v>
      </c>
      <c r="J32" s="13" t="n">
        <v>1</v>
      </c>
      <c r="K32" s="13" t="n">
        <v>1</v>
      </c>
      <c r="L32" s="13" t="n">
        <v>1</v>
      </c>
      <c r="M32" s="13" t="n">
        <v>1</v>
      </c>
      <c r="N32" s="13" t="n">
        <v>1</v>
      </c>
      <c r="O32" s="13" t="n">
        <v>0</v>
      </c>
      <c r="P32" s="13" t="n">
        <v>0</v>
      </c>
      <c r="Q32" s="13" t="n">
        <v>1</v>
      </c>
      <c r="R32" s="13" t="n">
        <v>1</v>
      </c>
      <c r="S32" s="13" t="n">
        <v>1</v>
      </c>
      <c r="T32" s="13" t="n">
        <v>1</v>
      </c>
      <c r="U32" s="13" t="n">
        <v>1</v>
      </c>
      <c r="V32" s="12">
        <f>COUNTIF(D32:U32,1)</f>
        <v/>
      </c>
      <c r="W32" s="12">
        <f>IF(COUNT(D32:U32)=0,"",ROUND(V32/18*100,1))</f>
        <v/>
      </c>
      <c r="X32" s="12">
        <f>COUNTIF(D32:U32,0)</f>
        <v/>
      </c>
      <c r="Y32" s="12">
        <f>IF(COUNT(D32:U32)=0,"",ROUND(X32/18*100,1))</f>
        <v/>
      </c>
      <c r="Z32" s="20">
        <f>IF(W32="","",IF(W32&gt;=Нэгтгэл!$K$4,"Хангалттай эзэмшиж байна",IF(W32&gt;=Нэгтгэл!$K$5,"Ахиж байна","Хөгжиж байна")))</f>
        <v/>
      </c>
    </row>
    <row r="33" ht="16" customHeight="1">
      <c r="A33" s="12" t="n">
        <v>27</v>
      </c>
      <c r="B33" s="12">
        <f>IF(Нэгтгэл!B33="","",Нэгтгэл!B33)</f>
        <v/>
      </c>
      <c r="C33" s="4" t="n"/>
      <c r="D33" s="13" t="n">
        <v>1</v>
      </c>
      <c r="E33" s="13" t="n">
        <v>1</v>
      </c>
      <c r="F33" s="13" t="n">
        <v>1</v>
      </c>
      <c r="G33" s="13" t="n">
        <v>1</v>
      </c>
      <c r="H33" s="13" t="n">
        <v>0</v>
      </c>
      <c r="I33" s="13" t="n">
        <v>0</v>
      </c>
      <c r="J33" s="13" t="n">
        <v>0</v>
      </c>
      <c r="K33" s="13" t="n">
        <v>1</v>
      </c>
      <c r="L33" s="13" t="n">
        <v>1</v>
      </c>
      <c r="M33" s="13" t="n">
        <v>0</v>
      </c>
      <c r="N33" s="13" t="n">
        <v>1</v>
      </c>
      <c r="O33" s="13" t="n">
        <v>1</v>
      </c>
      <c r="P33" s="13" t="n">
        <v>0</v>
      </c>
      <c r="Q33" s="13" t="n">
        <v>1</v>
      </c>
      <c r="R33" s="13" t="n">
        <v>1</v>
      </c>
      <c r="S33" s="13" t="n">
        <v>0</v>
      </c>
      <c r="T33" s="13" t="n">
        <v>1</v>
      </c>
      <c r="U33" s="13" t="n">
        <v>0</v>
      </c>
      <c r="V33" s="12">
        <f>COUNTIF(D33:U33,1)</f>
        <v/>
      </c>
      <c r="W33" s="12">
        <f>IF(COUNT(D33:U33)=0,"",ROUND(V33/18*100,1))</f>
        <v/>
      </c>
      <c r="X33" s="12">
        <f>COUNTIF(D33:U33,0)</f>
        <v/>
      </c>
      <c r="Y33" s="12">
        <f>IF(COUNT(D33:U33)=0,"",ROUND(X33/18*100,1))</f>
        <v/>
      </c>
      <c r="Z33" s="20">
        <f>IF(W33="","",IF(W33&gt;=Нэгтгэл!$K$4,"Хангалттай эзэмшиж байна",IF(W33&gt;=Нэгтгэл!$K$5,"Ахиж байна","Хөгжиж байна")))</f>
        <v/>
      </c>
    </row>
    <row r="34" ht="16" customHeight="1">
      <c r="A34" s="12" t="n">
        <v>28</v>
      </c>
      <c r="B34" s="12">
        <f>IF(Нэгтгэл!B34="","",Нэгтгэл!B34)</f>
        <v/>
      </c>
      <c r="C34" s="4" t="n"/>
      <c r="D34" s="13" t="n">
        <v>1</v>
      </c>
      <c r="E34" s="13" t="n">
        <v>0</v>
      </c>
      <c r="F34" s="13" t="n">
        <v>1</v>
      </c>
      <c r="G34" s="13" t="n">
        <v>0</v>
      </c>
      <c r="H34" s="13" t="n">
        <v>1</v>
      </c>
      <c r="I34" s="13" t="n">
        <v>1</v>
      </c>
      <c r="J34" s="13" t="n">
        <v>1</v>
      </c>
      <c r="K34" s="13" t="n">
        <v>0</v>
      </c>
      <c r="L34" s="13" t="n">
        <v>1</v>
      </c>
      <c r="M34" s="13" t="n">
        <v>1</v>
      </c>
      <c r="N34" s="13" t="n">
        <v>1</v>
      </c>
      <c r="O34" s="13" t="n">
        <v>1</v>
      </c>
      <c r="P34" s="13" t="n">
        <v>1</v>
      </c>
      <c r="Q34" s="13" t="n">
        <v>0</v>
      </c>
      <c r="R34" s="13" t="n">
        <v>1</v>
      </c>
      <c r="S34" s="13" t="n">
        <v>1</v>
      </c>
      <c r="T34" s="13" t="n">
        <v>0</v>
      </c>
      <c r="U34" s="13" t="n">
        <v>1</v>
      </c>
      <c r="V34" s="12">
        <f>COUNTIF(D34:U34,1)</f>
        <v/>
      </c>
      <c r="W34" s="12">
        <f>IF(COUNT(D34:U34)=0,"",ROUND(V34/18*100,1))</f>
        <v/>
      </c>
      <c r="X34" s="12">
        <f>COUNTIF(D34:U34,0)</f>
        <v/>
      </c>
      <c r="Y34" s="12">
        <f>IF(COUNT(D34:U34)=0,"",ROUND(X34/18*100,1))</f>
        <v/>
      </c>
      <c r="Z34" s="20">
        <f>IF(W34="","",IF(W34&gt;=Нэгтгэл!$K$4,"Хангалттай эзэмшиж байна",IF(W34&gt;=Нэгтгэл!$K$5,"Ахиж байна","Хөгжиж байна")))</f>
        <v/>
      </c>
    </row>
    <row r="35" ht="16" customHeight="1">
      <c r="A35" s="12" t="n">
        <v>29</v>
      </c>
      <c r="B35" s="12">
        <f>IF(Нэгтгэл!B35="","",Нэгтгэл!B35)</f>
        <v/>
      </c>
      <c r="C35" s="4" t="n"/>
      <c r="D35" s="13" t="n">
        <v>0</v>
      </c>
      <c r="E35" s="13" t="n">
        <v>0</v>
      </c>
      <c r="F35" s="13" t="n">
        <v>1</v>
      </c>
      <c r="G35" s="13" t="n">
        <v>1</v>
      </c>
      <c r="H35" s="13" t="n">
        <v>0</v>
      </c>
      <c r="I35" s="13" t="n">
        <v>1</v>
      </c>
      <c r="J35" s="13" t="n">
        <v>1</v>
      </c>
      <c r="K35" s="13" t="n">
        <v>1</v>
      </c>
      <c r="L35" s="13" t="n">
        <v>0</v>
      </c>
      <c r="M35" s="13" t="n">
        <v>1</v>
      </c>
      <c r="N35" s="13" t="n">
        <v>1</v>
      </c>
      <c r="O35" s="13" t="n">
        <v>1</v>
      </c>
      <c r="P35" s="13" t="n">
        <v>1</v>
      </c>
      <c r="Q35" s="13" t="n">
        <v>1</v>
      </c>
      <c r="R35" s="13" t="n">
        <v>1</v>
      </c>
      <c r="S35" s="13" t="n">
        <v>1</v>
      </c>
      <c r="T35" s="13" t="n">
        <v>0</v>
      </c>
      <c r="U35" s="13" t="n">
        <v>1</v>
      </c>
      <c r="V35" s="12">
        <f>COUNTIF(D35:U35,1)</f>
        <v/>
      </c>
      <c r="W35" s="12">
        <f>IF(COUNT(D35:U35)=0,"",ROUND(V35/18*100,1))</f>
        <v/>
      </c>
      <c r="X35" s="12">
        <f>COUNTIF(D35:U35,0)</f>
        <v/>
      </c>
      <c r="Y35" s="12">
        <f>IF(COUNT(D35:U35)=0,"",ROUND(X35/18*100,1))</f>
        <v/>
      </c>
      <c r="Z35" s="20">
        <f>IF(W35="","",IF(W35&gt;=Нэгтгэл!$K$4,"Хангалттай эзэмшиж байна",IF(W35&gt;=Нэгтгэл!$K$5,"Ахиж байна","Хөгжиж байна")))</f>
        <v/>
      </c>
    </row>
    <row r="36" ht="16" customHeight="1">
      <c r="A36" s="12" t="n">
        <v>30</v>
      </c>
      <c r="B36" s="12">
        <f>IF(Нэгтгэл!B36="","",Нэгтгэл!B36)</f>
        <v/>
      </c>
      <c r="C36" s="4" t="n"/>
      <c r="D36" s="13" t="n">
        <v>1</v>
      </c>
      <c r="E36" s="13" t="n">
        <v>1</v>
      </c>
      <c r="F36" s="13" t="n">
        <v>1</v>
      </c>
      <c r="G36" s="13" t="n">
        <v>1</v>
      </c>
      <c r="H36" s="13" t="n">
        <v>1</v>
      </c>
      <c r="I36" s="13" t="n">
        <v>1</v>
      </c>
      <c r="J36" s="13" t="n">
        <v>1</v>
      </c>
      <c r="K36" s="13" t="n">
        <v>1</v>
      </c>
      <c r="L36" s="13" t="n">
        <v>1</v>
      </c>
      <c r="M36" s="13" t="n">
        <v>1</v>
      </c>
      <c r="N36" s="13" t="n">
        <v>1</v>
      </c>
      <c r="O36" s="13" t="n">
        <v>0</v>
      </c>
      <c r="P36" s="13" t="n">
        <v>1</v>
      </c>
      <c r="Q36" s="13" t="n">
        <v>1</v>
      </c>
      <c r="R36" s="13" t="n">
        <v>1</v>
      </c>
      <c r="S36" s="13" t="n">
        <v>1</v>
      </c>
      <c r="T36" s="13" t="n">
        <v>1</v>
      </c>
      <c r="U36" s="13" t="n">
        <v>1</v>
      </c>
      <c r="V36" s="12">
        <f>COUNTIF(D36:U36,1)</f>
        <v/>
      </c>
      <c r="W36" s="12">
        <f>IF(COUNT(D36:U36)=0,"",ROUND(V36/18*100,1))</f>
        <v/>
      </c>
      <c r="X36" s="12">
        <f>COUNTIF(D36:U36,0)</f>
        <v/>
      </c>
      <c r="Y36" s="12">
        <f>IF(COUNT(D36:U36)=0,"",ROUND(X36/18*100,1))</f>
        <v/>
      </c>
      <c r="Z36" s="20">
        <f>IF(W36="","",IF(W36&gt;=Нэгтгэл!$K$4,"Хангалттай эзэмшиж байна",IF(W36&gt;=Нэгтгэл!$K$5,"Ахиж байна","Хөгжиж байна")))</f>
        <v/>
      </c>
    </row>
    <row r="37" ht="16" customHeight="1">
      <c r="A37" s="12" t="n">
        <v>31</v>
      </c>
      <c r="B37" s="12">
        <f>IF(Нэгтгэл!B37="","",Нэгтгэл!B37)</f>
        <v/>
      </c>
      <c r="C37" s="4" t="n"/>
      <c r="D37" s="13" t="n">
        <v>1</v>
      </c>
      <c r="E37" s="13" t="n">
        <v>1</v>
      </c>
      <c r="F37" s="13" t="n">
        <v>0</v>
      </c>
      <c r="G37" s="13" t="n">
        <v>0</v>
      </c>
      <c r="H37" s="13" t="n">
        <v>1</v>
      </c>
      <c r="I37" s="13" t="n">
        <v>0</v>
      </c>
      <c r="J37" s="13" t="n">
        <v>1</v>
      </c>
      <c r="K37" s="13" t="n">
        <v>1</v>
      </c>
      <c r="L37" s="13" t="n">
        <v>1</v>
      </c>
      <c r="M37" s="13" t="n">
        <v>0</v>
      </c>
      <c r="N37" s="13" t="n">
        <v>1</v>
      </c>
      <c r="O37" s="13" t="n">
        <v>0</v>
      </c>
      <c r="P37" s="13" t="n">
        <v>1</v>
      </c>
      <c r="Q37" s="13" t="n">
        <v>0</v>
      </c>
      <c r="R37" s="13" t="n">
        <v>1</v>
      </c>
      <c r="S37" s="13" t="n">
        <v>1</v>
      </c>
      <c r="T37" s="13" t="n">
        <v>0</v>
      </c>
      <c r="U37" s="13" t="n">
        <v>0</v>
      </c>
      <c r="V37" s="12">
        <f>COUNTIF(D37:U37,1)</f>
        <v/>
      </c>
      <c r="W37" s="12">
        <f>IF(COUNT(D37:U37)=0,"",ROUND(V37/18*100,1))</f>
        <v/>
      </c>
      <c r="X37" s="12">
        <f>COUNTIF(D37:U37,0)</f>
        <v/>
      </c>
      <c r="Y37" s="12">
        <f>IF(COUNT(D37:U37)=0,"",ROUND(X37/18*100,1))</f>
        <v/>
      </c>
      <c r="Z37" s="20">
        <f>IF(W37="","",IF(W37&gt;=Нэгтгэл!$K$4,"Хангалттай эзэмшиж байна",IF(W37&gt;=Нэгтгэл!$K$5,"Ахиж байна","Хөгжиж байна")))</f>
        <v/>
      </c>
    </row>
    <row r="38" ht="16" customHeight="1">
      <c r="A38" s="12" t="n">
        <v>32</v>
      </c>
      <c r="B38" s="12">
        <f>IF(Нэгтгэл!B38="","",Нэгтгэл!B38)</f>
        <v/>
      </c>
      <c r="C38" s="4" t="n"/>
      <c r="D38" s="13" t="n">
        <v>1</v>
      </c>
      <c r="E38" s="13" t="n">
        <v>1</v>
      </c>
      <c r="F38" s="13" t="n">
        <v>0</v>
      </c>
      <c r="G38" s="13" t="n">
        <v>0</v>
      </c>
      <c r="H38" s="13" t="n">
        <v>1</v>
      </c>
      <c r="I38" s="13" t="n">
        <v>1</v>
      </c>
      <c r="J38" s="13" t="n">
        <v>1</v>
      </c>
      <c r="K38" s="13" t="n">
        <v>0</v>
      </c>
      <c r="L38" s="13" t="n">
        <v>0</v>
      </c>
      <c r="M38" s="13" t="n">
        <v>1</v>
      </c>
      <c r="N38" s="13" t="n">
        <v>1</v>
      </c>
      <c r="O38" s="13" t="n">
        <v>1</v>
      </c>
      <c r="P38" s="13" t="n">
        <v>0</v>
      </c>
      <c r="Q38" s="13" t="n">
        <v>1</v>
      </c>
      <c r="R38" s="13" t="n">
        <v>0</v>
      </c>
      <c r="S38" s="13" t="n">
        <v>0</v>
      </c>
      <c r="T38" s="13" t="n">
        <v>1</v>
      </c>
      <c r="U38" s="13" t="n">
        <v>1</v>
      </c>
      <c r="V38" s="12">
        <f>COUNTIF(D38:U38,1)</f>
        <v/>
      </c>
      <c r="W38" s="12">
        <f>IF(COUNT(D38:U38)=0,"",ROUND(V38/18*100,1))</f>
        <v/>
      </c>
      <c r="X38" s="12">
        <f>COUNTIF(D38:U38,0)</f>
        <v/>
      </c>
      <c r="Y38" s="12">
        <f>IF(COUNT(D38:U38)=0,"",ROUND(X38/18*100,1))</f>
        <v/>
      </c>
      <c r="Z38" s="20">
        <f>IF(W38="","",IF(W38&gt;=Нэгтгэл!$K$4,"Хангалттай эзэмшиж байна",IF(W38&gt;=Нэгтгэл!$K$5,"Ахиж байна","Хөгжиж байна")))</f>
        <v/>
      </c>
    </row>
    <row r="39" ht="16" customHeight="1">
      <c r="A39" s="12" t="n">
        <v>33</v>
      </c>
      <c r="B39" s="12">
        <f>IF(Нэгтгэл!B39="","",Нэгтгэл!B39)</f>
        <v/>
      </c>
      <c r="C39" s="4" t="n"/>
      <c r="D39" s="13" t="n">
        <v>0</v>
      </c>
      <c r="E39" s="13" t="n">
        <v>1</v>
      </c>
      <c r="F39" s="13" t="n">
        <v>0</v>
      </c>
      <c r="G39" s="13" t="n">
        <v>1</v>
      </c>
      <c r="H39" s="13" t="n">
        <v>0</v>
      </c>
      <c r="I39" s="13" t="n">
        <v>1</v>
      </c>
      <c r="J39" s="13" t="n">
        <v>1</v>
      </c>
      <c r="K39" s="13" t="n">
        <v>1</v>
      </c>
      <c r="L39" s="13" t="n">
        <v>1</v>
      </c>
      <c r="M39" s="13" t="n">
        <v>0</v>
      </c>
      <c r="N39" s="13" t="n">
        <v>0</v>
      </c>
      <c r="O39" s="13" t="n">
        <v>1</v>
      </c>
      <c r="P39" s="13" t="n">
        <v>1</v>
      </c>
      <c r="Q39" s="13" t="n">
        <v>1</v>
      </c>
      <c r="R39" s="13" t="n">
        <v>1</v>
      </c>
      <c r="S39" s="13" t="n">
        <v>0</v>
      </c>
      <c r="T39" s="13" t="n">
        <v>1</v>
      </c>
      <c r="U39" s="13" t="n">
        <v>1</v>
      </c>
      <c r="V39" s="12">
        <f>COUNTIF(D39:U39,1)</f>
        <v/>
      </c>
      <c r="W39" s="12">
        <f>IF(COUNT(D39:U39)=0,"",ROUND(V39/18*100,1))</f>
        <v/>
      </c>
      <c r="X39" s="12">
        <f>COUNTIF(D39:U39,0)</f>
        <v/>
      </c>
      <c r="Y39" s="12">
        <f>IF(COUNT(D39:U39)=0,"",ROUND(X39/18*100,1))</f>
        <v/>
      </c>
      <c r="Z39" s="20">
        <f>IF(W39="","",IF(W39&gt;=Нэгтгэл!$K$4,"Хангалттай эзэмшиж байна",IF(W39&gt;=Нэгтгэл!$K$5,"Ахиж байна","Хөгжиж байна")))</f>
        <v/>
      </c>
    </row>
    <row r="40" ht="16" customHeight="1">
      <c r="A40" s="12" t="n">
        <v>34</v>
      </c>
      <c r="B40" s="12">
        <f>IF(Нэгтгэл!B40="","",Нэгтгэл!B40)</f>
        <v/>
      </c>
      <c r="C40" s="4" t="n"/>
      <c r="D40" s="13" t="n">
        <v>1</v>
      </c>
      <c r="E40" s="13" t="n">
        <v>1</v>
      </c>
      <c r="F40" s="13" t="n">
        <v>1</v>
      </c>
      <c r="G40" s="13" t="n">
        <v>1</v>
      </c>
      <c r="H40" s="13" t="n">
        <v>0</v>
      </c>
      <c r="I40" s="13" t="n">
        <v>1</v>
      </c>
      <c r="J40" s="13" t="n">
        <v>0</v>
      </c>
      <c r="K40" s="13" t="n">
        <v>1</v>
      </c>
      <c r="L40" s="13" t="n">
        <v>1</v>
      </c>
      <c r="M40" s="13" t="n">
        <v>0</v>
      </c>
      <c r="N40" s="13" t="n">
        <v>1</v>
      </c>
      <c r="O40" s="13" t="n">
        <v>0</v>
      </c>
      <c r="P40" s="13" t="n">
        <v>1</v>
      </c>
      <c r="Q40" s="13" t="n">
        <v>0</v>
      </c>
      <c r="R40" s="13" t="n">
        <v>0</v>
      </c>
      <c r="S40" s="13" t="n">
        <v>1</v>
      </c>
      <c r="T40" s="13" t="n">
        <v>0</v>
      </c>
      <c r="U40" s="13" t="n">
        <v>1</v>
      </c>
      <c r="V40" s="12">
        <f>COUNTIF(D40:U40,1)</f>
        <v/>
      </c>
      <c r="W40" s="12">
        <f>IF(COUNT(D40:U40)=0,"",ROUND(V40/18*100,1))</f>
        <v/>
      </c>
      <c r="X40" s="12">
        <f>COUNTIF(D40:U40,0)</f>
        <v/>
      </c>
      <c r="Y40" s="12">
        <f>IF(COUNT(D40:U40)=0,"",ROUND(X40/18*100,1))</f>
        <v/>
      </c>
      <c r="Z40" s="20">
        <f>IF(W40="","",IF(W40&gt;=Нэгтгэл!$K$4,"Хангалттай эзэмшиж байна",IF(W40&gt;=Нэгтгэл!$K$5,"Ахиж байна","Хөгжиж байна")))</f>
        <v/>
      </c>
    </row>
    <row r="41" ht="16" customHeight="1">
      <c r="A41" s="12" t="n">
        <v>35</v>
      </c>
      <c r="B41" s="12">
        <f>IF(Нэгтгэл!B41="","",Нэгтгэл!B41)</f>
        <v/>
      </c>
      <c r="C41" s="4" t="n"/>
      <c r="D41" s="13" t="n">
        <v>1</v>
      </c>
      <c r="E41" s="13" t="n">
        <v>1</v>
      </c>
      <c r="F41" s="13" t="n">
        <v>0</v>
      </c>
      <c r="G41" s="13" t="n">
        <v>1</v>
      </c>
      <c r="H41" s="13" t="n">
        <v>1</v>
      </c>
      <c r="I41" s="13" t="n">
        <v>0</v>
      </c>
      <c r="J41" s="13" t="n">
        <v>0</v>
      </c>
      <c r="K41" s="13" t="n">
        <v>0</v>
      </c>
      <c r="L41" s="13" t="n">
        <v>1</v>
      </c>
      <c r="M41" s="13" t="n">
        <v>1</v>
      </c>
      <c r="N41" s="13" t="n">
        <v>1</v>
      </c>
      <c r="O41" s="13" t="n">
        <v>1</v>
      </c>
      <c r="P41" s="13" t="n">
        <v>0</v>
      </c>
      <c r="Q41" s="13" t="n">
        <v>1</v>
      </c>
      <c r="R41" s="13" t="n">
        <v>1</v>
      </c>
      <c r="S41" s="13" t="n">
        <v>1</v>
      </c>
      <c r="T41" s="13" t="n">
        <v>0</v>
      </c>
      <c r="U41" s="13" t="n">
        <v>1</v>
      </c>
      <c r="V41" s="12">
        <f>COUNTIF(D41:U41,1)</f>
        <v/>
      </c>
      <c r="W41" s="12">
        <f>IF(COUNT(D41:U41)=0,"",ROUND(V41/18*100,1))</f>
        <v/>
      </c>
      <c r="X41" s="12">
        <f>COUNTIF(D41:U41,0)</f>
        <v/>
      </c>
      <c r="Y41" s="12">
        <f>IF(COUNT(D41:U41)=0,"",ROUND(X41/18*100,1))</f>
        <v/>
      </c>
      <c r="Z41" s="20">
        <f>IF(W41="","",IF(W41&gt;=Нэгтгэл!$K$4,"Хангалттай эзэмшиж байна",IF(W41&gt;=Нэгтгэл!$K$5,"Ахиж байна","Хөгжиж байна")))</f>
        <v/>
      </c>
    </row>
    <row r="42" ht="16" customHeight="1">
      <c r="A42" s="12" t="n">
        <v>36</v>
      </c>
      <c r="B42" s="12">
        <f>IF(Нэгтгэл!B42="","",Нэгтгэл!B42)</f>
        <v/>
      </c>
      <c r="C42" s="4" t="n"/>
      <c r="D42" s="13" t="n">
        <v>1</v>
      </c>
      <c r="E42" s="13" t="n">
        <v>1</v>
      </c>
      <c r="F42" s="13" t="n">
        <v>0</v>
      </c>
      <c r="G42" s="13" t="n">
        <v>1</v>
      </c>
      <c r="H42" s="13" t="n">
        <v>0</v>
      </c>
      <c r="I42" s="13" t="n">
        <v>1</v>
      </c>
      <c r="J42" s="13" t="n">
        <v>1</v>
      </c>
      <c r="K42" s="13" t="n">
        <v>1</v>
      </c>
      <c r="L42" s="13" t="n">
        <v>1</v>
      </c>
      <c r="M42" s="13" t="n">
        <v>1</v>
      </c>
      <c r="N42" s="13" t="n">
        <v>1</v>
      </c>
      <c r="O42" s="13" t="n">
        <v>1</v>
      </c>
      <c r="P42" s="13" t="n">
        <v>1</v>
      </c>
      <c r="Q42" s="13" t="n">
        <v>1</v>
      </c>
      <c r="R42" s="13" t="n">
        <v>1</v>
      </c>
      <c r="S42" s="13" t="n">
        <v>1</v>
      </c>
      <c r="T42" s="13" t="n">
        <v>1</v>
      </c>
      <c r="U42" s="13" t="n">
        <v>1</v>
      </c>
      <c r="V42" s="12">
        <f>COUNTIF(D42:U42,1)</f>
        <v/>
      </c>
      <c r="W42" s="12">
        <f>IF(COUNT(D42:U42)=0,"",ROUND(V42/18*100,1))</f>
        <v/>
      </c>
      <c r="X42" s="12">
        <f>COUNTIF(D42:U42,0)</f>
        <v/>
      </c>
      <c r="Y42" s="12">
        <f>IF(COUNT(D42:U42)=0,"",ROUND(X42/18*100,1))</f>
        <v/>
      </c>
      <c r="Z42" s="20">
        <f>IF(W42="","",IF(W42&gt;=Нэгтгэл!$K$4,"Хангалттай эзэмшиж байна",IF(W42&gt;=Нэгтгэл!$K$5,"Ахиж байна","Хөгжиж байна")))</f>
        <v/>
      </c>
    </row>
    <row r="43" ht="16" customHeight="1">
      <c r="A43" s="12" t="n">
        <v>37</v>
      </c>
      <c r="B43" s="12">
        <f>IF(Нэгтгэл!B43="","",Нэгтгэл!B43)</f>
        <v/>
      </c>
      <c r="C43" s="4" t="n"/>
      <c r="D43" s="13" t="n">
        <v>0</v>
      </c>
      <c r="E43" s="13" t="n">
        <v>0</v>
      </c>
      <c r="F43" s="13" t="n">
        <v>1</v>
      </c>
      <c r="G43" s="13" t="n">
        <v>1</v>
      </c>
      <c r="H43" s="13" t="n">
        <v>1</v>
      </c>
      <c r="I43" s="13" t="n">
        <v>0</v>
      </c>
      <c r="J43" s="13" t="n">
        <v>0</v>
      </c>
      <c r="K43" s="13" t="n">
        <v>0</v>
      </c>
      <c r="L43" s="13" t="n">
        <v>1</v>
      </c>
      <c r="M43" s="13" t="n">
        <v>1</v>
      </c>
      <c r="N43" s="13" t="n">
        <v>1</v>
      </c>
      <c r="O43" s="13" t="n">
        <v>1</v>
      </c>
      <c r="P43" s="13" t="n">
        <v>1</v>
      </c>
      <c r="Q43" s="13" t="n">
        <v>1</v>
      </c>
      <c r="R43" s="13" t="n">
        <v>0</v>
      </c>
      <c r="S43" s="13" t="n">
        <v>1</v>
      </c>
      <c r="T43" s="13" t="n">
        <v>1</v>
      </c>
      <c r="U43" s="13" t="n">
        <v>1</v>
      </c>
      <c r="V43" s="12">
        <f>COUNTIF(D43:U43,1)</f>
        <v/>
      </c>
      <c r="W43" s="12">
        <f>IF(COUNT(D43:U43)=0,"",ROUND(V43/18*100,1))</f>
        <v/>
      </c>
      <c r="X43" s="12">
        <f>COUNTIF(D43:U43,0)</f>
        <v/>
      </c>
      <c r="Y43" s="12">
        <f>IF(COUNT(D43:U43)=0,"",ROUND(X43/18*100,1))</f>
        <v/>
      </c>
      <c r="Z43" s="20">
        <f>IF(W43="","",IF(W43&gt;=Нэгтгэл!$K$4,"Хангалттай эзэмшиж байна",IF(W43&gt;=Нэгтгэл!$K$5,"Ахиж байна","Хөгжиж байна")))</f>
        <v/>
      </c>
    </row>
    <row r="44" ht="16" customHeight="1">
      <c r="A44" s="12" t="n">
        <v>38</v>
      </c>
      <c r="B44" s="12">
        <f>IF(Нэгтгэл!B44="","",Нэгтгэл!B44)</f>
        <v/>
      </c>
      <c r="C44" s="4" t="n"/>
      <c r="D44" s="13" t="n">
        <v>0</v>
      </c>
      <c r="E44" s="13" t="n">
        <v>1</v>
      </c>
      <c r="F44" s="13" t="n">
        <v>1</v>
      </c>
      <c r="G44" s="13" t="n">
        <v>0</v>
      </c>
      <c r="H44" s="13" t="n">
        <v>0</v>
      </c>
      <c r="I44" s="13" t="n">
        <v>1</v>
      </c>
      <c r="J44" s="13" t="n">
        <v>1</v>
      </c>
      <c r="K44" s="13" t="n">
        <v>1</v>
      </c>
      <c r="L44" s="13" t="n">
        <v>0</v>
      </c>
      <c r="M44" s="13" t="n">
        <v>0</v>
      </c>
      <c r="N44" s="13" t="n">
        <v>1</v>
      </c>
      <c r="O44" s="13" t="n">
        <v>0</v>
      </c>
      <c r="P44" s="13" t="n">
        <v>0</v>
      </c>
      <c r="Q44" s="13" t="n">
        <v>0</v>
      </c>
      <c r="R44" s="13" t="n">
        <v>1</v>
      </c>
      <c r="S44" s="13" t="n">
        <v>0</v>
      </c>
      <c r="T44" s="13" t="n">
        <v>1</v>
      </c>
      <c r="U44" s="13" t="n">
        <v>1</v>
      </c>
      <c r="V44" s="12">
        <f>COUNTIF(D44:U44,1)</f>
        <v/>
      </c>
      <c r="W44" s="12">
        <f>IF(COUNT(D44:U44)=0,"",ROUND(V44/18*100,1))</f>
        <v/>
      </c>
      <c r="X44" s="12">
        <f>COUNTIF(D44:U44,0)</f>
        <v/>
      </c>
      <c r="Y44" s="12">
        <f>IF(COUNT(D44:U44)=0,"",ROUND(X44/18*100,1))</f>
        <v/>
      </c>
      <c r="Z44" s="20">
        <f>IF(W44="","",IF(W44&gt;=Нэгтгэл!$K$4,"Хангалттай эзэмшиж байна",IF(W44&gt;=Нэгтгэл!$K$5,"Ахиж байна","Хөгжиж байна")))</f>
        <v/>
      </c>
    </row>
    <row r="45" ht="16" customHeight="1">
      <c r="A45" s="12" t="n">
        <v>39</v>
      </c>
      <c r="B45" s="12">
        <f>IF(Нэгтгэл!B45="","",Нэгтгэл!B45)</f>
        <v/>
      </c>
      <c r="C45" s="4" t="n"/>
      <c r="D45" s="13" t="n">
        <v>1</v>
      </c>
      <c r="E45" s="13" t="n">
        <v>1</v>
      </c>
      <c r="F45" s="13" t="n">
        <v>1</v>
      </c>
      <c r="G45" s="13" t="n">
        <v>0</v>
      </c>
      <c r="H45" s="13" t="n">
        <v>1</v>
      </c>
      <c r="I45" s="13" t="n">
        <v>1</v>
      </c>
      <c r="J45" s="13" t="n">
        <v>1</v>
      </c>
      <c r="K45" s="13" t="n">
        <v>1</v>
      </c>
      <c r="L45" s="13" t="n">
        <v>1</v>
      </c>
      <c r="M45" s="13" t="n">
        <v>1</v>
      </c>
      <c r="N45" s="13" t="n">
        <v>1</v>
      </c>
      <c r="O45" s="13" t="n">
        <v>1</v>
      </c>
      <c r="P45" s="13" t="n">
        <v>0</v>
      </c>
      <c r="Q45" s="13" t="n">
        <v>1</v>
      </c>
      <c r="R45" s="13" t="n">
        <v>1</v>
      </c>
      <c r="S45" s="13" t="n">
        <v>1</v>
      </c>
      <c r="T45" s="13" t="n">
        <v>1</v>
      </c>
      <c r="U45" s="13" t="n">
        <v>1</v>
      </c>
      <c r="V45" s="12">
        <f>COUNTIF(D45:U45,1)</f>
        <v/>
      </c>
      <c r="W45" s="12">
        <f>IF(COUNT(D45:U45)=0,"",ROUND(V45/18*100,1))</f>
        <v/>
      </c>
      <c r="X45" s="12">
        <f>COUNTIF(D45:U45,0)</f>
        <v/>
      </c>
      <c r="Y45" s="12">
        <f>IF(COUNT(D45:U45)=0,"",ROUND(X45/18*100,1))</f>
        <v/>
      </c>
      <c r="Z45" s="20">
        <f>IF(W45="","",IF(W45&gt;=Нэгтгэл!$K$4,"Хангалттай эзэмшиж байна",IF(W45&gt;=Нэгтгэл!$K$5,"Ахиж байна","Хөгжиж байна")))</f>
        <v/>
      </c>
    </row>
    <row r="46" ht="16" customHeight="1">
      <c r="A46" s="12" t="n">
        <v>40</v>
      </c>
      <c r="B46" s="12">
        <f>IF(Нэгтгэл!B46="","",Нэгтгэл!B46)</f>
        <v/>
      </c>
      <c r="C46" s="4" t="n"/>
      <c r="D46" s="13" t="n">
        <v>1</v>
      </c>
      <c r="E46" s="13" t="n">
        <v>0</v>
      </c>
      <c r="F46" s="13" t="n">
        <v>0</v>
      </c>
      <c r="G46" s="13" t="n">
        <v>1</v>
      </c>
      <c r="H46" s="13" t="n">
        <v>0</v>
      </c>
      <c r="I46" s="13" t="n">
        <v>1</v>
      </c>
      <c r="J46" s="13" t="n">
        <v>1</v>
      </c>
      <c r="K46" s="13" t="n">
        <v>0</v>
      </c>
      <c r="L46" s="13" t="n">
        <v>1</v>
      </c>
      <c r="M46" s="13" t="n">
        <v>1</v>
      </c>
      <c r="N46" s="13" t="n">
        <v>1</v>
      </c>
      <c r="O46" s="13" t="n">
        <v>1</v>
      </c>
      <c r="P46" s="13" t="n">
        <v>1</v>
      </c>
      <c r="Q46" s="13" t="n">
        <v>1</v>
      </c>
      <c r="R46" s="13" t="n">
        <v>0</v>
      </c>
      <c r="S46" s="13" t="n">
        <v>0</v>
      </c>
      <c r="T46" s="13" t="n">
        <v>1</v>
      </c>
      <c r="U46" s="13" t="n">
        <v>1</v>
      </c>
      <c r="V46" s="12">
        <f>COUNTIF(D46:U46,1)</f>
        <v/>
      </c>
      <c r="W46" s="12">
        <f>IF(COUNT(D46:U46)=0,"",ROUND(V46/18*100,1))</f>
        <v/>
      </c>
      <c r="X46" s="12">
        <f>COUNTIF(D46:U46,0)</f>
        <v/>
      </c>
      <c r="Y46" s="12">
        <f>IF(COUNT(D46:U46)=0,"",ROUND(X46/18*100,1))</f>
        <v/>
      </c>
      <c r="Z46" s="20">
        <f>IF(W46="","",IF(W46&gt;=Нэгтгэл!$K$4,"Хангалттай эзэмшиж байна",IF(W46&gt;=Нэгтгэл!$K$5,"Ахиж байна","Хөгжиж байна")))</f>
        <v/>
      </c>
    </row>
    <row r="47" ht="16" customHeight="1">
      <c r="A47" s="12" t="n">
        <v>41</v>
      </c>
      <c r="B47" s="12">
        <f>IF(Нэгтгэл!B47="","",Нэгтгэл!B47)</f>
        <v/>
      </c>
      <c r="C47" s="4" t="n"/>
      <c r="D47" s="13" t="n">
        <v>1</v>
      </c>
      <c r="E47" s="13" t="n">
        <v>1</v>
      </c>
      <c r="F47" s="13" t="n">
        <v>1</v>
      </c>
      <c r="G47" s="13" t="n">
        <v>1</v>
      </c>
      <c r="H47" s="13" t="n">
        <v>0</v>
      </c>
      <c r="I47" s="13" t="n">
        <v>1</v>
      </c>
      <c r="J47" s="13" t="n">
        <v>1</v>
      </c>
      <c r="K47" s="13" t="n">
        <v>0</v>
      </c>
      <c r="L47" s="13" t="n">
        <v>1</v>
      </c>
      <c r="M47" s="13" t="n">
        <v>1</v>
      </c>
      <c r="N47" s="13" t="n">
        <v>0</v>
      </c>
      <c r="O47" s="13" t="n">
        <v>1</v>
      </c>
      <c r="P47" s="13" t="n">
        <v>1</v>
      </c>
      <c r="Q47" s="13" t="n">
        <v>1</v>
      </c>
      <c r="R47" s="13" t="n">
        <v>1</v>
      </c>
      <c r="S47" s="13" t="n">
        <v>0</v>
      </c>
      <c r="T47" s="13" t="n">
        <v>1</v>
      </c>
      <c r="U47" s="13" t="n">
        <v>1</v>
      </c>
      <c r="V47" s="12">
        <f>COUNTIF(D47:U47,1)</f>
        <v/>
      </c>
      <c r="W47" s="12">
        <f>IF(COUNT(D47:U47)=0,"",ROUND(V47/18*100,1))</f>
        <v/>
      </c>
      <c r="X47" s="12">
        <f>COUNTIF(D47:U47,0)</f>
        <v/>
      </c>
      <c r="Y47" s="12">
        <f>IF(COUNT(D47:U47)=0,"",ROUND(X47/18*100,1))</f>
        <v/>
      </c>
      <c r="Z47" s="20">
        <f>IF(W47="","",IF(W47&gt;=Нэгтгэл!$K$4,"Хангалттай эзэмшиж байна",IF(W47&gt;=Нэгтгэл!$K$5,"Ахиж байна","Хөгжиж байна")))</f>
        <v/>
      </c>
    </row>
    <row r="48" ht="16" customHeight="1">
      <c r="A48" s="12" t="n">
        <v>42</v>
      </c>
      <c r="B48" s="12">
        <f>IF(Нэгтгэл!B48="","",Нэгтгэл!B48)</f>
        <v/>
      </c>
      <c r="C48" s="4" t="n"/>
      <c r="D48" s="13" t="n">
        <v>1</v>
      </c>
      <c r="E48" s="13" t="n">
        <v>1</v>
      </c>
      <c r="F48" s="13" t="n">
        <v>1</v>
      </c>
      <c r="G48" s="13" t="n">
        <v>1</v>
      </c>
      <c r="H48" s="13" t="n">
        <v>0</v>
      </c>
      <c r="I48" s="13" t="n">
        <v>0</v>
      </c>
      <c r="J48" s="13" t="n">
        <v>1</v>
      </c>
      <c r="K48" s="13" t="n">
        <v>1</v>
      </c>
      <c r="L48" s="13" t="n">
        <v>1</v>
      </c>
      <c r="M48" s="13" t="n">
        <v>1</v>
      </c>
      <c r="N48" s="13" t="n">
        <v>1</v>
      </c>
      <c r="O48" s="13" t="n">
        <v>1</v>
      </c>
      <c r="P48" s="13" t="n">
        <v>0</v>
      </c>
      <c r="Q48" s="13" t="n">
        <v>1</v>
      </c>
      <c r="R48" s="13" t="n">
        <v>1</v>
      </c>
      <c r="S48" s="13" t="n">
        <v>1</v>
      </c>
      <c r="T48" s="13" t="n">
        <v>1</v>
      </c>
      <c r="U48" s="13" t="n">
        <v>1</v>
      </c>
      <c r="V48" s="12">
        <f>COUNTIF(D48:U48,1)</f>
        <v/>
      </c>
      <c r="W48" s="12">
        <f>IF(COUNT(D48:U48)=0,"",ROUND(V48/18*100,1))</f>
        <v/>
      </c>
      <c r="X48" s="12">
        <f>COUNTIF(D48:U48,0)</f>
        <v/>
      </c>
      <c r="Y48" s="12">
        <f>IF(COUNT(D48:U48)=0,"",ROUND(X48/18*100,1))</f>
        <v/>
      </c>
      <c r="Z48" s="20">
        <f>IF(W48="","",IF(W48&gt;=Нэгтгэл!$K$4,"Хангалттай эзэмшиж байна",IF(W48&gt;=Нэгтгэл!$K$5,"Ахиж байна","Хөгжиж байна")))</f>
        <v/>
      </c>
    </row>
    <row r="49" ht="16" customHeight="1">
      <c r="A49" s="12" t="n">
        <v>43</v>
      </c>
      <c r="B49" s="12">
        <f>IF(Нэгтгэл!B49="","",Нэгтгэл!B49)</f>
        <v/>
      </c>
      <c r="C49" s="4" t="n"/>
      <c r="D49" s="13" t="n">
        <v>1</v>
      </c>
      <c r="E49" s="13" t="n">
        <v>1</v>
      </c>
      <c r="F49" s="13" t="n">
        <v>1</v>
      </c>
      <c r="G49" s="13" t="n">
        <v>1</v>
      </c>
      <c r="H49" s="13" t="n">
        <v>1</v>
      </c>
      <c r="I49" s="13" t="n">
        <v>1</v>
      </c>
      <c r="J49" s="13" t="n">
        <v>0</v>
      </c>
      <c r="K49" s="13" t="n">
        <v>1</v>
      </c>
      <c r="L49" s="13" t="n">
        <v>1</v>
      </c>
      <c r="M49" s="13" t="n">
        <v>0</v>
      </c>
      <c r="N49" s="13" t="n">
        <v>1</v>
      </c>
      <c r="O49" s="13" t="n">
        <v>0</v>
      </c>
      <c r="P49" s="13" t="n">
        <v>1</v>
      </c>
      <c r="Q49" s="13" t="n">
        <v>1</v>
      </c>
      <c r="R49" s="13" t="n">
        <v>1</v>
      </c>
      <c r="S49" s="13" t="n">
        <v>0</v>
      </c>
      <c r="T49" s="13" t="n">
        <v>0</v>
      </c>
      <c r="U49" s="13" t="n">
        <v>0</v>
      </c>
      <c r="V49" s="12">
        <f>COUNTIF(D49:U49,1)</f>
        <v/>
      </c>
      <c r="W49" s="12">
        <f>IF(COUNT(D49:U49)=0,"",ROUND(V49/18*100,1))</f>
        <v/>
      </c>
      <c r="X49" s="12">
        <f>COUNTIF(D49:U49,0)</f>
        <v/>
      </c>
      <c r="Y49" s="12">
        <f>IF(COUNT(D49:U49)=0,"",ROUND(X49/18*100,1))</f>
        <v/>
      </c>
      <c r="Z49" s="20">
        <f>IF(W49="","",IF(W49&gt;=Нэгтгэл!$K$4,"Хангалттай эзэмшиж байна",IF(W49&gt;=Нэгтгэл!$K$5,"Ахиж байна","Хөгжиж байна")))</f>
        <v/>
      </c>
    </row>
    <row r="50" ht="16" customHeight="1">
      <c r="A50" s="12" t="n">
        <v>44</v>
      </c>
      <c r="B50" s="12">
        <f>IF(Нэгтгэл!B50="","",Нэгтгэл!B50)</f>
        <v/>
      </c>
      <c r="C50" s="4" t="n"/>
      <c r="D50" s="13" t="n">
        <v>1</v>
      </c>
      <c r="E50" s="13" t="n">
        <v>1</v>
      </c>
      <c r="F50" s="13" t="n">
        <v>1</v>
      </c>
      <c r="G50" s="13" t="n">
        <v>1</v>
      </c>
      <c r="H50" s="13" t="n">
        <v>0</v>
      </c>
      <c r="I50" s="13" t="n">
        <v>1</v>
      </c>
      <c r="J50" s="13" t="n">
        <v>1</v>
      </c>
      <c r="K50" s="13" t="n">
        <v>1</v>
      </c>
      <c r="L50" s="13" t="n">
        <v>0</v>
      </c>
      <c r="M50" s="13" t="n">
        <v>1</v>
      </c>
      <c r="N50" s="13" t="n">
        <v>0</v>
      </c>
      <c r="O50" s="13" t="n">
        <v>1</v>
      </c>
      <c r="P50" s="13" t="n">
        <v>1</v>
      </c>
      <c r="Q50" s="13" t="n">
        <v>0</v>
      </c>
      <c r="R50" s="13" t="n">
        <v>0</v>
      </c>
      <c r="S50" s="13" t="n">
        <v>1</v>
      </c>
      <c r="T50" s="13" t="n">
        <v>1</v>
      </c>
      <c r="U50" s="13" t="n">
        <v>1</v>
      </c>
      <c r="V50" s="12">
        <f>COUNTIF(D50:U50,1)</f>
        <v/>
      </c>
      <c r="W50" s="12">
        <f>IF(COUNT(D50:U50)=0,"",ROUND(V50/18*100,1))</f>
        <v/>
      </c>
      <c r="X50" s="12">
        <f>COUNTIF(D50:U50,0)</f>
        <v/>
      </c>
      <c r="Y50" s="12">
        <f>IF(COUNT(D50:U50)=0,"",ROUND(X50/18*100,1))</f>
        <v/>
      </c>
      <c r="Z50" s="20">
        <f>IF(W50="","",IF(W50&gt;=Нэгтгэл!$K$4,"Хангалттай эзэмшиж байна",IF(W50&gt;=Нэгтгэл!$K$5,"Ахиж байна","Хөгжиж байна")))</f>
        <v/>
      </c>
    </row>
    <row r="51" ht="16" customHeight="1">
      <c r="A51" s="12" t="n">
        <v>45</v>
      </c>
      <c r="B51" s="12">
        <f>IF(Нэгтгэл!B51="","",Нэгтгэл!B51)</f>
        <v/>
      </c>
      <c r="C51" s="4" t="n"/>
      <c r="D51" s="13" t="n">
        <v>1</v>
      </c>
      <c r="E51" s="13" t="n">
        <v>0</v>
      </c>
      <c r="F51" s="13" t="n">
        <v>1</v>
      </c>
      <c r="G51" s="13" t="n">
        <v>1</v>
      </c>
      <c r="H51" s="13" t="n">
        <v>0</v>
      </c>
      <c r="I51" s="13" t="n">
        <v>1</v>
      </c>
      <c r="J51" s="13" t="n">
        <v>0</v>
      </c>
      <c r="K51" s="13" t="n">
        <v>0</v>
      </c>
      <c r="L51" s="13" t="n">
        <v>0</v>
      </c>
      <c r="M51" s="13" t="n">
        <v>1</v>
      </c>
      <c r="N51" s="13" t="n">
        <v>1</v>
      </c>
      <c r="O51" s="13" t="n">
        <v>1</v>
      </c>
      <c r="P51" s="13" t="n">
        <v>1</v>
      </c>
      <c r="Q51" s="13" t="n">
        <v>0</v>
      </c>
      <c r="R51" s="13" t="n">
        <v>1</v>
      </c>
      <c r="S51" s="13" t="n">
        <v>1</v>
      </c>
      <c r="T51" s="13" t="n">
        <v>0</v>
      </c>
      <c r="U51" s="13" t="n">
        <v>0</v>
      </c>
      <c r="V51" s="12">
        <f>COUNTIF(D51:U51,1)</f>
        <v/>
      </c>
      <c r="W51" s="12">
        <f>IF(COUNT(D51:U51)=0,"",ROUND(V51/18*100,1))</f>
        <v/>
      </c>
      <c r="X51" s="12">
        <f>COUNTIF(D51:U51,0)</f>
        <v/>
      </c>
      <c r="Y51" s="12">
        <f>IF(COUNT(D51:U51)=0,"",ROUND(X51/18*100,1))</f>
        <v/>
      </c>
      <c r="Z51" s="20">
        <f>IF(W51="","",IF(W51&gt;=Нэгтгэл!$K$4,"Хангалттай эзэмшиж байна",IF(W51&gt;=Нэгтгэл!$K$5,"Ахиж байна","Хөгжиж байна")))</f>
        <v/>
      </c>
    </row>
    <row r="52" ht="16" customHeight="1">
      <c r="A52" s="12" t="n">
        <v>46</v>
      </c>
      <c r="B52" s="12">
        <f>IF(Нэгтгэл!B52="","",Нэгтгэл!B52)</f>
        <v/>
      </c>
      <c r="C52" s="4" t="n"/>
      <c r="D52" s="13" t="n">
        <v>1</v>
      </c>
      <c r="E52" s="13" t="n">
        <v>1</v>
      </c>
      <c r="F52" s="13" t="n">
        <v>0</v>
      </c>
      <c r="G52" s="13" t="n">
        <v>1</v>
      </c>
      <c r="H52" s="13" t="n">
        <v>0</v>
      </c>
      <c r="I52" s="13" t="n">
        <v>0</v>
      </c>
      <c r="J52" s="13" t="n">
        <v>1</v>
      </c>
      <c r="K52" s="13" t="n">
        <v>1</v>
      </c>
      <c r="L52" s="13" t="n">
        <v>1</v>
      </c>
      <c r="M52" s="13" t="n">
        <v>1</v>
      </c>
      <c r="N52" s="13" t="n">
        <v>1</v>
      </c>
      <c r="O52" s="13" t="n">
        <v>1</v>
      </c>
      <c r="P52" s="13" t="n">
        <v>0</v>
      </c>
      <c r="Q52" s="13" t="n">
        <v>1</v>
      </c>
      <c r="R52" s="13" t="n">
        <v>1</v>
      </c>
      <c r="S52" s="13" t="n">
        <v>1</v>
      </c>
      <c r="T52" s="13" t="n">
        <v>1</v>
      </c>
      <c r="U52" s="13" t="n">
        <v>0</v>
      </c>
      <c r="V52" s="12">
        <f>COUNTIF(D52:U52,1)</f>
        <v/>
      </c>
      <c r="W52" s="12">
        <f>IF(COUNT(D52:U52)=0,"",ROUND(V52/18*100,1))</f>
        <v/>
      </c>
      <c r="X52" s="12">
        <f>COUNTIF(D52:U52,0)</f>
        <v/>
      </c>
      <c r="Y52" s="12">
        <f>IF(COUNT(D52:U52)=0,"",ROUND(X52/18*100,1))</f>
        <v/>
      </c>
      <c r="Z52" s="20">
        <f>IF(W52="","",IF(W52&gt;=Нэгтгэл!$K$4,"Хангалттай эзэмшиж байна",IF(W52&gt;=Нэгтгэл!$K$5,"Ахиж байна","Хөгжиж байна")))</f>
        <v/>
      </c>
    </row>
    <row r="53" ht="16" customHeight="1">
      <c r="A53" s="12" t="n">
        <v>47</v>
      </c>
      <c r="B53" s="12">
        <f>IF(Нэгтгэл!B53="","",Нэгтгэл!B53)</f>
        <v/>
      </c>
      <c r="C53" s="4" t="n"/>
      <c r="D53" s="13" t="n">
        <v>0</v>
      </c>
      <c r="E53" s="13" t="n">
        <v>1</v>
      </c>
      <c r="F53" s="13" t="n">
        <v>0</v>
      </c>
      <c r="G53" s="13" t="n">
        <v>1</v>
      </c>
      <c r="H53" s="13" t="n">
        <v>1</v>
      </c>
      <c r="I53" s="13" t="n">
        <v>1</v>
      </c>
      <c r="J53" s="13" t="n">
        <v>1</v>
      </c>
      <c r="K53" s="13" t="n">
        <v>1</v>
      </c>
      <c r="L53" s="13" t="n">
        <v>0</v>
      </c>
      <c r="M53" s="13" t="n">
        <v>1</v>
      </c>
      <c r="N53" s="13" t="n">
        <v>0</v>
      </c>
      <c r="O53" s="13" t="n">
        <v>1</v>
      </c>
      <c r="P53" s="13" t="n">
        <v>1</v>
      </c>
      <c r="Q53" s="13" t="n">
        <v>0</v>
      </c>
      <c r="R53" s="13" t="n">
        <v>1</v>
      </c>
      <c r="S53" s="13" t="n">
        <v>1</v>
      </c>
      <c r="T53" s="13" t="n">
        <v>0</v>
      </c>
      <c r="U53" s="13" t="n">
        <v>1</v>
      </c>
      <c r="V53" s="12">
        <f>COUNTIF(D53:U53,1)</f>
        <v/>
      </c>
      <c r="W53" s="12">
        <f>IF(COUNT(D53:U53)=0,"",ROUND(V53/18*100,1))</f>
        <v/>
      </c>
      <c r="X53" s="12">
        <f>COUNTIF(D53:U53,0)</f>
        <v/>
      </c>
      <c r="Y53" s="12">
        <f>IF(COUNT(D53:U53)=0,"",ROUND(X53/18*100,1))</f>
        <v/>
      </c>
      <c r="Z53" s="20">
        <f>IF(W53="","",IF(W53&gt;=Нэгтгэл!$K$4,"Хангалттай эзэмшиж байна",IF(W53&gt;=Нэгтгэл!$K$5,"Ахиж байна","Хөгжиж байна")))</f>
        <v/>
      </c>
    </row>
    <row r="54" ht="16" customHeight="1">
      <c r="A54" s="12" t="n">
        <v>48</v>
      </c>
      <c r="B54" s="12">
        <f>IF(Нэгтгэл!B54="","",Нэгтгэл!B54)</f>
        <v/>
      </c>
      <c r="C54" s="4" t="n"/>
      <c r="D54" s="13" t="n">
        <v>1</v>
      </c>
      <c r="E54" s="13" t="n">
        <v>1</v>
      </c>
      <c r="F54" s="13" t="n">
        <v>1</v>
      </c>
      <c r="G54" s="13" t="n">
        <v>0</v>
      </c>
      <c r="H54" s="13" t="n">
        <v>0</v>
      </c>
      <c r="I54" s="13" t="n">
        <v>1</v>
      </c>
      <c r="J54" s="13" t="n">
        <v>1</v>
      </c>
      <c r="K54" s="13" t="n">
        <v>1</v>
      </c>
      <c r="L54" s="13" t="n">
        <v>1</v>
      </c>
      <c r="M54" s="13" t="n">
        <v>1</v>
      </c>
      <c r="N54" s="13" t="n">
        <v>0</v>
      </c>
      <c r="O54" s="13" t="n">
        <v>1</v>
      </c>
      <c r="P54" s="13" t="n">
        <v>0</v>
      </c>
      <c r="Q54" s="13" t="n">
        <v>1</v>
      </c>
      <c r="R54" s="13" t="n">
        <v>1</v>
      </c>
      <c r="S54" s="13" t="n">
        <v>1</v>
      </c>
      <c r="T54" s="13" t="n">
        <v>1</v>
      </c>
      <c r="U54" s="13" t="n">
        <v>1</v>
      </c>
      <c r="V54" s="12">
        <f>COUNTIF(D54:U54,1)</f>
        <v/>
      </c>
      <c r="W54" s="12">
        <f>IF(COUNT(D54:U54)=0,"",ROUND(V54/18*100,1))</f>
        <v/>
      </c>
      <c r="X54" s="12">
        <f>COUNTIF(D54:U54,0)</f>
        <v/>
      </c>
      <c r="Y54" s="12">
        <f>IF(COUNT(D54:U54)=0,"",ROUND(X54/18*100,1))</f>
        <v/>
      </c>
      <c r="Z54" s="20">
        <f>IF(W54="","",IF(W54&gt;=Нэгтгэл!$K$4,"Хангалттай эзэмшиж байна",IF(W54&gt;=Нэгтгэл!$K$5,"Ахиж байна","Хөгжиж байна")))</f>
        <v/>
      </c>
    </row>
    <row r="55" ht="16" customHeight="1">
      <c r="A55" s="12" t="n">
        <v>49</v>
      </c>
      <c r="B55" s="12">
        <f>IF(Нэгтгэл!B55="","",Нэгтгэл!B55)</f>
        <v/>
      </c>
      <c r="C55" s="4" t="n"/>
      <c r="D55" s="13" t="n">
        <v>0</v>
      </c>
      <c r="E55" s="13" t="n">
        <v>1</v>
      </c>
      <c r="F55" s="13" t="n">
        <v>1</v>
      </c>
      <c r="G55" s="13" t="n">
        <v>1</v>
      </c>
      <c r="H55" s="13" t="n">
        <v>1</v>
      </c>
      <c r="I55" s="13" t="n">
        <v>1</v>
      </c>
      <c r="J55" s="13" t="n">
        <v>1</v>
      </c>
      <c r="K55" s="13" t="n">
        <v>1</v>
      </c>
      <c r="L55" s="13" t="n">
        <v>0</v>
      </c>
      <c r="M55" s="13" t="n">
        <v>1</v>
      </c>
      <c r="N55" s="13" t="n">
        <v>0</v>
      </c>
      <c r="O55" s="13" t="n">
        <v>0</v>
      </c>
      <c r="P55" s="13" t="n">
        <v>1</v>
      </c>
      <c r="Q55" s="13" t="n">
        <v>0</v>
      </c>
      <c r="R55" s="13" t="n">
        <v>0</v>
      </c>
      <c r="S55" s="13" t="n">
        <v>0</v>
      </c>
      <c r="T55" s="13" t="n">
        <v>1</v>
      </c>
      <c r="U55" s="13" t="n">
        <v>1</v>
      </c>
      <c r="V55" s="12">
        <f>COUNTIF(D55:U55,1)</f>
        <v/>
      </c>
      <c r="W55" s="12">
        <f>IF(COUNT(D55:U55)=0,"",ROUND(V55/18*100,1))</f>
        <v/>
      </c>
      <c r="X55" s="12">
        <f>COUNTIF(D55:U55,0)</f>
        <v/>
      </c>
      <c r="Y55" s="12">
        <f>IF(COUNT(D55:U55)=0,"",ROUND(X55/18*100,1))</f>
        <v/>
      </c>
      <c r="Z55" s="20">
        <f>IF(W55="","",IF(W55&gt;=Нэгтгэл!$K$4,"Хангалттай эзэмшиж байна",IF(W55&gt;=Нэгтгэл!$K$5,"Ахиж байна","Хөгжиж байна")))</f>
        <v/>
      </c>
    </row>
    <row r="56" ht="17" customHeight="1">
      <c r="A56" s="5" t="inlineStr">
        <is>
          <t>Чадна (1)</t>
        </is>
      </c>
      <c r="B56" s="15" t="n"/>
      <c r="C56" s="15" t="n"/>
      <c r="D56" s="5">
        <f>COUNTIF(D7:D55,1)</f>
        <v/>
      </c>
      <c r="E56" s="5">
        <f>COUNTIF(E7:E55,1)</f>
        <v/>
      </c>
      <c r="F56" s="5">
        <f>COUNTIF(F7:F55,1)</f>
        <v/>
      </c>
      <c r="G56" s="5">
        <f>COUNTIF(G7:G55,1)</f>
        <v/>
      </c>
      <c r="H56" s="5">
        <f>COUNTIF(H7:H55,1)</f>
        <v/>
      </c>
      <c r="I56" s="5">
        <f>COUNTIF(I7:I55,1)</f>
        <v/>
      </c>
      <c r="J56" s="5">
        <f>COUNTIF(J7:J55,1)</f>
        <v/>
      </c>
      <c r="K56" s="5">
        <f>COUNTIF(K7:K55,1)</f>
        <v/>
      </c>
      <c r="L56" s="5">
        <f>COUNTIF(L7:L55,1)</f>
        <v/>
      </c>
      <c r="M56" s="5">
        <f>COUNTIF(M7:M55,1)</f>
        <v/>
      </c>
      <c r="N56" s="5">
        <f>COUNTIF(N7:N55,1)</f>
        <v/>
      </c>
      <c r="O56" s="5">
        <f>COUNTIF(O7:O55,1)</f>
        <v/>
      </c>
      <c r="P56" s="5">
        <f>COUNTIF(P7:P55,1)</f>
        <v/>
      </c>
      <c r="Q56" s="5">
        <f>COUNTIF(Q7:Q55,1)</f>
        <v/>
      </c>
      <c r="R56" s="5">
        <f>COUNTIF(R7:R55,1)</f>
        <v/>
      </c>
      <c r="S56" s="5">
        <f>COUNTIF(S7:S55,1)</f>
        <v/>
      </c>
      <c r="T56" s="5">
        <f>COUNTIF(T7:T55,1)</f>
        <v/>
      </c>
      <c r="U56" s="5">
        <f>COUNTIF(U7:U55,1)</f>
        <v/>
      </c>
      <c r="V56" s="21" t="inlineStr">
        <is>
          <t>Хангалттай эзэмшиж байна</t>
        </is>
      </c>
      <c r="W56" s="22" t="n"/>
      <c r="X56" s="22" t="n"/>
      <c r="Y56" s="23" t="n"/>
      <c r="Z56" s="5">
        <f>COUNTIF(Z7:Z55,"Хангалттай эзэмшиж байна")</f>
        <v/>
      </c>
    </row>
    <row r="57" ht="17" customHeight="1">
      <c r="A57" s="5" t="inlineStr">
        <is>
          <t>Хувь</t>
        </is>
      </c>
      <c r="B57" s="15" t="n"/>
      <c r="C57" s="15" t="n"/>
      <c r="D57" s="5">
        <f>IF(COUNT(D7:D55)=0,"",ROUND(COUNTIF(D7:D55,1)/COUNT(D7:D55)*100,1))</f>
        <v/>
      </c>
      <c r="E57" s="5">
        <f>IF(COUNT(E7:E55)=0,"",ROUND(COUNTIF(E7:E55,1)/COUNT(E7:E55)*100,1))</f>
        <v/>
      </c>
      <c r="F57" s="5">
        <f>IF(COUNT(F7:F55)=0,"",ROUND(COUNTIF(F7:F55,1)/COUNT(F7:F55)*100,1))</f>
        <v/>
      </c>
      <c r="G57" s="5">
        <f>IF(COUNT(G7:G55)=0,"",ROUND(COUNTIF(G7:G55,1)/COUNT(G7:G55)*100,1))</f>
        <v/>
      </c>
      <c r="H57" s="5">
        <f>IF(COUNT(H7:H55)=0,"",ROUND(COUNTIF(H7:H55,1)/COUNT(H7:H55)*100,1))</f>
        <v/>
      </c>
      <c r="I57" s="5">
        <f>IF(COUNT(I7:I55)=0,"",ROUND(COUNTIF(I7:I55,1)/COUNT(I7:I55)*100,1))</f>
        <v/>
      </c>
      <c r="J57" s="5">
        <f>IF(COUNT(J7:J55)=0,"",ROUND(COUNTIF(J7:J55,1)/COUNT(J7:J55)*100,1))</f>
        <v/>
      </c>
      <c r="K57" s="5">
        <f>IF(COUNT(K7:K55)=0,"",ROUND(COUNTIF(K7:K55,1)/COUNT(K7:K55)*100,1))</f>
        <v/>
      </c>
      <c r="L57" s="5">
        <f>IF(COUNT(L7:L55)=0,"",ROUND(COUNTIF(L7:L55,1)/COUNT(L7:L55)*100,1))</f>
        <v/>
      </c>
      <c r="M57" s="5">
        <f>IF(COUNT(M7:M55)=0,"",ROUND(COUNTIF(M7:M55,1)/COUNT(M7:M55)*100,1))</f>
        <v/>
      </c>
      <c r="N57" s="5">
        <f>IF(COUNT(N7:N55)=0,"",ROUND(COUNTIF(N7:N55,1)/COUNT(N7:N55)*100,1))</f>
        <v/>
      </c>
      <c r="O57" s="5">
        <f>IF(COUNT(O7:O55)=0,"",ROUND(COUNTIF(O7:O55,1)/COUNT(O7:O55)*100,1))</f>
        <v/>
      </c>
      <c r="P57" s="5">
        <f>IF(COUNT(P7:P55)=0,"",ROUND(COUNTIF(P7:P55,1)/COUNT(P7:P55)*100,1))</f>
        <v/>
      </c>
      <c r="Q57" s="5">
        <f>IF(COUNT(Q7:Q55)=0,"",ROUND(COUNTIF(Q7:Q55,1)/COUNT(Q7:Q55)*100,1))</f>
        <v/>
      </c>
      <c r="R57" s="5">
        <f>IF(COUNT(R7:R55)=0,"",ROUND(COUNTIF(R7:R55,1)/COUNT(R7:R55)*100,1))</f>
        <v/>
      </c>
      <c r="S57" s="5">
        <f>IF(COUNT(S7:S55)=0,"",ROUND(COUNTIF(S7:S55,1)/COUNT(S7:S55)*100,1))</f>
        <v/>
      </c>
      <c r="T57" s="5">
        <f>IF(COUNT(T7:T55)=0,"",ROUND(COUNTIF(T7:T55,1)/COUNT(T7:T55)*100,1))</f>
        <v/>
      </c>
      <c r="U57" s="5">
        <f>IF(COUNT(U7:U55)=0,"",ROUND(COUNTIF(U7:U55,1)/COUNT(U7:U55)*100,1))</f>
        <v/>
      </c>
      <c r="V57" s="21" t="inlineStr">
        <is>
          <t>Ахиж байна</t>
        </is>
      </c>
      <c r="W57" s="22" t="n"/>
      <c r="X57" s="22" t="n"/>
      <c r="Y57" s="23" t="n"/>
      <c r="Z57" s="5">
        <f>COUNTIF(Z7:Z55,"Ахиж байна")</f>
        <v/>
      </c>
    </row>
    <row r="58" ht="17" customHeight="1">
      <c r="A58" s="5" t="inlineStr">
        <is>
          <t>Чадахгүй (0)</t>
        </is>
      </c>
      <c r="B58" s="15" t="n"/>
      <c r="C58" s="15" t="n"/>
      <c r="D58" s="5">
        <f>COUNTIF(D7:D55,0)</f>
        <v/>
      </c>
      <c r="E58" s="5">
        <f>COUNTIF(E7:E55,0)</f>
        <v/>
      </c>
      <c r="F58" s="5">
        <f>COUNTIF(F7:F55,0)</f>
        <v/>
      </c>
      <c r="G58" s="5">
        <f>COUNTIF(G7:G55,0)</f>
        <v/>
      </c>
      <c r="H58" s="5">
        <f>COUNTIF(H7:H55,0)</f>
        <v/>
      </c>
      <c r="I58" s="5">
        <f>COUNTIF(I7:I55,0)</f>
        <v/>
      </c>
      <c r="J58" s="5">
        <f>COUNTIF(J7:J55,0)</f>
        <v/>
      </c>
      <c r="K58" s="5">
        <f>COUNTIF(K7:K55,0)</f>
        <v/>
      </c>
      <c r="L58" s="5">
        <f>COUNTIF(L7:L55,0)</f>
        <v/>
      </c>
      <c r="M58" s="5">
        <f>COUNTIF(M7:M55,0)</f>
        <v/>
      </c>
      <c r="N58" s="5">
        <f>COUNTIF(N7:N55,0)</f>
        <v/>
      </c>
      <c r="O58" s="5">
        <f>COUNTIF(O7:O55,0)</f>
        <v/>
      </c>
      <c r="P58" s="5">
        <f>COUNTIF(P7:P55,0)</f>
        <v/>
      </c>
      <c r="Q58" s="5">
        <f>COUNTIF(Q7:Q55,0)</f>
        <v/>
      </c>
      <c r="R58" s="5">
        <f>COUNTIF(R7:R55,0)</f>
        <v/>
      </c>
      <c r="S58" s="5">
        <f>COUNTIF(S7:S55,0)</f>
        <v/>
      </c>
      <c r="T58" s="5">
        <f>COUNTIF(T7:T55,0)</f>
        <v/>
      </c>
      <c r="U58" s="5">
        <f>COUNTIF(U7:U55,0)</f>
        <v/>
      </c>
      <c r="V58" s="21" t="inlineStr">
        <is>
          <t>Хөгжиж байна</t>
        </is>
      </c>
      <c r="W58" s="22" t="n"/>
      <c r="X58" s="22" t="n"/>
      <c r="Y58" s="23" t="n"/>
      <c r="Z58" s="5">
        <f>COUNTIF(Z7:Z55,"Хөгжиж байна")</f>
        <v/>
      </c>
    </row>
    <row r="59" ht="17" customHeight="1">
      <c r="A59" s="5" t="inlineStr">
        <is>
          <t>Хувь</t>
        </is>
      </c>
      <c r="B59" s="15" t="n"/>
      <c r="C59" s="15" t="n"/>
      <c r="D59" s="5">
        <f>IF(COUNT(D7:D55)=0,"",ROUND(COUNTIF(D7:D55,0)/COUNT(D7:D55)*100,1))</f>
        <v/>
      </c>
      <c r="E59" s="5">
        <f>IF(COUNT(E7:E55)=0,"",ROUND(COUNTIF(E7:E55,0)/COUNT(E7:E55)*100,1))</f>
        <v/>
      </c>
      <c r="F59" s="5">
        <f>IF(COUNT(F7:F55)=0,"",ROUND(COUNTIF(F7:F55,0)/COUNT(F7:F55)*100,1))</f>
        <v/>
      </c>
      <c r="G59" s="5">
        <f>IF(COUNT(G7:G55)=0,"",ROUND(COUNTIF(G7:G55,0)/COUNT(G7:G55)*100,1))</f>
        <v/>
      </c>
      <c r="H59" s="5">
        <f>IF(COUNT(H7:H55)=0,"",ROUND(COUNTIF(H7:H55,0)/COUNT(H7:H55)*100,1))</f>
        <v/>
      </c>
      <c r="I59" s="5">
        <f>IF(COUNT(I7:I55)=0,"",ROUND(COUNTIF(I7:I55,0)/COUNT(I7:I55)*100,1))</f>
        <v/>
      </c>
      <c r="J59" s="5">
        <f>IF(COUNT(J7:J55)=0,"",ROUND(COUNTIF(J7:J55,0)/COUNT(J7:J55)*100,1))</f>
        <v/>
      </c>
      <c r="K59" s="5">
        <f>IF(COUNT(K7:K55)=0,"",ROUND(COUNTIF(K7:K55,0)/COUNT(K7:K55)*100,1))</f>
        <v/>
      </c>
      <c r="L59" s="5">
        <f>IF(COUNT(L7:L55)=0,"",ROUND(COUNTIF(L7:L55,0)/COUNT(L7:L55)*100,1))</f>
        <v/>
      </c>
      <c r="M59" s="5">
        <f>IF(COUNT(M7:M55)=0,"",ROUND(COUNTIF(M7:M55,0)/COUNT(M7:M55)*100,1))</f>
        <v/>
      </c>
      <c r="N59" s="5">
        <f>IF(COUNT(N7:N55)=0,"",ROUND(COUNTIF(N7:N55,0)/COUNT(N7:N55)*100,1))</f>
        <v/>
      </c>
      <c r="O59" s="5">
        <f>IF(COUNT(O7:O55)=0,"",ROUND(COUNTIF(O7:O55,0)/COUNT(O7:O55)*100,1))</f>
        <v/>
      </c>
      <c r="P59" s="5">
        <f>IF(COUNT(P7:P55)=0,"",ROUND(COUNTIF(P7:P55,0)/COUNT(P7:P55)*100,1))</f>
        <v/>
      </c>
      <c r="Q59" s="5">
        <f>IF(COUNT(Q7:Q55)=0,"",ROUND(COUNTIF(Q7:Q55,0)/COUNT(Q7:Q55)*100,1))</f>
        <v/>
      </c>
      <c r="R59" s="5">
        <f>IF(COUNT(R7:R55)=0,"",ROUND(COUNTIF(R7:R55,0)/COUNT(R7:R55)*100,1))</f>
        <v/>
      </c>
      <c r="S59" s="5">
        <f>IF(COUNT(S7:S55)=0,"",ROUND(COUNTIF(S7:S55,0)/COUNT(S7:S55)*100,1))</f>
        <v/>
      </c>
      <c r="T59" s="5">
        <f>IF(COUNT(T7:T55)=0,"",ROUND(COUNTIF(T7:T55,0)/COUNT(T7:T55)*100,1))</f>
        <v/>
      </c>
      <c r="U59" s="5">
        <f>IF(COUNT(U7:U55)=0,"",ROUND(COUNTIF(U7:U55,0)/COUNT(U7:U55)*100,1))</f>
        <v/>
      </c>
      <c r="V59" s="15" t="n"/>
      <c r="W59" s="15" t="n"/>
      <c r="X59" s="15" t="n"/>
      <c r="Y59" s="15" t="n"/>
      <c r="Z59" s="15" t="n"/>
    </row>
  </sheetData>
  <mergeCells count="66">
    <mergeCell ref="B47:C47"/>
    <mergeCell ref="B16:C16"/>
    <mergeCell ref="B54:C54"/>
    <mergeCell ref="B7:C7"/>
    <mergeCell ref="B25:C25"/>
    <mergeCell ref="Y3:Y6"/>
    <mergeCell ref="B46:C46"/>
    <mergeCell ref="A56:C56"/>
    <mergeCell ref="B22:C22"/>
    <mergeCell ref="B31:C31"/>
    <mergeCell ref="B18:C18"/>
    <mergeCell ref="B27:C27"/>
    <mergeCell ref="A57:C57"/>
    <mergeCell ref="V57:Y57"/>
    <mergeCell ref="B43:C43"/>
    <mergeCell ref="B12:C12"/>
    <mergeCell ref="B39:C39"/>
    <mergeCell ref="B52:C52"/>
    <mergeCell ref="B21:C21"/>
    <mergeCell ref="B48:C48"/>
    <mergeCell ref="V56:Y56"/>
    <mergeCell ref="A1:Z1"/>
    <mergeCell ref="B11:C11"/>
    <mergeCell ref="X3:X6"/>
    <mergeCell ref="Z3:Z6"/>
    <mergeCell ref="B42:C42"/>
    <mergeCell ref="B23:C23"/>
    <mergeCell ref="A3:A6"/>
    <mergeCell ref="B14:C14"/>
    <mergeCell ref="B17:C17"/>
    <mergeCell ref="B8:C8"/>
    <mergeCell ref="B53:C53"/>
    <mergeCell ref="V58:Y58"/>
    <mergeCell ref="D3:U3"/>
    <mergeCell ref="B13:C13"/>
    <mergeCell ref="B38:C38"/>
    <mergeCell ref="B44:C44"/>
    <mergeCell ref="B29:C29"/>
    <mergeCell ref="B19:C19"/>
    <mergeCell ref="W3:W6"/>
    <mergeCell ref="B34:C34"/>
    <mergeCell ref="B10:C10"/>
    <mergeCell ref="B28:C28"/>
    <mergeCell ref="B37:C37"/>
    <mergeCell ref="A58:C58"/>
    <mergeCell ref="A2:Z2"/>
    <mergeCell ref="B40:C40"/>
    <mergeCell ref="B9:C9"/>
    <mergeCell ref="A59:C59"/>
    <mergeCell ref="B49:C49"/>
    <mergeCell ref="B55:C55"/>
    <mergeCell ref="B3:C6"/>
    <mergeCell ref="B24:C24"/>
    <mergeCell ref="B30:C30"/>
    <mergeCell ref="B15:C15"/>
    <mergeCell ref="B33:C33"/>
    <mergeCell ref="B51:C51"/>
    <mergeCell ref="V3:V6"/>
    <mergeCell ref="B20:C20"/>
    <mergeCell ref="B45:C45"/>
    <mergeCell ref="B36:C36"/>
    <mergeCell ref="B32:C32"/>
    <mergeCell ref="B50:C50"/>
    <mergeCell ref="B26:C26"/>
    <mergeCell ref="B41:C41"/>
    <mergeCell ref="B35:C35"/>
  </mergeCells>
  <conditionalFormatting sqref="D7:U55">
    <cfRule type="cellIs" priority="1" operator="equal" dxfId="0">
      <formula>0</formula>
    </cfRule>
  </conditionalFormatting>
  <dataValidations count="1">
    <dataValidation sqref="D7 D8 D9 D10 D11 D12 D13 D14 D15 D16 D17 D18 D19 D20 D21 D22 D23 D24 D25 D26 D27 D28 D29 D30 D31 D32 D33 D34 D35 D36 D37 D38 D39 D40 D41 D42 D43 D44 D45 D46 D47 D48 D49 D50 D51 D52 D53 D54 D55 E7 E8 E9 E10 E11 E12 E13 E14 E15 E16 E17 E18 E19 E20 E21 E22 E23 E24 E25 E26 E27 E28 E29 E30 E31 E32 E33 E34 E35 E36 E37 E38 E39 E40 E41 E42 E43 E44 E45 E46 E47 E48 E49 E50 E51 E52 E53 E54 E55 F7 F8 F9 F10 F11 F12 F13 F14 F15 F16 F17 F18 F19 F20 F21 F22 F23 F24 F25 F26 F27 F28 F29 F30 F31 F32 F33 F34 F35 F36 F37 F38 F39 F40 F41 F42 F43 F44 F45 F46 F47 F48 F49 F50 F51 F52 F53 F54 F55 G7 G8 G9 G10 G11 G12 G13 G14 G15 G16 G17 G18 G19 G20 G21 G22 G23 G24 G25 G26 G27 G28 G29 G30 G31 G32 G33 G34 G35 G36 G37 G38 G39 G40 G41 G42 G43 G44 G45 G46 G47 G48 G49 G50 G51 G52 G53 G54 G55 H7 H8 H9 H10 H11 H12 H13 H14 H15 H16 H17 H18 H19 H20 H21 H22 H23 H24 H25 H26 H27 H28 H29 H30 H31 H32 H33 H34 H35 H36 H37 H38 H39 H40 H41 H42 H43 H44 H45 H46 H47 H48 H49 H50 H51 H52 H53 H54 H55 I7 I8 I9 I10 I11 I12 I13 I14 I15 I16 I17 I18 I19 I20 I21 I22 I23 I24 I25 I26 I27 I28 I29 I30 I31 I32 I33 I34 I35 I36 I37 I38 I39 I40 I41 I42 I43 I44 I45 I46 I47 I48 I49 I50 I51 I52 I53 I54 I55 J7 J8 J9 J10 J11 J12 J13 J14 J15 J16 J17 J18 J19 J20 J21 J22 J23 J24 J25 J26 J27 J28 J29 J30 J31 J32 J33 J34 J35 J36 J37 J38 J39 J40 J41 J42 J43 J44 J45 J46 J47 J48 J49 J50 J51 J52 J53 J54 J55 K7 K8 K9 K10 K11 K12 K13 K14 K15 K16 K17 K18 K19 K20 K21 K22 K23 K24 K25 K26 K27 K28 K29 K30 K31 K32 K33 K34 K35 K36 K37 K38 K39 K40 K41 K42 K43 K44 K45 K46 K47 K48 K49 K50 K51 K52 K53 K54 K55 L7 L8 L9 L10 L11 L12 L13 L14 L15 L16 L17 L18 L19 L20 L21 L22 L23 L24 L25 L26 L27 L28 L29 L30 L31 L32 L33 L34 L35 L36 L37 L38 L39 L40 L41 L42 L43 L44 L45 L46 L47 L48 L49 L50 L51 L52 L53 L54 L55 M7 M8 M9 M10 M11 M12 M13 M14 M15 M16 M17 M18 M19 M20 M21 M22 M23 M24 M25 M26 M27 M28 M29 M30 M31 M32 M33 M34 M35 M36 M37 M38 M39 M40 M41 M42 M43 M44 M45 M46 M47 M48 M49 M50 M51 M52 M53 M54 M55 N7 N8 N9 N10 N11 N12 N13 N14 N15 N16 N17 N18 N19 N20 N21 N22 N23 N24 N25 N26 N27 N28 N29 N30 N31 N32 N33 N34 N35 N36 N37 N38 N39 N40 N41 N42 N43 N44 N45 N46 N47 N48 N49 N50 N51 N52 N53 N54 N55 O7 O8 O9 O10 O11 O12 O13 O14 O15 O16 O17 O18 O19 O20 O21 O22 O23 O24 O25 O26 O27 O28 O29 O30 O31 O32 O33 O34 O35 O36 O37 O38 O39 O40 O41 O42 O43 O44 O45 O46 O47 O48 O49 O50 O51 O52 O53 O54 O55 P7 P8 P9 P10 P11 P12 P13 P14 P15 P16 P17 P18 P19 P20 P21 P22 P23 P24 P25 P26 P27 P28 P29 P30 P31 P32 P33 P34 P35 P36 P37 P38 P39 P40 P41 P42 P43 P44 P45 P46 P47 P48 P49 P50 P51 P52 P53 P54 P55 Q7 Q8 Q9 Q10 Q11 Q12 Q13 Q14 Q15 Q16 Q17 Q18 Q19 Q20 Q21 Q22 Q23 Q24 Q25 Q26 Q27 Q28 Q29 Q30 Q31 Q32 Q33 Q34 Q35 Q36 Q37 Q38 Q39 Q40 Q41 Q42 Q43 Q44 Q45 Q46 Q47 Q48 Q49 Q50 Q51 Q52 Q53 Q54 Q55 R7 R8 R9 R10 R11 R12 R13 R14 R15 R16 R17 R18 R19 R20 R21 R22 R23 R24 R25 R26 R27 R28 R29 R30 R31 R32 R33 R34 R35 R36 R37 R38 R39 R40 R41 R42 R43 R44 R45 R46 R47 R48 R49 R50 R51 R52 R53 R54 R55 S7 S8 S9 S10 S11 S12 S13 S14 S15 S16 S17 S18 S19 S20 S21 S22 S23 S24 S25 S26 S27 S28 S29 S30 S31 S32 S33 S34 S35 S36 S37 S38 S39 S40 S41 S42 S43 S44 S45 S46 S47 S48 S49 S50 S51 S52 S53 S54 S55 T7 T8 T9 T10 T11 T12 T13 T14 T15 T16 T17 T18 T19 T20 T21 T22 T23 T24 T25 T26 T27 T28 T29 T30 T31 T32 T33 T34 T35 T36 T37 T38 T39 T40 T41 T42 T43 T44 T45 T46 T47 T48 T49 T50 T51 T52 T53 T54 T55 U7 U8 U9 U10 U11 U12 U13 U14 U15 U16 U17 U18 U19 U20 U21 U22 U23 U24 U25 U26 U27 U28 U29 U30 U31 U32 U33 U34 U35 U36 U37 U38 U39 U40 U41 U42 U43 U44 U45 U46 U47 U48 U49 U50 U51 U52 U53 U54 U55" showDropDown="0" showInputMessage="1" showErrorMessage="1" allowBlank="1" errorTitle="1 эсвэл 0" error="Чадна бол 1, чадахгүй бол 0 гэж бичнэ." promptTitle="Тэмдэглэх" prompt="Чадна = 1, Чадахгүй = 0" type="list">
      <formula1>"1,0"</formula1>
    </dataValidation>
  </dataValidations>
  <printOptions horizontalCentered="1"/>
  <pageMargins left="0.5905511811023622" right="0.1968503937007874" top="0.5905511811023622" bottom="0.5905511811023622" header="0.3149606299212598" footer="0.3149606299212598"/>
  <pageSetup orientation="landscape" paperSize="9" fitToHeight="2"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2026-10-18T13:16:50Z</dcterms:created>
  <dcterms:modified xmlns:dcterms="http://purl.org/dc/terms/" xmlns:xsi="http://www.w3.org/2001/XMLSchema-instance" xsi:type="dcterms:W3CDTF">2026-10-18T13:16:51Z</dcterms:modified>
</cp:coreProperties>
</file>
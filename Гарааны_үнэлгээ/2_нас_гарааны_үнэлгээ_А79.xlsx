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эгтгэл" sheetId="1" state="visible" r:id="rId1"/>
    <sheet xmlns:r="http://schemas.openxmlformats.org/officeDocument/2006/relationships" name="Мэдлэг" sheetId="2" state="visible" r:id="rId2"/>
    <sheet xmlns:r="http://schemas.openxmlformats.org/officeDocument/2006/relationships" name="Чадвар" sheetId="3" state="visible" r:id="rId3"/>
    <sheet xmlns:r="http://schemas.openxmlformats.org/officeDocument/2006/relationships" name="Төлөвшил" sheetId="4" state="visible" r:id="rId4"/>
  </sheets>
  <definedNames>
    <definedName name="_xlnm.Print_Titles" localSheetId="0">'Нэгтгэл'!$3:$6</definedName>
    <definedName name="_xlnm.Print_Area" localSheetId="0">'Нэгтгэл'!$A$1:$H$41</definedName>
    <definedName name="_xlnm.Print_Titles" localSheetId="1">'Мэдлэг'!$3:$6</definedName>
    <definedName name="_xlnm.Print_Area" localSheetId="1">'Мэдлэг'!$A$1:$S$41</definedName>
    <definedName name="_xlnm.Print_Titles" localSheetId="2">'Чадвар'!$3:$6</definedName>
    <definedName name="_xlnm.Print_Area" localSheetId="2">'Чадвар'!$A$1:$AD$41</definedName>
    <definedName name="_xlnm.Print_Titles" localSheetId="3">'Төлөвшил'!$3:$6</definedName>
    <definedName name="_xlnm.Print_Area" localSheetId="3">'Төлөвшил'!$A$1:$L$41</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sz val="12"/>
    </font>
    <font>
      <name val="Arial"/>
      <sz val="11"/>
    </font>
    <font>
      <name val="Arial"/>
      <b val="1"/>
      <sz val="10"/>
    </font>
    <font>
      <name val="Arial"/>
      <b val="1"/>
      <sz val="9"/>
    </font>
    <font>
      <name val="Arial"/>
      <sz val="8"/>
    </font>
    <font>
      <name val="Arial"/>
      <b val="1"/>
      <sz val="8"/>
    </font>
    <font>
      <name val="Arial"/>
      <sz val="10"/>
    </font>
    <font>
      <name val="Arial"/>
      <sz val="9"/>
    </font>
    <font>
      <name val="Arial"/>
      <i val="1"/>
      <sz val="8"/>
    </font>
  </fonts>
  <fills count="6">
    <fill>
      <patternFill/>
    </fill>
    <fill>
      <patternFill patternType="gray125"/>
    </fill>
    <fill>
      <patternFill patternType="solid">
        <fgColor rgb="00DDEBF7"/>
      </patternFill>
    </fill>
    <fill>
      <patternFill patternType="solid">
        <fgColor rgb="00E2EFDA"/>
      </patternFill>
    </fill>
    <fill>
      <patternFill patternType="solid">
        <fgColor rgb="00F2F2F2"/>
      </patternFill>
    </fill>
    <fill>
      <patternFill patternType="solid">
        <fgColor rgb="00FFFDE7"/>
      </patternFill>
    </fill>
  </fills>
  <borders count="6">
    <border>
      <left/>
      <right/>
      <top/>
      <bottom/>
      <diagonal/>
    </border>
    <border>
      <left style="thin">
        <color rgb="00000000"/>
      </left>
      <right style="thin">
        <color rgb="00000000"/>
      </right>
      <top style="thin">
        <color rgb="00000000"/>
      </top>
      <bottom style="thin">
        <color rgb="00000000"/>
      </bottom>
    </border>
    <border>
      <left/>
      <right/>
      <top style="thin">
        <color rgb="00000000"/>
      </top>
      <bottom/>
      <diagonal/>
    </border>
    <border>
      <left/>
      <right style="thin">
        <color rgb="00000000"/>
      </right>
      <top style="thin">
        <color rgb="00000000"/>
      </top>
      <bottom/>
      <diagonal/>
    </border>
    <border>
      <left/>
      <right/>
      <top style="thin">
        <color rgb="00000000"/>
      </top>
      <bottom style="thin">
        <color rgb="00000000"/>
      </bottom>
      <diagonal/>
    </border>
    <border>
      <left/>
      <right style="thin">
        <color rgb="00000000"/>
      </right>
      <top style="thin">
        <color rgb="00000000"/>
      </top>
      <bottom style="thin">
        <color rgb="00000000"/>
      </bottom>
      <diagonal/>
    </border>
  </borders>
  <cellStyleXfs count="1">
    <xf numFmtId="0" fontId="0" fillId="0" borderId="0"/>
  </cellStyleXfs>
  <cellXfs count="24">
    <xf numFmtId="0" fontId="0" fillId="0" borderId="0" pivotButton="0" quotePrefix="0" xfId="0"/>
    <xf numFmtId="0" fontId="1" fillId="0" borderId="0" applyAlignment="1" pivotButton="0" quotePrefix="0" xfId="0">
      <alignment horizontal="center" vertical="center" wrapText="1"/>
    </xf>
    <xf numFmtId="0" fontId="7" fillId="0" borderId="0" applyAlignment="1" pivotButton="0" quotePrefix="0" xfId="0">
      <alignment horizontal="left" vertical="center" wrapText="1"/>
    </xf>
    <xf numFmtId="0" fontId="3" fillId="2" borderId="1" applyAlignment="1" pivotButton="0" quotePrefix="0" xfId="0">
      <alignment horizontal="center" vertical="center" wrapText="1"/>
    </xf>
    <xf numFmtId="0" fontId="0" fillId="0" borderId="1" pivotButton="0" quotePrefix="0" xfId="0"/>
    <xf numFmtId="0" fontId="3" fillId="3" borderId="1" applyAlignment="1" pivotButton="0" quotePrefix="0" xfId="0">
      <alignment horizontal="center" vertical="center" wrapText="1"/>
    </xf>
    <xf numFmtId="0" fontId="4" fillId="2" borderId="1" applyAlignment="1" pivotButton="0" quotePrefix="0" xfId="0">
      <alignment horizontal="center" vertical="center" wrapText="1"/>
    </xf>
    <xf numFmtId="0" fontId="0" fillId="2" borderId="1" pivotButton="0" quotePrefix="0" xfId="0"/>
    <xf numFmtId="0" fontId="8" fillId="0" borderId="1" applyAlignment="1" pivotButton="0" quotePrefix="0" xfId="0">
      <alignment horizontal="left" vertical="center" wrapText="1"/>
    </xf>
    <xf numFmtId="0" fontId="3" fillId="5" borderId="1" applyAlignment="1" pivotButton="0" quotePrefix="0" xfId="0">
      <alignment horizontal="center" vertical="center" wrapText="1"/>
    </xf>
    <xf numFmtId="0" fontId="6" fillId="2" borderId="1" applyAlignment="1" pivotButton="0" quotePrefix="0" xfId="0">
      <alignment horizontal="center" vertical="center" wrapText="1"/>
    </xf>
    <xf numFmtId="0" fontId="9" fillId="0" borderId="0" applyAlignment="1" pivotButton="0" quotePrefix="0" xfId="0">
      <alignment horizontal="left" vertical="center" wrapText="1"/>
    </xf>
    <xf numFmtId="0" fontId="7" fillId="0" borderId="1" applyAlignment="1" pivotButton="0" quotePrefix="0" xfId="0">
      <alignment horizontal="center"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0" fillId="3" borderId="1" pivotButton="0" quotePrefix="0" xfId="0"/>
    <xf numFmtId="0" fontId="7" fillId="3" borderId="1" applyAlignment="1" pivotButton="0" quotePrefix="0" xfId="0">
      <alignment horizontal="center" vertical="center" wrapText="1"/>
    </xf>
    <xf numFmtId="0" fontId="4" fillId="3" borderId="1" applyAlignment="1" pivotButton="0" quotePrefix="0" xfId="0">
      <alignment horizontal="center" vertical="center" wrapText="1"/>
    </xf>
    <xf numFmtId="0" fontId="2" fillId="0" borderId="0" applyAlignment="1" pivotButton="0" quotePrefix="0" xfId="0">
      <alignment horizontal="left" vertical="center" wrapText="1"/>
    </xf>
    <xf numFmtId="0" fontId="5" fillId="4" borderId="1" applyAlignment="1" pivotButton="0" quotePrefix="0" xfId="0">
      <alignment horizontal="left" vertical="center" wrapText="1"/>
    </xf>
    <xf numFmtId="0" fontId="5" fillId="0" borderId="1" applyAlignment="1" pivotButton="0" quotePrefix="0" xfId="0">
      <alignment horizontal="center" vertical="center" wrapText="1"/>
    </xf>
    <xf numFmtId="0" fontId="6" fillId="3"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1">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K41"/>
  <sheetViews>
    <sheetView workbookViewId="0">
      <selection activeCell="A1" sqref="A1"/>
    </sheetView>
  </sheetViews>
  <sheetFormatPr baseColWidth="8" defaultRowHeight="15"/>
  <cols>
    <col width="4.5" customWidth="1" min="1" max="1"/>
    <col width="10" customWidth="1" min="2" max="2"/>
    <col width="11" customWidth="1" min="3" max="3"/>
    <col width="11" customWidth="1" min="4" max="4"/>
    <col width="11" customWidth="1" min="5" max="5"/>
    <col width="11" customWidth="1" min="6" max="6"/>
    <col width="9" customWidth="1" min="7" max="7"/>
    <col width="22" customWidth="1" min="8" max="8"/>
    <col width="2" customWidth="1" min="9" max="9"/>
    <col width="26" customWidth="1" min="10" max="10"/>
    <col width="8" customWidth="1" min="11" max="11"/>
  </cols>
  <sheetData>
    <row r="1">
      <c r="A1" s="1" t="inlineStr">
        <is>
          <t>................ ЦЭЦЭРЛЭГИЙН БАГА БҮЛГИЙН (2 НАС) ГАРААНЫ (ОНОШЛОХ) ҮНЭЛГЭЭНИЙ НЭГТГЭЛ</t>
        </is>
      </c>
    </row>
    <row r="2">
      <c r="A2" s="2" t="inlineStr">
        <is>
          <t>Огноо: 20.... оны .... сар     Багш: ....................     Хүүхдийн кодыг B баганад бичнэ.</t>
        </is>
      </c>
    </row>
    <row r="3">
      <c r="A3" s="3" t="inlineStr">
        <is>
          <t>№</t>
        </is>
      </c>
      <c r="B3" s="3" t="inlineStr">
        <is>
          <t>Хүүхдийн код</t>
        </is>
      </c>
      <c r="C3" s="3" t="inlineStr">
        <is>
          <t>«Чадна» хувь (%)</t>
        </is>
      </c>
      <c r="D3" s="4" t="n"/>
      <c r="E3" s="4" t="n"/>
      <c r="F3" s="5" t="inlineStr">
        <is>
          <t>Нийт чадна (37-аас)</t>
        </is>
      </c>
      <c r="G3" s="5" t="inlineStr">
        <is>
          <t>Нийт хувь</t>
        </is>
      </c>
      <c r="H3" s="5" t="inlineStr">
        <is>
          <t>Түвшин</t>
        </is>
      </c>
      <c r="J3" s="6" t="inlineStr">
        <is>
          <t>Түвшний босго (%) — өөрчилж болно</t>
        </is>
      </c>
      <c r="K3" s="7" t="n"/>
    </row>
    <row r="4">
      <c r="A4" s="4" t="n"/>
      <c r="B4" s="4" t="n"/>
      <c r="C4" s="6" t="inlineStr">
        <is>
          <t>Үнэлгээний хүрээ</t>
        </is>
      </c>
      <c r="D4" s="4" t="n"/>
      <c r="E4" s="4" t="n"/>
      <c r="F4" s="4" t="n"/>
      <c r="G4" s="4" t="n"/>
      <c r="H4" s="4" t="n"/>
      <c r="J4" s="8" t="inlineStr">
        <is>
          <t>Хангалттай эзэмшиж байна ≥</t>
        </is>
      </c>
      <c r="K4" s="9" t="n">
        <v>80</v>
      </c>
    </row>
    <row r="5" ht="18" customHeight="1">
      <c r="A5" s="4" t="n"/>
      <c r="B5" s="4" t="n"/>
      <c r="C5" s="6" t="inlineStr">
        <is>
          <t>Мэдлэг</t>
        </is>
      </c>
      <c r="D5" s="6" t="inlineStr">
        <is>
          <t>Чадвар</t>
        </is>
      </c>
      <c r="E5" s="6" t="inlineStr">
        <is>
          <t>Төлөвшил</t>
        </is>
      </c>
      <c r="F5" s="4" t="n"/>
      <c r="G5" s="4" t="n"/>
      <c r="H5" s="4" t="n"/>
      <c r="J5" s="8" t="inlineStr">
        <is>
          <t>Ахиж байна ≥</t>
        </is>
      </c>
      <c r="K5" s="9" t="n">
        <v>50</v>
      </c>
    </row>
    <row r="6">
      <c r="A6" s="4" t="n"/>
      <c r="B6" s="4" t="n"/>
      <c r="C6" s="10" t="n">
        <v>11</v>
      </c>
      <c r="D6" s="10" t="n">
        <v>22</v>
      </c>
      <c r="E6" s="10" t="n">
        <v>4</v>
      </c>
      <c r="F6" s="4" t="n"/>
      <c r="G6" s="4" t="n"/>
      <c r="H6" s="4" t="n"/>
      <c r="J6" s="11" t="inlineStr">
        <is>
          <t>Бусад нь «Хөгжиж байна» (А/79, 2.10)</t>
        </is>
      </c>
    </row>
    <row r="7" ht="16" customHeight="1">
      <c r="A7" s="12" t="n">
        <v>1</v>
      </c>
      <c r="B7" s="13" t="inlineStr">
        <is>
          <t>Х-01</t>
        </is>
      </c>
      <c r="C7" s="12">
        <f>IF(COUNT('Мэдлэг'!D7:N7)=0,"",ROUND(COUNTIF('Мэдлэг'!D7:N7,1)/11*100,1))</f>
        <v/>
      </c>
      <c r="D7" s="12">
        <f>IF(COUNT('Чадвар'!D7:Y7)=0,"",ROUND(COUNTIF('Чадвар'!D7:Y7,1)/22*100,1))</f>
        <v/>
      </c>
      <c r="E7" s="12">
        <f>IF(COUNT('Төлөвшил'!D7:G7)=0,"",ROUND(COUNTIF('Төлөвшил'!D7:G7,1)/4*100,1))</f>
        <v/>
      </c>
      <c r="F7" s="12">
        <f>COUNTIF('Мэдлэг'!D7:N7,1)+COUNTIF('Чадвар'!D7:Y7,1)+COUNTIF('Төлөвшил'!D7:G7,1)</f>
        <v/>
      </c>
      <c r="G7" s="12">
        <f>IF((COUNT('Мэдлэг'!D7:N7)+COUNT('Чадвар'!D7:Y7)+COUNT('Төлөвшил'!D7:G7))=0,"",ROUND(F7/37*100,1))</f>
        <v/>
      </c>
      <c r="H7" s="14">
        <f>IF(G7="","",IF(G7&gt;=Нэгтгэл!$K$4,"Хангалттай эзэмшиж байна",IF(G7&gt;=Нэгтгэл!$K$5,"Ахиж байна","Хөгжиж байна")))</f>
        <v/>
      </c>
    </row>
    <row r="8" ht="16" customHeight="1">
      <c r="A8" s="12" t="n">
        <v>2</v>
      </c>
      <c r="B8" s="13" t="inlineStr">
        <is>
          <t>Х-02</t>
        </is>
      </c>
      <c r="C8" s="12">
        <f>IF(COUNT('Мэдлэг'!D8:N8)=0,"",ROUND(COUNTIF('Мэдлэг'!D8:N8,1)/11*100,1))</f>
        <v/>
      </c>
      <c r="D8" s="12">
        <f>IF(COUNT('Чадвар'!D8:Y8)=0,"",ROUND(COUNTIF('Чадвар'!D8:Y8,1)/22*100,1))</f>
        <v/>
      </c>
      <c r="E8" s="12">
        <f>IF(COUNT('Төлөвшил'!D8:G8)=0,"",ROUND(COUNTIF('Төлөвшил'!D8:G8,1)/4*100,1))</f>
        <v/>
      </c>
      <c r="F8" s="12">
        <f>COUNTIF('Мэдлэг'!D8:N8,1)+COUNTIF('Чадвар'!D8:Y8,1)+COUNTIF('Төлөвшил'!D8:G8,1)</f>
        <v/>
      </c>
      <c r="G8" s="12">
        <f>IF((COUNT('Мэдлэг'!D8:N8)+COUNT('Чадвар'!D8:Y8)+COUNT('Төлөвшил'!D8:G8))=0,"",ROUND(F8/37*100,1))</f>
        <v/>
      </c>
      <c r="H8" s="14">
        <f>IF(G8="","",IF(G8&gt;=Нэгтгэл!$K$4,"Хангалттай эзэмшиж байна",IF(G8&gt;=Нэгтгэл!$K$5,"Ахиж байна","Хөгжиж байна")))</f>
        <v/>
      </c>
    </row>
    <row r="9" ht="16" customHeight="1">
      <c r="A9" s="12" t="n">
        <v>3</v>
      </c>
      <c r="B9" s="13" t="inlineStr">
        <is>
          <t>Х-03</t>
        </is>
      </c>
      <c r="C9" s="12">
        <f>IF(COUNT('Мэдлэг'!D9:N9)=0,"",ROUND(COUNTIF('Мэдлэг'!D9:N9,1)/11*100,1))</f>
        <v/>
      </c>
      <c r="D9" s="12">
        <f>IF(COUNT('Чадвар'!D9:Y9)=0,"",ROUND(COUNTIF('Чадвар'!D9:Y9,1)/22*100,1))</f>
        <v/>
      </c>
      <c r="E9" s="12">
        <f>IF(COUNT('Төлөвшил'!D9:G9)=0,"",ROUND(COUNTIF('Төлөвшил'!D9:G9,1)/4*100,1))</f>
        <v/>
      </c>
      <c r="F9" s="12">
        <f>COUNTIF('Мэдлэг'!D9:N9,1)+COUNTIF('Чадвар'!D9:Y9,1)+COUNTIF('Төлөвшил'!D9:G9,1)</f>
        <v/>
      </c>
      <c r="G9" s="12">
        <f>IF((COUNT('Мэдлэг'!D9:N9)+COUNT('Чадвар'!D9:Y9)+COUNT('Төлөвшил'!D9:G9))=0,"",ROUND(F9/37*100,1))</f>
        <v/>
      </c>
      <c r="H9" s="14">
        <f>IF(G9="","",IF(G9&gt;=Нэгтгэл!$K$4,"Хангалттай эзэмшиж байна",IF(G9&gt;=Нэгтгэл!$K$5,"Ахиж байна","Хөгжиж байна")))</f>
        <v/>
      </c>
    </row>
    <row r="10" ht="16" customHeight="1">
      <c r="A10" s="12" t="n">
        <v>4</v>
      </c>
      <c r="B10" s="13" t="inlineStr">
        <is>
          <t>Х-04</t>
        </is>
      </c>
      <c r="C10" s="12">
        <f>IF(COUNT('Мэдлэг'!D10:N10)=0,"",ROUND(COUNTIF('Мэдлэг'!D10:N10,1)/11*100,1))</f>
        <v/>
      </c>
      <c r="D10" s="12">
        <f>IF(COUNT('Чадвар'!D10:Y10)=0,"",ROUND(COUNTIF('Чадвар'!D10:Y10,1)/22*100,1))</f>
        <v/>
      </c>
      <c r="E10" s="12">
        <f>IF(COUNT('Төлөвшил'!D10:G10)=0,"",ROUND(COUNTIF('Төлөвшил'!D10:G10,1)/4*100,1))</f>
        <v/>
      </c>
      <c r="F10" s="12">
        <f>COUNTIF('Мэдлэг'!D10:N10,1)+COUNTIF('Чадвар'!D10:Y10,1)+COUNTIF('Төлөвшил'!D10:G10,1)</f>
        <v/>
      </c>
      <c r="G10" s="12">
        <f>IF((COUNT('Мэдлэг'!D10:N10)+COUNT('Чадвар'!D10:Y10)+COUNT('Төлөвшил'!D10:G10))=0,"",ROUND(F10/37*100,1))</f>
        <v/>
      </c>
      <c r="H10" s="14">
        <f>IF(G10="","",IF(G10&gt;=Нэгтгэл!$K$4,"Хангалттай эзэмшиж байна",IF(G10&gt;=Нэгтгэл!$K$5,"Ахиж байна","Хөгжиж байна")))</f>
        <v/>
      </c>
    </row>
    <row r="11" ht="16" customHeight="1">
      <c r="A11" s="12" t="n">
        <v>5</v>
      </c>
      <c r="B11" s="13" t="inlineStr">
        <is>
          <t>Х-05</t>
        </is>
      </c>
      <c r="C11" s="12">
        <f>IF(COUNT('Мэдлэг'!D11:N11)=0,"",ROUND(COUNTIF('Мэдлэг'!D11:N11,1)/11*100,1))</f>
        <v/>
      </c>
      <c r="D11" s="12">
        <f>IF(COUNT('Чадвар'!D11:Y11)=0,"",ROUND(COUNTIF('Чадвар'!D11:Y11,1)/22*100,1))</f>
        <v/>
      </c>
      <c r="E11" s="12">
        <f>IF(COUNT('Төлөвшил'!D11:G11)=0,"",ROUND(COUNTIF('Төлөвшил'!D11:G11,1)/4*100,1))</f>
        <v/>
      </c>
      <c r="F11" s="12">
        <f>COUNTIF('Мэдлэг'!D11:N11,1)+COUNTIF('Чадвар'!D11:Y11,1)+COUNTIF('Төлөвшил'!D11:G11,1)</f>
        <v/>
      </c>
      <c r="G11" s="12">
        <f>IF((COUNT('Мэдлэг'!D11:N11)+COUNT('Чадвар'!D11:Y11)+COUNT('Төлөвшил'!D11:G11))=0,"",ROUND(F11/37*100,1))</f>
        <v/>
      </c>
      <c r="H11" s="14">
        <f>IF(G11="","",IF(G11&gt;=Нэгтгэл!$K$4,"Хангалттай эзэмшиж байна",IF(G11&gt;=Нэгтгэл!$K$5,"Ахиж байна","Хөгжиж байна")))</f>
        <v/>
      </c>
    </row>
    <row r="12" ht="16" customHeight="1">
      <c r="A12" s="12" t="n">
        <v>6</v>
      </c>
      <c r="B12" s="13" t="inlineStr">
        <is>
          <t>Х-06</t>
        </is>
      </c>
      <c r="C12" s="12">
        <f>IF(COUNT('Мэдлэг'!D12:N12)=0,"",ROUND(COUNTIF('Мэдлэг'!D12:N12,1)/11*100,1))</f>
        <v/>
      </c>
      <c r="D12" s="12">
        <f>IF(COUNT('Чадвар'!D12:Y12)=0,"",ROUND(COUNTIF('Чадвар'!D12:Y12,1)/22*100,1))</f>
        <v/>
      </c>
      <c r="E12" s="12">
        <f>IF(COUNT('Төлөвшил'!D12:G12)=0,"",ROUND(COUNTIF('Төлөвшил'!D12:G12,1)/4*100,1))</f>
        <v/>
      </c>
      <c r="F12" s="12">
        <f>COUNTIF('Мэдлэг'!D12:N12,1)+COUNTIF('Чадвар'!D12:Y12,1)+COUNTIF('Төлөвшил'!D12:G12,1)</f>
        <v/>
      </c>
      <c r="G12" s="12">
        <f>IF((COUNT('Мэдлэг'!D12:N12)+COUNT('Чадвар'!D12:Y12)+COUNT('Төлөвшил'!D12:G12))=0,"",ROUND(F12/37*100,1))</f>
        <v/>
      </c>
      <c r="H12" s="14">
        <f>IF(G12="","",IF(G12&gt;=Нэгтгэл!$K$4,"Хангалттай эзэмшиж байна",IF(G12&gt;=Нэгтгэл!$K$5,"Ахиж байна","Хөгжиж байна")))</f>
        <v/>
      </c>
    </row>
    <row r="13" ht="16" customHeight="1">
      <c r="A13" s="12" t="n">
        <v>7</v>
      </c>
      <c r="B13" s="13" t="inlineStr">
        <is>
          <t>Х-07</t>
        </is>
      </c>
      <c r="C13" s="12">
        <f>IF(COUNT('Мэдлэг'!D13:N13)=0,"",ROUND(COUNTIF('Мэдлэг'!D13:N13,1)/11*100,1))</f>
        <v/>
      </c>
      <c r="D13" s="12">
        <f>IF(COUNT('Чадвар'!D13:Y13)=0,"",ROUND(COUNTIF('Чадвар'!D13:Y13,1)/22*100,1))</f>
        <v/>
      </c>
      <c r="E13" s="12">
        <f>IF(COUNT('Төлөвшил'!D13:G13)=0,"",ROUND(COUNTIF('Төлөвшил'!D13:G13,1)/4*100,1))</f>
        <v/>
      </c>
      <c r="F13" s="12">
        <f>COUNTIF('Мэдлэг'!D13:N13,1)+COUNTIF('Чадвар'!D13:Y13,1)+COUNTIF('Төлөвшил'!D13:G13,1)</f>
        <v/>
      </c>
      <c r="G13" s="12">
        <f>IF((COUNT('Мэдлэг'!D13:N13)+COUNT('Чадвар'!D13:Y13)+COUNT('Төлөвшил'!D13:G13))=0,"",ROUND(F13/37*100,1))</f>
        <v/>
      </c>
      <c r="H13" s="14">
        <f>IF(G13="","",IF(G13&gt;=Нэгтгэл!$K$4,"Хангалттай эзэмшиж байна",IF(G13&gt;=Нэгтгэл!$K$5,"Ахиж байна","Хөгжиж байна")))</f>
        <v/>
      </c>
    </row>
    <row r="14" ht="16" customHeight="1">
      <c r="A14" s="12" t="n">
        <v>8</v>
      </c>
      <c r="B14" s="13" t="inlineStr">
        <is>
          <t>Х-08</t>
        </is>
      </c>
      <c r="C14" s="12">
        <f>IF(COUNT('Мэдлэг'!D14:N14)=0,"",ROUND(COUNTIF('Мэдлэг'!D14:N14,1)/11*100,1))</f>
        <v/>
      </c>
      <c r="D14" s="12">
        <f>IF(COUNT('Чадвар'!D14:Y14)=0,"",ROUND(COUNTIF('Чадвар'!D14:Y14,1)/22*100,1))</f>
        <v/>
      </c>
      <c r="E14" s="12">
        <f>IF(COUNT('Төлөвшил'!D14:G14)=0,"",ROUND(COUNTIF('Төлөвшил'!D14:G14,1)/4*100,1))</f>
        <v/>
      </c>
      <c r="F14" s="12">
        <f>COUNTIF('Мэдлэг'!D14:N14,1)+COUNTIF('Чадвар'!D14:Y14,1)+COUNTIF('Төлөвшил'!D14:G14,1)</f>
        <v/>
      </c>
      <c r="G14" s="12">
        <f>IF((COUNT('Мэдлэг'!D14:N14)+COUNT('Чадвар'!D14:Y14)+COUNT('Төлөвшил'!D14:G14))=0,"",ROUND(F14/37*100,1))</f>
        <v/>
      </c>
      <c r="H14" s="14">
        <f>IF(G14="","",IF(G14&gt;=Нэгтгэл!$K$4,"Хангалттай эзэмшиж байна",IF(G14&gt;=Нэгтгэл!$K$5,"Ахиж байна","Хөгжиж байна")))</f>
        <v/>
      </c>
    </row>
    <row r="15" ht="16" customHeight="1">
      <c r="A15" s="12" t="n">
        <v>9</v>
      </c>
      <c r="B15" s="13" t="inlineStr">
        <is>
          <t>Х-09</t>
        </is>
      </c>
      <c r="C15" s="12">
        <f>IF(COUNT('Мэдлэг'!D15:N15)=0,"",ROUND(COUNTIF('Мэдлэг'!D15:N15,1)/11*100,1))</f>
        <v/>
      </c>
      <c r="D15" s="12">
        <f>IF(COUNT('Чадвар'!D15:Y15)=0,"",ROUND(COUNTIF('Чадвар'!D15:Y15,1)/22*100,1))</f>
        <v/>
      </c>
      <c r="E15" s="12">
        <f>IF(COUNT('Төлөвшил'!D15:G15)=0,"",ROUND(COUNTIF('Төлөвшил'!D15:G15,1)/4*100,1))</f>
        <v/>
      </c>
      <c r="F15" s="12">
        <f>COUNTIF('Мэдлэг'!D15:N15,1)+COUNTIF('Чадвар'!D15:Y15,1)+COUNTIF('Төлөвшил'!D15:G15,1)</f>
        <v/>
      </c>
      <c r="G15" s="12">
        <f>IF((COUNT('Мэдлэг'!D15:N15)+COUNT('Чадвар'!D15:Y15)+COUNT('Төлөвшил'!D15:G15))=0,"",ROUND(F15/37*100,1))</f>
        <v/>
      </c>
      <c r="H15" s="14">
        <f>IF(G15="","",IF(G15&gt;=Нэгтгэл!$K$4,"Хангалттай эзэмшиж байна",IF(G15&gt;=Нэгтгэл!$K$5,"Ахиж байна","Хөгжиж байна")))</f>
        <v/>
      </c>
    </row>
    <row r="16" ht="16" customHeight="1">
      <c r="A16" s="12" t="n">
        <v>10</v>
      </c>
      <c r="B16" s="13" t="inlineStr">
        <is>
          <t>Х-10</t>
        </is>
      </c>
      <c r="C16" s="12">
        <f>IF(COUNT('Мэдлэг'!D16:N16)=0,"",ROUND(COUNTIF('Мэдлэг'!D16:N16,1)/11*100,1))</f>
        <v/>
      </c>
      <c r="D16" s="12">
        <f>IF(COUNT('Чадвар'!D16:Y16)=0,"",ROUND(COUNTIF('Чадвар'!D16:Y16,1)/22*100,1))</f>
        <v/>
      </c>
      <c r="E16" s="12">
        <f>IF(COUNT('Төлөвшил'!D16:G16)=0,"",ROUND(COUNTIF('Төлөвшил'!D16:G16,1)/4*100,1))</f>
        <v/>
      </c>
      <c r="F16" s="12">
        <f>COUNTIF('Мэдлэг'!D16:N16,1)+COUNTIF('Чадвар'!D16:Y16,1)+COUNTIF('Төлөвшил'!D16:G16,1)</f>
        <v/>
      </c>
      <c r="G16" s="12">
        <f>IF((COUNT('Мэдлэг'!D16:N16)+COUNT('Чадвар'!D16:Y16)+COUNT('Төлөвшил'!D16:G16))=0,"",ROUND(F16/37*100,1))</f>
        <v/>
      </c>
      <c r="H16" s="14">
        <f>IF(G16="","",IF(G16&gt;=Нэгтгэл!$K$4,"Хангалттай эзэмшиж байна",IF(G16&gt;=Нэгтгэл!$K$5,"Ахиж байна","Хөгжиж байна")))</f>
        <v/>
      </c>
    </row>
    <row r="17" ht="16" customHeight="1">
      <c r="A17" s="12" t="n">
        <v>11</v>
      </c>
      <c r="B17" s="13" t="inlineStr">
        <is>
          <t>Х-11</t>
        </is>
      </c>
      <c r="C17" s="12">
        <f>IF(COUNT('Мэдлэг'!D17:N17)=0,"",ROUND(COUNTIF('Мэдлэг'!D17:N17,1)/11*100,1))</f>
        <v/>
      </c>
      <c r="D17" s="12">
        <f>IF(COUNT('Чадвар'!D17:Y17)=0,"",ROUND(COUNTIF('Чадвар'!D17:Y17,1)/22*100,1))</f>
        <v/>
      </c>
      <c r="E17" s="12">
        <f>IF(COUNT('Төлөвшил'!D17:G17)=0,"",ROUND(COUNTIF('Төлөвшил'!D17:G17,1)/4*100,1))</f>
        <v/>
      </c>
      <c r="F17" s="12">
        <f>COUNTIF('Мэдлэг'!D17:N17,1)+COUNTIF('Чадвар'!D17:Y17,1)+COUNTIF('Төлөвшил'!D17:G17,1)</f>
        <v/>
      </c>
      <c r="G17" s="12">
        <f>IF((COUNT('Мэдлэг'!D17:N17)+COUNT('Чадвар'!D17:Y17)+COUNT('Төлөвшил'!D17:G17))=0,"",ROUND(F17/37*100,1))</f>
        <v/>
      </c>
      <c r="H17" s="14">
        <f>IF(G17="","",IF(G17&gt;=Нэгтгэл!$K$4,"Хангалттай эзэмшиж байна",IF(G17&gt;=Нэгтгэл!$K$5,"Ахиж байна","Хөгжиж байна")))</f>
        <v/>
      </c>
    </row>
    <row r="18" ht="16" customHeight="1">
      <c r="A18" s="12" t="n">
        <v>12</v>
      </c>
      <c r="B18" s="13" t="inlineStr">
        <is>
          <t>Х-12</t>
        </is>
      </c>
      <c r="C18" s="12">
        <f>IF(COUNT('Мэдлэг'!D18:N18)=0,"",ROUND(COUNTIF('Мэдлэг'!D18:N18,1)/11*100,1))</f>
        <v/>
      </c>
      <c r="D18" s="12">
        <f>IF(COUNT('Чадвар'!D18:Y18)=0,"",ROUND(COUNTIF('Чадвар'!D18:Y18,1)/22*100,1))</f>
        <v/>
      </c>
      <c r="E18" s="12">
        <f>IF(COUNT('Төлөвшил'!D18:G18)=0,"",ROUND(COUNTIF('Төлөвшил'!D18:G18,1)/4*100,1))</f>
        <v/>
      </c>
      <c r="F18" s="12">
        <f>COUNTIF('Мэдлэг'!D18:N18,1)+COUNTIF('Чадвар'!D18:Y18,1)+COUNTIF('Төлөвшил'!D18:G18,1)</f>
        <v/>
      </c>
      <c r="G18" s="12">
        <f>IF((COUNT('Мэдлэг'!D18:N18)+COUNT('Чадвар'!D18:Y18)+COUNT('Төлөвшил'!D18:G18))=0,"",ROUND(F18/37*100,1))</f>
        <v/>
      </c>
      <c r="H18" s="14">
        <f>IF(G18="","",IF(G18&gt;=Нэгтгэл!$K$4,"Хангалттай эзэмшиж байна",IF(G18&gt;=Нэгтгэл!$K$5,"Ахиж байна","Хөгжиж байна")))</f>
        <v/>
      </c>
    </row>
    <row r="19" ht="16" customHeight="1">
      <c r="A19" s="12" t="n">
        <v>13</v>
      </c>
      <c r="B19" s="13" t="inlineStr">
        <is>
          <t>Х-13</t>
        </is>
      </c>
      <c r="C19" s="12">
        <f>IF(COUNT('Мэдлэг'!D19:N19)=0,"",ROUND(COUNTIF('Мэдлэг'!D19:N19,1)/11*100,1))</f>
        <v/>
      </c>
      <c r="D19" s="12">
        <f>IF(COUNT('Чадвар'!D19:Y19)=0,"",ROUND(COUNTIF('Чадвар'!D19:Y19,1)/22*100,1))</f>
        <v/>
      </c>
      <c r="E19" s="12">
        <f>IF(COUNT('Төлөвшил'!D19:G19)=0,"",ROUND(COUNTIF('Төлөвшил'!D19:G19,1)/4*100,1))</f>
        <v/>
      </c>
      <c r="F19" s="12">
        <f>COUNTIF('Мэдлэг'!D19:N19,1)+COUNTIF('Чадвар'!D19:Y19,1)+COUNTIF('Төлөвшил'!D19:G19,1)</f>
        <v/>
      </c>
      <c r="G19" s="12">
        <f>IF((COUNT('Мэдлэг'!D19:N19)+COUNT('Чадвар'!D19:Y19)+COUNT('Төлөвшил'!D19:G19))=0,"",ROUND(F19/37*100,1))</f>
        <v/>
      </c>
      <c r="H19" s="14">
        <f>IF(G19="","",IF(G19&gt;=Нэгтгэл!$K$4,"Хангалттай эзэмшиж байна",IF(G19&gt;=Нэгтгэл!$K$5,"Ахиж байна","Хөгжиж байна")))</f>
        <v/>
      </c>
    </row>
    <row r="20" ht="16" customHeight="1">
      <c r="A20" s="12" t="n">
        <v>14</v>
      </c>
      <c r="B20" s="13" t="inlineStr">
        <is>
          <t>Х-14</t>
        </is>
      </c>
      <c r="C20" s="12">
        <f>IF(COUNT('Мэдлэг'!D20:N20)=0,"",ROUND(COUNTIF('Мэдлэг'!D20:N20,1)/11*100,1))</f>
        <v/>
      </c>
      <c r="D20" s="12">
        <f>IF(COUNT('Чадвар'!D20:Y20)=0,"",ROUND(COUNTIF('Чадвар'!D20:Y20,1)/22*100,1))</f>
        <v/>
      </c>
      <c r="E20" s="12">
        <f>IF(COUNT('Төлөвшил'!D20:G20)=0,"",ROUND(COUNTIF('Төлөвшил'!D20:G20,1)/4*100,1))</f>
        <v/>
      </c>
      <c r="F20" s="12">
        <f>COUNTIF('Мэдлэг'!D20:N20,1)+COUNTIF('Чадвар'!D20:Y20,1)+COUNTIF('Төлөвшил'!D20:G20,1)</f>
        <v/>
      </c>
      <c r="G20" s="12">
        <f>IF((COUNT('Мэдлэг'!D20:N20)+COUNT('Чадвар'!D20:Y20)+COUNT('Төлөвшил'!D20:G20))=0,"",ROUND(F20/37*100,1))</f>
        <v/>
      </c>
      <c r="H20" s="14">
        <f>IF(G20="","",IF(G20&gt;=Нэгтгэл!$K$4,"Хангалттай эзэмшиж байна",IF(G20&gt;=Нэгтгэл!$K$5,"Ахиж байна","Хөгжиж байна")))</f>
        <v/>
      </c>
    </row>
    <row r="21" ht="16" customHeight="1">
      <c r="A21" s="12" t="n">
        <v>15</v>
      </c>
      <c r="B21" s="13" t="inlineStr">
        <is>
          <t>Х-15</t>
        </is>
      </c>
      <c r="C21" s="12">
        <f>IF(COUNT('Мэдлэг'!D21:N21)=0,"",ROUND(COUNTIF('Мэдлэг'!D21:N21,1)/11*100,1))</f>
        <v/>
      </c>
      <c r="D21" s="12">
        <f>IF(COUNT('Чадвар'!D21:Y21)=0,"",ROUND(COUNTIF('Чадвар'!D21:Y21,1)/22*100,1))</f>
        <v/>
      </c>
      <c r="E21" s="12">
        <f>IF(COUNT('Төлөвшил'!D21:G21)=0,"",ROUND(COUNTIF('Төлөвшил'!D21:G21,1)/4*100,1))</f>
        <v/>
      </c>
      <c r="F21" s="12">
        <f>COUNTIF('Мэдлэг'!D21:N21,1)+COUNTIF('Чадвар'!D21:Y21,1)+COUNTIF('Төлөвшил'!D21:G21,1)</f>
        <v/>
      </c>
      <c r="G21" s="12">
        <f>IF((COUNT('Мэдлэг'!D21:N21)+COUNT('Чадвар'!D21:Y21)+COUNT('Төлөвшил'!D21:G21))=0,"",ROUND(F21/37*100,1))</f>
        <v/>
      </c>
      <c r="H21" s="14">
        <f>IF(G21="","",IF(G21&gt;=Нэгтгэл!$K$4,"Хангалттай эзэмшиж байна",IF(G21&gt;=Нэгтгэл!$K$5,"Ахиж байна","Хөгжиж байна")))</f>
        <v/>
      </c>
    </row>
    <row r="22" ht="16" customHeight="1">
      <c r="A22" s="12" t="n">
        <v>16</v>
      </c>
      <c r="B22" s="13" t="inlineStr">
        <is>
          <t>Х-16</t>
        </is>
      </c>
      <c r="C22" s="12">
        <f>IF(COUNT('Мэдлэг'!D22:N22)=0,"",ROUND(COUNTIF('Мэдлэг'!D22:N22,1)/11*100,1))</f>
        <v/>
      </c>
      <c r="D22" s="12">
        <f>IF(COUNT('Чадвар'!D22:Y22)=0,"",ROUND(COUNTIF('Чадвар'!D22:Y22,1)/22*100,1))</f>
        <v/>
      </c>
      <c r="E22" s="12">
        <f>IF(COUNT('Төлөвшил'!D22:G22)=0,"",ROUND(COUNTIF('Төлөвшил'!D22:G22,1)/4*100,1))</f>
        <v/>
      </c>
      <c r="F22" s="12">
        <f>COUNTIF('Мэдлэг'!D22:N22,1)+COUNTIF('Чадвар'!D22:Y22,1)+COUNTIF('Төлөвшил'!D22:G22,1)</f>
        <v/>
      </c>
      <c r="G22" s="12">
        <f>IF((COUNT('Мэдлэг'!D22:N22)+COUNT('Чадвар'!D22:Y22)+COUNT('Төлөвшил'!D22:G22))=0,"",ROUND(F22/37*100,1))</f>
        <v/>
      </c>
      <c r="H22" s="14">
        <f>IF(G22="","",IF(G22&gt;=Нэгтгэл!$K$4,"Хангалттай эзэмшиж байна",IF(G22&gt;=Нэгтгэл!$K$5,"Ахиж байна","Хөгжиж байна")))</f>
        <v/>
      </c>
    </row>
    <row r="23" ht="16" customHeight="1">
      <c r="A23" s="12" t="n">
        <v>17</v>
      </c>
      <c r="B23" s="13" t="inlineStr">
        <is>
          <t>Х-17</t>
        </is>
      </c>
      <c r="C23" s="12">
        <f>IF(COUNT('Мэдлэг'!D23:N23)=0,"",ROUND(COUNTIF('Мэдлэг'!D23:N23,1)/11*100,1))</f>
        <v/>
      </c>
      <c r="D23" s="12">
        <f>IF(COUNT('Чадвар'!D23:Y23)=0,"",ROUND(COUNTIF('Чадвар'!D23:Y23,1)/22*100,1))</f>
        <v/>
      </c>
      <c r="E23" s="12">
        <f>IF(COUNT('Төлөвшил'!D23:G23)=0,"",ROUND(COUNTIF('Төлөвшил'!D23:G23,1)/4*100,1))</f>
        <v/>
      </c>
      <c r="F23" s="12">
        <f>COUNTIF('Мэдлэг'!D23:N23,1)+COUNTIF('Чадвар'!D23:Y23,1)+COUNTIF('Төлөвшил'!D23:G23,1)</f>
        <v/>
      </c>
      <c r="G23" s="12">
        <f>IF((COUNT('Мэдлэг'!D23:N23)+COUNT('Чадвар'!D23:Y23)+COUNT('Төлөвшил'!D23:G23))=0,"",ROUND(F23/37*100,1))</f>
        <v/>
      </c>
      <c r="H23" s="14">
        <f>IF(G23="","",IF(G23&gt;=Нэгтгэл!$K$4,"Хангалттай эзэмшиж байна",IF(G23&gt;=Нэгтгэл!$K$5,"Ахиж байна","Хөгжиж байна")))</f>
        <v/>
      </c>
    </row>
    <row r="24" ht="16" customHeight="1">
      <c r="A24" s="12" t="n">
        <v>18</v>
      </c>
      <c r="B24" s="13" t="inlineStr">
        <is>
          <t>Х-18</t>
        </is>
      </c>
      <c r="C24" s="12">
        <f>IF(COUNT('Мэдлэг'!D24:N24)=0,"",ROUND(COUNTIF('Мэдлэг'!D24:N24,1)/11*100,1))</f>
        <v/>
      </c>
      <c r="D24" s="12">
        <f>IF(COUNT('Чадвар'!D24:Y24)=0,"",ROUND(COUNTIF('Чадвар'!D24:Y24,1)/22*100,1))</f>
        <v/>
      </c>
      <c r="E24" s="12">
        <f>IF(COUNT('Төлөвшил'!D24:G24)=0,"",ROUND(COUNTIF('Төлөвшил'!D24:G24,1)/4*100,1))</f>
        <v/>
      </c>
      <c r="F24" s="12">
        <f>COUNTIF('Мэдлэг'!D24:N24,1)+COUNTIF('Чадвар'!D24:Y24,1)+COUNTIF('Төлөвшил'!D24:G24,1)</f>
        <v/>
      </c>
      <c r="G24" s="12">
        <f>IF((COUNT('Мэдлэг'!D24:N24)+COUNT('Чадвар'!D24:Y24)+COUNT('Төлөвшил'!D24:G24))=0,"",ROUND(F24/37*100,1))</f>
        <v/>
      </c>
      <c r="H24" s="14">
        <f>IF(G24="","",IF(G24&gt;=Нэгтгэл!$K$4,"Хангалттай эзэмшиж байна",IF(G24&gt;=Нэгтгэл!$K$5,"Ахиж байна","Хөгжиж байна")))</f>
        <v/>
      </c>
    </row>
    <row r="25" ht="16" customHeight="1">
      <c r="A25" s="12" t="n">
        <v>19</v>
      </c>
      <c r="B25" s="13" t="inlineStr">
        <is>
          <t>Х-19</t>
        </is>
      </c>
      <c r="C25" s="12">
        <f>IF(COUNT('Мэдлэг'!D25:N25)=0,"",ROUND(COUNTIF('Мэдлэг'!D25:N25,1)/11*100,1))</f>
        <v/>
      </c>
      <c r="D25" s="12">
        <f>IF(COUNT('Чадвар'!D25:Y25)=0,"",ROUND(COUNTIF('Чадвар'!D25:Y25,1)/22*100,1))</f>
        <v/>
      </c>
      <c r="E25" s="12">
        <f>IF(COUNT('Төлөвшил'!D25:G25)=0,"",ROUND(COUNTIF('Төлөвшил'!D25:G25,1)/4*100,1))</f>
        <v/>
      </c>
      <c r="F25" s="12">
        <f>COUNTIF('Мэдлэг'!D25:N25,1)+COUNTIF('Чадвар'!D25:Y25,1)+COUNTIF('Төлөвшил'!D25:G25,1)</f>
        <v/>
      </c>
      <c r="G25" s="12">
        <f>IF((COUNT('Мэдлэг'!D25:N25)+COUNT('Чадвар'!D25:Y25)+COUNT('Төлөвшил'!D25:G25))=0,"",ROUND(F25/37*100,1))</f>
        <v/>
      </c>
      <c r="H25" s="14">
        <f>IF(G25="","",IF(G25&gt;=Нэгтгэл!$K$4,"Хангалттай эзэмшиж байна",IF(G25&gt;=Нэгтгэл!$K$5,"Ахиж байна","Хөгжиж байна")))</f>
        <v/>
      </c>
    </row>
    <row r="26" ht="16" customHeight="1">
      <c r="A26" s="12" t="n">
        <v>20</v>
      </c>
      <c r="B26" s="13" t="inlineStr">
        <is>
          <t>Х-20</t>
        </is>
      </c>
      <c r="C26" s="12">
        <f>IF(COUNT('Мэдлэг'!D26:N26)=0,"",ROUND(COUNTIF('Мэдлэг'!D26:N26,1)/11*100,1))</f>
        <v/>
      </c>
      <c r="D26" s="12">
        <f>IF(COUNT('Чадвар'!D26:Y26)=0,"",ROUND(COUNTIF('Чадвар'!D26:Y26,1)/22*100,1))</f>
        <v/>
      </c>
      <c r="E26" s="12">
        <f>IF(COUNT('Төлөвшил'!D26:G26)=0,"",ROUND(COUNTIF('Төлөвшил'!D26:G26,1)/4*100,1))</f>
        <v/>
      </c>
      <c r="F26" s="12">
        <f>COUNTIF('Мэдлэг'!D26:N26,1)+COUNTIF('Чадвар'!D26:Y26,1)+COUNTIF('Төлөвшил'!D26:G26,1)</f>
        <v/>
      </c>
      <c r="G26" s="12">
        <f>IF((COUNT('Мэдлэг'!D26:N26)+COUNT('Чадвар'!D26:Y26)+COUNT('Төлөвшил'!D26:G26))=0,"",ROUND(F26/37*100,1))</f>
        <v/>
      </c>
      <c r="H26" s="14">
        <f>IF(G26="","",IF(G26&gt;=Нэгтгэл!$K$4,"Хангалттай эзэмшиж байна",IF(G26&gt;=Нэгтгэл!$K$5,"Ахиж байна","Хөгжиж байна")))</f>
        <v/>
      </c>
    </row>
    <row r="27" ht="16" customHeight="1">
      <c r="A27" s="12" t="n">
        <v>21</v>
      </c>
      <c r="B27" s="13" t="inlineStr">
        <is>
          <t>Х-21</t>
        </is>
      </c>
      <c r="C27" s="12">
        <f>IF(COUNT('Мэдлэг'!D27:N27)=0,"",ROUND(COUNTIF('Мэдлэг'!D27:N27,1)/11*100,1))</f>
        <v/>
      </c>
      <c r="D27" s="12">
        <f>IF(COUNT('Чадвар'!D27:Y27)=0,"",ROUND(COUNTIF('Чадвар'!D27:Y27,1)/22*100,1))</f>
        <v/>
      </c>
      <c r="E27" s="12">
        <f>IF(COUNT('Төлөвшил'!D27:G27)=0,"",ROUND(COUNTIF('Төлөвшил'!D27:G27,1)/4*100,1))</f>
        <v/>
      </c>
      <c r="F27" s="12">
        <f>COUNTIF('Мэдлэг'!D27:N27,1)+COUNTIF('Чадвар'!D27:Y27,1)+COUNTIF('Төлөвшил'!D27:G27,1)</f>
        <v/>
      </c>
      <c r="G27" s="12">
        <f>IF((COUNT('Мэдлэг'!D27:N27)+COUNT('Чадвар'!D27:Y27)+COUNT('Төлөвшил'!D27:G27))=0,"",ROUND(F27/37*100,1))</f>
        <v/>
      </c>
      <c r="H27" s="14">
        <f>IF(G27="","",IF(G27&gt;=Нэгтгэл!$K$4,"Хангалттай эзэмшиж байна",IF(G27&gt;=Нэгтгэл!$K$5,"Ахиж байна","Хөгжиж байна")))</f>
        <v/>
      </c>
    </row>
    <row r="28" ht="16" customHeight="1">
      <c r="A28" s="12" t="n">
        <v>22</v>
      </c>
      <c r="B28" s="13" t="inlineStr">
        <is>
          <t>Х-22</t>
        </is>
      </c>
      <c r="C28" s="12">
        <f>IF(COUNT('Мэдлэг'!D28:N28)=0,"",ROUND(COUNTIF('Мэдлэг'!D28:N28,1)/11*100,1))</f>
        <v/>
      </c>
      <c r="D28" s="12">
        <f>IF(COUNT('Чадвар'!D28:Y28)=0,"",ROUND(COUNTIF('Чадвар'!D28:Y28,1)/22*100,1))</f>
        <v/>
      </c>
      <c r="E28" s="12">
        <f>IF(COUNT('Төлөвшил'!D28:G28)=0,"",ROUND(COUNTIF('Төлөвшил'!D28:G28,1)/4*100,1))</f>
        <v/>
      </c>
      <c r="F28" s="12">
        <f>COUNTIF('Мэдлэг'!D28:N28,1)+COUNTIF('Чадвар'!D28:Y28,1)+COUNTIF('Төлөвшил'!D28:G28,1)</f>
        <v/>
      </c>
      <c r="G28" s="12">
        <f>IF((COUNT('Мэдлэг'!D28:N28)+COUNT('Чадвар'!D28:Y28)+COUNT('Төлөвшил'!D28:G28))=0,"",ROUND(F28/37*100,1))</f>
        <v/>
      </c>
      <c r="H28" s="14">
        <f>IF(G28="","",IF(G28&gt;=Нэгтгэл!$K$4,"Хангалттай эзэмшиж байна",IF(G28&gt;=Нэгтгэл!$K$5,"Ахиж байна","Хөгжиж байна")))</f>
        <v/>
      </c>
    </row>
    <row r="29" ht="16" customHeight="1">
      <c r="A29" s="12" t="n">
        <v>23</v>
      </c>
      <c r="B29" s="13" t="inlineStr">
        <is>
          <t>Х-23</t>
        </is>
      </c>
      <c r="C29" s="12">
        <f>IF(COUNT('Мэдлэг'!D29:N29)=0,"",ROUND(COUNTIF('Мэдлэг'!D29:N29,1)/11*100,1))</f>
        <v/>
      </c>
      <c r="D29" s="12">
        <f>IF(COUNT('Чадвар'!D29:Y29)=0,"",ROUND(COUNTIF('Чадвар'!D29:Y29,1)/22*100,1))</f>
        <v/>
      </c>
      <c r="E29" s="12">
        <f>IF(COUNT('Төлөвшил'!D29:G29)=0,"",ROUND(COUNTIF('Төлөвшил'!D29:G29,1)/4*100,1))</f>
        <v/>
      </c>
      <c r="F29" s="12">
        <f>COUNTIF('Мэдлэг'!D29:N29,1)+COUNTIF('Чадвар'!D29:Y29,1)+COUNTIF('Төлөвшил'!D29:G29,1)</f>
        <v/>
      </c>
      <c r="G29" s="12">
        <f>IF((COUNT('Мэдлэг'!D29:N29)+COUNT('Чадвар'!D29:Y29)+COUNT('Төлөвшил'!D29:G29))=0,"",ROUND(F29/37*100,1))</f>
        <v/>
      </c>
      <c r="H29" s="14">
        <f>IF(G29="","",IF(G29&gt;=Нэгтгэл!$K$4,"Хангалттай эзэмшиж байна",IF(G29&gt;=Нэгтгэл!$K$5,"Ахиж байна","Хөгжиж байна")))</f>
        <v/>
      </c>
    </row>
    <row r="30" ht="16" customHeight="1">
      <c r="A30" s="12" t="n">
        <v>24</v>
      </c>
      <c r="B30" s="13" t="inlineStr">
        <is>
          <t>Х-24</t>
        </is>
      </c>
      <c r="C30" s="12">
        <f>IF(COUNT('Мэдлэг'!D30:N30)=0,"",ROUND(COUNTIF('Мэдлэг'!D30:N30,1)/11*100,1))</f>
        <v/>
      </c>
      <c r="D30" s="12">
        <f>IF(COUNT('Чадвар'!D30:Y30)=0,"",ROUND(COUNTIF('Чадвар'!D30:Y30,1)/22*100,1))</f>
        <v/>
      </c>
      <c r="E30" s="12">
        <f>IF(COUNT('Төлөвшил'!D30:G30)=0,"",ROUND(COUNTIF('Төлөвшил'!D30:G30,1)/4*100,1))</f>
        <v/>
      </c>
      <c r="F30" s="12">
        <f>COUNTIF('Мэдлэг'!D30:N30,1)+COUNTIF('Чадвар'!D30:Y30,1)+COUNTIF('Төлөвшил'!D30:G30,1)</f>
        <v/>
      </c>
      <c r="G30" s="12">
        <f>IF((COUNT('Мэдлэг'!D30:N30)+COUNT('Чадвар'!D30:Y30)+COUNT('Төлөвшил'!D30:G30))=0,"",ROUND(F30/37*100,1))</f>
        <v/>
      </c>
      <c r="H30" s="14">
        <f>IF(G30="","",IF(G30&gt;=Нэгтгэл!$K$4,"Хангалттай эзэмшиж байна",IF(G30&gt;=Нэгтгэл!$K$5,"Ахиж байна","Хөгжиж байна")))</f>
        <v/>
      </c>
    </row>
    <row r="31" ht="16" customHeight="1">
      <c r="A31" s="12" t="n">
        <v>25</v>
      </c>
      <c r="B31" s="13" t="inlineStr">
        <is>
          <t>Х-25</t>
        </is>
      </c>
      <c r="C31" s="12">
        <f>IF(COUNT('Мэдлэг'!D31:N31)=0,"",ROUND(COUNTIF('Мэдлэг'!D31:N31,1)/11*100,1))</f>
        <v/>
      </c>
      <c r="D31" s="12">
        <f>IF(COUNT('Чадвар'!D31:Y31)=0,"",ROUND(COUNTIF('Чадвар'!D31:Y31,1)/22*100,1))</f>
        <v/>
      </c>
      <c r="E31" s="12">
        <f>IF(COUNT('Төлөвшил'!D31:G31)=0,"",ROUND(COUNTIF('Төлөвшил'!D31:G31,1)/4*100,1))</f>
        <v/>
      </c>
      <c r="F31" s="12">
        <f>COUNTIF('Мэдлэг'!D31:N31,1)+COUNTIF('Чадвар'!D31:Y31,1)+COUNTIF('Төлөвшил'!D31:G31,1)</f>
        <v/>
      </c>
      <c r="G31" s="12">
        <f>IF((COUNT('Мэдлэг'!D31:N31)+COUNT('Чадвар'!D31:Y31)+COUNT('Төлөвшил'!D31:G31))=0,"",ROUND(F31/37*100,1))</f>
        <v/>
      </c>
      <c r="H31" s="14">
        <f>IF(G31="","",IF(G31&gt;=Нэгтгэл!$K$4,"Хангалттай эзэмшиж байна",IF(G31&gt;=Нэгтгэл!$K$5,"Ахиж байна","Хөгжиж байна")))</f>
        <v/>
      </c>
    </row>
    <row r="32" ht="16" customHeight="1">
      <c r="A32" s="12" t="n">
        <v>26</v>
      </c>
      <c r="B32" s="13" t="inlineStr">
        <is>
          <t>Х-26</t>
        </is>
      </c>
      <c r="C32" s="12">
        <f>IF(COUNT('Мэдлэг'!D32:N32)=0,"",ROUND(COUNTIF('Мэдлэг'!D32:N32,1)/11*100,1))</f>
        <v/>
      </c>
      <c r="D32" s="12">
        <f>IF(COUNT('Чадвар'!D32:Y32)=0,"",ROUND(COUNTIF('Чадвар'!D32:Y32,1)/22*100,1))</f>
        <v/>
      </c>
      <c r="E32" s="12">
        <f>IF(COUNT('Төлөвшил'!D32:G32)=0,"",ROUND(COUNTIF('Төлөвшил'!D32:G32,1)/4*100,1))</f>
        <v/>
      </c>
      <c r="F32" s="12">
        <f>COUNTIF('Мэдлэг'!D32:N32,1)+COUNTIF('Чадвар'!D32:Y32,1)+COUNTIF('Төлөвшил'!D32:G32,1)</f>
        <v/>
      </c>
      <c r="G32" s="12">
        <f>IF((COUNT('Мэдлэг'!D32:N32)+COUNT('Чадвар'!D32:Y32)+COUNT('Төлөвшил'!D32:G32))=0,"",ROUND(F32/37*100,1))</f>
        <v/>
      </c>
      <c r="H32" s="14">
        <f>IF(G32="","",IF(G32&gt;=Нэгтгэл!$K$4,"Хангалттай эзэмшиж байна",IF(G32&gt;=Нэгтгэл!$K$5,"Ахиж байна","Хөгжиж байна")))</f>
        <v/>
      </c>
    </row>
    <row r="33" ht="16" customHeight="1">
      <c r="A33" s="12" t="n">
        <v>27</v>
      </c>
      <c r="B33" s="13" t="inlineStr">
        <is>
          <t>Х-27</t>
        </is>
      </c>
      <c r="C33" s="12">
        <f>IF(COUNT('Мэдлэг'!D33:N33)=0,"",ROUND(COUNTIF('Мэдлэг'!D33:N33,1)/11*100,1))</f>
        <v/>
      </c>
      <c r="D33" s="12">
        <f>IF(COUNT('Чадвар'!D33:Y33)=0,"",ROUND(COUNTIF('Чадвар'!D33:Y33,1)/22*100,1))</f>
        <v/>
      </c>
      <c r="E33" s="12">
        <f>IF(COUNT('Төлөвшил'!D33:G33)=0,"",ROUND(COUNTIF('Төлөвшил'!D33:G33,1)/4*100,1))</f>
        <v/>
      </c>
      <c r="F33" s="12">
        <f>COUNTIF('Мэдлэг'!D33:N33,1)+COUNTIF('Чадвар'!D33:Y33,1)+COUNTIF('Төлөвшил'!D33:G33,1)</f>
        <v/>
      </c>
      <c r="G33" s="12">
        <f>IF((COUNT('Мэдлэг'!D33:N33)+COUNT('Чадвар'!D33:Y33)+COUNT('Төлөвшил'!D33:G33))=0,"",ROUND(F33/37*100,1))</f>
        <v/>
      </c>
      <c r="H33" s="14">
        <f>IF(G33="","",IF(G33&gt;=Нэгтгэл!$K$4,"Хангалттай эзэмшиж байна",IF(G33&gt;=Нэгтгэл!$K$5,"Ахиж байна","Хөгжиж байна")))</f>
        <v/>
      </c>
    </row>
    <row r="34" ht="16" customHeight="1">
      <c r="A34" s="12" t="n">
        <v>28</v>
      </c>
      <c r="B34" s="13" t="inlineStr">
        <is>
          <t>Х-28</t>
        </is>
      </c>
      <c r="C34" s="12">
        <f>IF(COUNT('Мэдлэг'!D34:N34)=0,"",ROUND(COUNTIF('Мэдлэг'!D34:N34,1)/11*100,1))</f>
        <v/>
      </c>
      <c r="D34" s="12">
        <f>IF(COUNT('Чадвар'!D34:Y34)=0,"",ROUND(COUNTIF('Чадвар'!D34:Y34,1)/22*100,1))</f>
        <v/>
      </c>
      <c r="E34" s="12">
        <f>IF(COUNT('Төлөвшил'!D34:G34)=0,"",ROUND(COUNTIF('Төлөвшил'!D34:G34,1)/4*100,1))</f>
        <v/>
      </c>
      <c r="F34" s="12">
        <f>COUNTIF('Мэдлэг'!D34:N34,1)+COUNTIF('Чадвар'!D34:Y34,1)+COUNTIF('Төлөвшил'!D34:G34,1)</f>
        <v/>
      </c>
      <c r="G34" s="12">
        <f>IF((COUNT('Мэдлэг'!D34:N34)+COUNT('Чадвар'!D34:Y34)+COUNT('Төлөвшил'!D34:G34))=0,"",ROUND(F34/37*100,1))</f>
        <v/>
      </c>
      <c r="H34" s="14">
        <f>IF(G34="","",IF(G34&gt;=Нэгтгэл!$K$4,"Хангалттай эзэмшиж байна",IF(G34&gt;=Нэгтгэл!$K$5,"Ахиж байна","Хөгжиж байна")))</f>
        <v/>
      </c>
    </row>
    <row r="35" ht="16" customHeight="1">
      <c r="A35" s="12" t="n">
        <v>29</v>
      </c>
      <c r="B35" s="13" t="inlineStr">
        <is>
          <t>Х-29</t>
        </is>
      </c>
      <c r="C35" s="12">
        <f>IF(COUNT('Мэдлэг'!D35:N35)=0,"",ROUND(COUNTIF('Мэдлэг'!D35:N35,1)/11*100,1))</f>
        <v/>
      </c>
      <c r="D35" s="12">
        <f>IF(COUNT('Чадвар'!D35:Y35)=0,"",ROUND(COUNTIF('Чадвар'!D35:Y35,1)/22*100,1))</f>
        <v/>
      </c>
      <c r="E35" s="12">
        <f>IF(COUNT('Төлөвшил'!D35:G35)=0,"",ROUND(COUNTIF('Төлөвшил'!D35:G35,1)/4*100,1))</f>
        <v/>
      </c>
      <c r="F35" s="12">
        <f>COUNTIF('Мэдлэг'!D35:N35,1)+COUNTIF('Чадвар'!D35:Y35,1)+COUNTIF('Төлөвшил'!D35:G35,1)</f>
        <v/>
      </c>
      <c r="G35" s="12">
        <f>IF((COUNT('Мэдлэг'!D35:N35)+COUNT('Чадвар'!D35:Y35)+COUNT('Төлөвшил'!D35:G35))=0,"",ROUND(F35/37*100,1))</f>
        <v/>
      </c>
      <c r="H35" s="14">
        <f>IF(G35="","",IF(G35&gt;=Нэгтгэл!$K$4,"Хангалттай эзэмшиж байна",IF(G35&gt;=Нэгтгэл!$K$5,"Ахиж байна","Хөгжиж байна")))</f>
        <v/>
      </c>
    </row>
    <row r="36" ht="16" customHeight="1">
      <c r="A36" s="12" t="n">
        <v>30</v>
      </c>
      <c r="B36" s="13" t="inlineStr">
        <is>
          <t>Х-30</t>
        </is>
      </c>
      <c r="C36" s="12">
        <f>IF(COUNT('Мэдлэг'!D36:N36)=0,"",ROUND(COUNTIF('Мэдлэг'!D36:N36,1)/11*100,1))</f>
        <v/>
      </c>
      <c r="D36" s="12">
        <f>IF(COUNT('Чадвар'!D36:Y36)=0,"",ROUND(COUNTIF('Чадвар'!D36:Y36,1)/22*100,1))</f>
        <v/>
      </c>
      <c r="E36" s="12">
        <f>IF(COUNT('Төлөвшил'!D36:G36)=0,"",ROUND(COUNTIF('Төлөвшил'!D36:G36,1)/4*100,1))</f>
        <v/>
      </c>
      <c r="F36" s="12">
        <f>COUNTIF('Мэдлэг'!D36:N36,1)+COUNTIF('Чадвар'!D36:Y36,1)+COUNTIF('Төлөвшил'!D36:G36,1)</f>
        <v/>
      </c>
      <c r="G36" s="12">
        <f>IF((COUNT('Мэдлэг'!D36:N36)+COUNT('Чадвар'!D36:Y36)+COUNT('Төлөвшил'!D36:G36))=0,"",ROUND(F36/37*100,1))</f>
        <v/>
      </c>
      <c r="H36" s="14">
        <f>IF(G36="","",IF(G36&gt;=Нэгтгэл!$K$4,"Хангалттай эзэмшиж байна",IF(G36&gt;=Нэгтгэл!$K$5,"Ахиж байна","Хөгжиж байна")))</f>
        <v/>
      </c>
    </row>
    <row r="37" ht="16" customHeight="1">
      <c r="A37" s="12" t="n">
        <v>31</v>
      </c>
      <c r="B37" s="13" t="inlineStr">
        <is>
          <t>Х-31</t>
        </is>
      </c>
      <c r="C37" s="12">
        <f>IF(COUNT('Мэдлэг'!D37:N37)=0,"",ROUND(COUNTIF('Мэдлэг'!D37:N37,1)/11*100,1))</f>
        <v/>
      </c>
      <c r="D37" s="12">
        <f>IF(COUNT('Чадвар'!D37:Y37)=0,"",ROUND(COUNTIF('Чадвар'!D37:Y37,1)/22*100,1))</f>
        <v/>
      </c>
      <c r="E37" s="12">
        <f>IF(COUNT('Төлөвшил'!D37:G37)=0,"",ROUND(COUNTIF('Төлөвшил'!D37:G37,1)/4*100,1))</f>
        <v/>
      </c>
      <c r="F37" s="12">
        <f>COUNTIF('Мэдлэг'!D37:N37,1)+COUNTIF('Чадвар'!D37:Y37,1)+COUNTIF('Төлөвшил'!D37:G37,1)</f>
        <v/>
      </c>
      <c r="G37" s="12">
        <f>IF((COUNT('Мэдлэг'!D37:N37)+COUNT('Чадвар'!D37:Y37)+COUNT('Төлөвшил'!D37:G37))=0,"",ROUND(F37/37*100,1))</f>
        <v/>
      </c>
      <c r="H37" s="14">
        <f>IF(G37="","",IF(G37&gt;=Нэгтгэл!$K$4,"Хангалттай эзэмшиж байна",IF(G37&gt;=Нэгтгэл!$K$5,"Ахиж байна","Хөгжиж байна")))</f>
        <v/>
      </c>
    </row>
    <row r="38">
      <c r="A38" s="5" t="inlineStr">
        <is>
          <t>Бүлгийн дундаж хувь</t>
        </is>
      </c>
      <c r="B38" s="15" t="n"/>
      <c r="C38" s="5">
        <f>IFERROR(ROUND(AVERAGE(C7:C37),1),"")</f>
        <v/>
      </c>
      <c r="D38" s="5">
        <f>IFERROR(ROUND(AVERAGE(D7:D37),1),"")</f>
        <v/>
      </c>
      <c r="E38" s="5">
        <f>IFERROR(ROUND(AVERAGE(E7:E37),1),"")</f>
        <v/>
      </c>
      <c r="F38" s="16" t="inlineStr"/>
      <c r="G38" s="5">
        <f>IFERROR(ROUND(AVERAGE(G7:G37),1),"")</f>
        <v/>
      </c>
      <c r="H38" s="16" t="inlineStr"/>
    </row>
    <row r="39">
      <c r="A39" s="17" t="inlineStr">
        <is>
          <t>Хангалттай эзэмшиж байна (тоо)</t>
        </is>
      </c>
      <c r="B39" s="15" t="n"/>
      <c r="C39" s="5">
        <f>COUNTIFS(C7:C37,"&gt;="&amp;Нэгтгэл!$K$4)</f>
        <v/>
      </c>
      <c r="D39" s="5">
        <f>COUNTIFS(D7:D37,"&gt;="&amp;Нэгтгэл!$K$4)</f>
        <v/>
      </c>
      <c r="E39" s="5">
        <f>COUNTIFS(E7:E37,"&gt;="&amp;Нэгтгэл!$K$4)</f>
        <v/>
      </c>
      <c r="F39" s="16" t="inlineStr"/>
      <c r="G39" s="5">
        <f>COUNTIFS(G7:G37,"&gt;="&amp;Нэгтгэл!$K$4)</f>
        <v/>
      </c>
      <c r="H39" s="5">
        <f>COUNTIF(H7:H37,"Хангалттай эзэмшиж байна")</f>
        <v/>
      </c>
    </row>
    <row r="40">
      <c r="A40" s="17" t="inlineStr">
        <is>
          <t>Ахиж байна (тоо)</t>
        </is>
      </c>
      <c r="B40" s="15" t="n"/>
      <c r="C40" s="5">
        <f>COUNTIFS(C7:C37,"&gt;="&amp;Нэгтгэл!$K$5,C7:C37,"&lt;"&amp;Нэгтгэл!$K$4)</f>
        <v/>
      </c>
      <c r="D40" s="5">
        <f>COUNTIFS(D7:D37,"&gt;="&amp;Нэгтгэл!$K$5,D7:D37,"&lt;"&amp;Нэгтгэл!$K$4)</f>
        <v/>
      </c>
      <c r="E40" s="5">
        <f>COUNTIFS(E7:E37,"&gt;="&amp;Нэгтгэл!$K$5,E7:E37,"&lt;"&amp;Нэгтгэл!$K$4)</f>
        <v/>
      </c>
      <c r="F40" s="16" t="inlineStr"/>
      <c r="G40" s="5">
        <f>COUNTIFS(G7:G37,"&gt;="&amp;Нэгтгэл!$K$5,G7:G37,"&lt;"&amp;Нэгтгэл!$K$4)</f>
        <v/>
      </c>
      <c r="H40" s="5">
        <f>COUNTIF(H7:H37,"Ахиж байна")</f>
        <v/>
      </c>
    </row>
    <row r="41">
      <c r="A41" s="17" t="inlineStr">
        <is>
          <t>Хөгжиж байна (тоо)</t>
        </is>
      </c>
      <c r="B41" s="15" t="n"/>
      <c r="C41" s="5">
        <f>COUNTIFS(C7:C37,"&lt;"&amp;Нэгтгэл!$K$5)</f>
        <v/>
      </c>
      <c r="D41" s="5">
        <f>COUNTIFS(D7:D37,"&lt;"&amp;Нэгтгэл!$K$5)</f>
        <v/>
      </c>
      <c r="E41" s="5">
        <f>COUNTIFS(E7:E37,"&lt;"&amp;Нэгтгэл!$K$5)</f>
        <v/>
      </c>
      <c r="F41" s="16" t="inlineStr"/>
      <c r="G41" s="5">
        <f>COUNTIFS(G7:G37,"&lt;"&amp;Нэгтгэл!$K$5)</f>
        <v/>
      </c>
      <c r="H41" s="5">
        <f>COUNTIF(H7:H37,"Хөгжиж байна")</f>
        <v/>
      </c>
    </row>
  </sheetData>
  <mergeCells count="14">
    <mergeCell ref="J3:K3"/>
    <mergeCell ref="A38:B38"/>
    <mergeCell ref="H3:H6"/>
    <mergeCell ref="F3:F6"/>
    <mergeCell ref="A41:B41"/>
    <mergeCell ref="G3:G6"/>
    <mergeCell ref="A2:H2"/>
    <mergeCell ref="A3:A6"/>
    <mergeCell ref="B3:B6"/>
    <mergeCell ref="C3:E3"/>
    <mergeCell ref="C4:E4"/>
    <mergeCell ref="A1:H1"/>
    <mergeCell ref="A39:B39"/>
    <mergeCell ref="A40:B40"/>
  </mergeCells>
  <printOptions horizontalCentered="1"/>
  <pageMargins left="0.5905511811023622" right="0.1968503937007874" top="0.5905511811023622" bottom="0.5905511811023622" header="0.3149606299212598" footer="0.3149606299212598"/>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S41"/>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7" customWidth="1" min="15" max="15"/>
    <col width="7" customWidth="1" min="16" max="16"/>
    <col width="8" customWidth="1" min="17" max="17"/>
    <col width="7" customWidth="1" min="18" max="18"/>
    <col width="14" customWidth="1" min="19" max="19"/>
  </cols>
  <sheetData>
    <row r="1">
      <c r="A1" s="1" t="inlineStr">
        <is>
          <t>................ ЦЭЦЭРЛЭГИЙН БАГА БҮЛГИЙН (2 НАС) ГАРААНЫ (ОНОШЛОХ) ҮНЭЛГЭЭ</t>
        </is>
      </c>
    </row>
    <row r="2">
      <c r="A2" s="18" t="inlineStr">
        <is>
          <t>Үнэлгээний хүрээ: Мэдлэг          Огноо: 20.... оны .... сар          Багш: ................................          Чадна = 1, Чадахгүй = 0  (А/79 журам, I түвшний шалгуур)</t>
        </is>
      </c>
    </row>
    <row r="3">
      <c r="A3" s="3" t="inlineStr">
        <is>
          <t>№</t>
        </is>
      </c>
      <c r="B3" s="3" t="inlineStr">
        <is>
          <t>Хүүхдийн код</t>
        </is>
      </c>
      <c r="C3" s="4" t="n"/>
      <c r="D3" s="3" t="inlineStr">
        <is>
          <t>Үнэлгээний хүрээ: Мэдлэг</t>
        </is>
      </c>
      <c r="E3" s="4" t="n"/>
      <c r="F3" s="4" t="n"/>
      <c r="G3" s="4" t="n"/>
      <c r="H3" s="4" t="n"/>
      <c r="I3" s="4" t="n"/>
      <c r="J3" s="4" t="n"/>
      <c r="K3" s="4" t="n"/>
      <c r="L3" s="4" t="n"/>
      <c r="M3" s="4" t="n"/>
      <c r="N3" s="4" t="n"/>
      <c r="O3" s="5" t="inlineStr">
        <is>
          <t>Чадна (1)</t>
        </is>
      </c>
      <c r="P3" s="5" t="inlineStr">
        <is>
          <t>Хувь</t>
        </is>
      </c>
      <c r="Q3" s="5" t="inlineStr">
        <is>
          <t>Чадахгүй (0)</t>
        </is>
      </c>
      <c r="R3" s="5" t="inlineStr">
        <is>
          <t>Хувь</t>
        </is>
      </c>
      <c r="S3" s="5" t="inlineStr">
        <is>
          <t>Түвшин</t>
        </is>
      </c>
    </row>
    <row r="4" ht="104" customHeight="1">
      <c r="A4" s="4" t="n"/>
      <c r="B4" s="4" t="n"/>
      <c r="C4" s="4" t="n"/>
      <c r="D4" s="6" t="inlineStr">
        <is>
          <t>Чанаж болгоогүй хүнсийг идэж болохгүйг мэддэг.</t>
        </is>
      </c>
      <c r="E4" s="6" t="inlineStr">
        <is>
          <t>Хүрээлэн байгаа орчноос болгоомжлох зүйлсийг таньдаг.</t>
        </is>
      </c>
      <c r="F4" s="6" t="inlineStr">
        <is>
          <t>Зурагт номоос танил эд юмсыг нэрлэдэг.</t>
        </is>
      </c>
      <c r="G4" s="6" t="inlineStr">
        <is>
          <t>Орчныхоо ургамал, амьтнаас заримыг нь нэрлэдэг.</t>
        </is>
      </c>
      <c r="H4" s="6" t="inlineStr">
        <is>
          <t>Цаг агаарын үзэгдлийг таньж нэрлэдэг.</t>
        </is>
      </c>
      <c r="I4" s="6" t="inlineStr">
        <is>
          <t>Өөрийн нэр, нас, биеийн эрхтнээ нэрлэдэг.</t>
        </is>
      </c>
      <c r="J4" s="6" t="inlineStr">
        <is>
          <t>Үндэсний хувцас (дээл, гутал, малгай)-ыг нэрлэдэг.</t>
        </is>
      </c>
      <c r="K4" s="6" t="inlineStr">
        <is>
          <t>Үндсэн гурван өнгийг нэрлэдэг.</t>
        </is>
      </c>
      <c r="L4" s="6" t="inlineStr">
        <is>
          <t>Тоглоом, юмсын заасан байршил (дээр, доор)-ыг нэрлэдэг.</t>
        </is>
      </c>
      <c r="M4" s="6" t="inlineStr">
        <is>
          <t>Болно, болохгүйг ойлгодог.</t>
        </is>
      </c>
      <c r="N4" s="6" t="inlineStr">
        <is>
          <t>Бусдын нүүрний хувирал, гарын дохио, дуу авиа, үгээр илэрхийлсэн харилцааг ойлгодог.</t>
        </is>
      </c>
      <c r="O4" s="4" t="n"/>
      <c r="P4" s="4" t="n"/>
      <c r="Q4" s="4" t="n"/>
      <c r="R4" s="4" t="n"/>
      <c r="S4" s="4" t="n"/>
    </row>
    <row r="5" ht="118" customHeight="1">
      <c r="A5" s="4" t="n"/>
      <c r="B5" s="4" t="n"/>
      <c r="C5" s="4" t="n"/>
      <c r="D5" s="19" t="inlineStr">
        <is>
          <t>СҮД: ХЭМ1.2в. Хоол хүнсний бүтээгдэхүүнийг угааж, чанаж болгож иддэгийг мэднэ, ялгана.</t>
        </is>
      </c>
      <c r="E5" s="19" t="inlineStr">
        <is>
          <t>СҮД: ХЭМ1.2е. Хүрээлэн буй орчинд байгаа болгоомжлох зүйлсийг мэднэ, ялгана.</t>
        </is>
      </c>
      <c r="F5" s="19" t="inlineStr">
        <is>
          <t>СҮД: ХЯ1.2в. Танил эд юмсыг нэрлэнэ.</t>
        </is>
      </c>
      <c r="G5" s="19" t="inlineStr">
        <is>
          <t>СҮД: БНО1.1а. Ойр орчны амьтныг таньж ялгана.</t>
        </is>
      </c>
      <c r="H5" s="19" t="inlineStr">
        <is>
          <t>СҮД: БНО1.1г. Байгалийн үзэгдлийг зааж нэрлэнэ.
ХЭМ1.2ж. Цаг агаарын үзэгдлийг таньж нэрлэн, насанд хүрэгчийн сануулгыг дуурайн дагана.</t>
        </is>
      </c>
      <c r="I5" s="19" t="inlineStr">
        <is>
          <t>СҮД: БНО1.2а. Өөрийн нэр, нас, бие, эрхтнээ нэрлэж, тоглоом, эд зүйлсээ танина.</t>
        </is>
      </c>
      <c r="J5" s="19" t="inlineStr">
        <is>
          <t>СҮД: БНО1.2д. Үндэсний хувцас (малгай, дээл, гутал)-ыг таньж нэрлэнэ.</t>
        </is>
      </c>
      <c r="K5" s="19" t="inlineStr">
        <is>
          <t>СҮД: ЗУ1.2б. Бүтээлээ үндсэн өнгөөр бусдын дэмжлэгтэй будна.</t>
        </is>
      </c>
      <c r="L5" s="19" t="inlineStr">
        <is>
          <t>СҮД: МАТ1.3в. Юмсын байршлыг танина. (дээр, доор)</t>
        </is>
      </c>
      <c r="M5" s="19" t="inlineStr">
        <is>
          <t>СҮД: НСХ1.2в. Насанд хүрэгчийн тусламжтай зарим зан үйлүүдийг таньдаг болно.</t>
        </is>
      </c>
      <c r="N5" s="19" t="inlineStr">
        <is>
          <t>СҮД: НСХ1.2а. Бусдын биеийн зарим мэдрэмжийг ойлгодог болно.</t>
        </is>
      </c>
      <c r="O5" s="4" t="n"/>
      <c r="P5" s="4" t="n"/>
      <c r="Q5" s="4" t="n"/>
      <c r="R5" s="4" t="n"/>
      <c r="S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4" t="n"/>
      <c r="P6" s="4" t="n"/>
      <c r="Q6" s="4" t="n"/>
      <c r="R6" s="4" t="n"/>
      <c r="S6" s="4" t="n"/>
    </row>
    <row r="7" ht="16" customHeight="1">
      <c r="A7" s="12" t="n">
        <v>1</v>
      </c>
      <c r="B7" s="12">
        <f>IF(Нэгтгэл!B7="","",Нэгтгэл!B7)</f>
        <v/>
      </c>
      <c r="C7" s="4" t="n"/>
      <c r="D7" s="13" t="n">
        <v>1</v>
      </c>
      <c r="E7" s="13" t="n">
        <v>1</v>
      </c>
      <c r="F7" s="13" t="n">
        <v>1</v>
      </c>
      <c r="G7" s="13" t="n">
        <v>0</v>
      </c>
      <c r="H7" s="13" t="n">
        <v>1</v>
      </c>
      <c r="I7" s="13" t="n">
        <v>1</v>
      </c>
      <c r="J7" s="13" t="n">
        <v>1</v>
      </c>
      <c r="K7" s="13" t="n">
        <v>1</v>
      </c>
      <c r="L7" s="13" t="n">
        <v>0</v>
      </c>
      <c r="M7" s="13" t="n">
        <v>1</v>
      </c>
      <c r="N7" s="13" t="n">
        <v>0</v>
      </c>
      <c r="O7" s="12">
        <f>COUNTIF(D7:N7,1)</f>
        <v/>
      </c>
      <c r="P7" s="12">
        <f>IF(COUNT(D7:N7)=0,"",ROUND(O7/11*100,1))</f>
        <v/>
      </c>
      <c r="Q7" s="12">
        <f>COUNTIF(D7:N7,0)</f>
        <v/>
      </c>
      <c r="R7" s="12">
        <f>IF(COUNT(D7:N7)=0,"",ROUND(Q7/11*100,1))</f>
        <v/>
      </c>
      <c r="S7" s="20">
        <f>IF(P7="","",IF(P7&gt;=Нэгтгэл!$K$4,"Хангалттай эзэмшиж байна",IF(P7&gt;=Нэгтгэл!$K$5,"Ахиж байна","Хөгжиж байна")))</f>
        <v/>
      </c>
    </row>
    <row r="8" ht="16" customHeight="1">
      <c r="A8" s="12" t="n">
        <v>2</v>
      </c>
      <c r="B8" s="12">
        <f>IF(Нэгтгэл!B8="","",Нэгтгэл!B8)</f>
        <v/>
      </c>
      <c r="C8" s="4" t="n"/>
      <c r="D8" s="13" t="n">
        <v>0</v>
      </c>
      <c r="E8" s="13" t="n">
        <v>0</v>
      </c>
      <c r="F8" s="13" t="n">
        <v>1</v>
      </c>
      <c r="G8" s="13" t="n">
        <v>1</v>
      </c>
      <c r="H8" s="13" t="n">
        <v>1</v>
      </c>
      <c r="I8" s="13" t="n">
        <v>1</v>
      </c>
      <c r="J8" s="13" t="n">
        <v>0</v>
      </c>
      <c r="K8" s="13" t="n">
        <v>1</v>
      </c>
      <c r="L8" s="13" t="n">
        <v>0</v>
      </c>
      <c r="M8" s="13" t="n">
        <v>1</v>
      </c>
      <c r="N8" s="13" t="n">
        <v>1</v>
      </c>
      <c r="O8" s="12">
        <f>COUNTIF(D8:N8,1)</f>
        <v/>
      </c>
      <c r="P8" s="12">
        <f>IF(COUNT(D8:N8)=0,"",ROUND(O8/11*100,1))</f>
        <v/>
      </c>
      <c r="Q8" s="12">
        <f>COUNTIF(D8:N8,0)</f>
        <v/>
      </c>
      <c r="R8" s="12">
        <f>IF(COUNT(D8:N8)=0,"",ROUND(Q8/11*100,1))</f>
        <v/>
      </c>
      <c r="S8" s="20">
        <f>IF(P8="","",IF(P8&gt;=Нэгтгэл!$K$4,"Хангалттай эзэмшиж байна",IF(P8&gt;=Нэгтгэл!$K$5,"Ахиж байна","Хөгжиж байна")))</f>
        <v/>
      </c>
    </row>
    <row r="9" ht="16" customHeight="1">
      <c r="A9" s="12" t="n">
        <v>3</v>
      </c>
      <c r="B9" s="12">
        <f>IF(Нэгтгэл!B9="","",Нэгтгэл!B9)</f>
        <v/>
      </c>
      <c r="C9" s="4" t="n"/>
      <c r="D9" s="13" t="n">
        <v>1</v>
      </c>
      <c r="E9" s="13" t="n">
        <v>1</v>
      </c>
      <c r="F9" s="13" t="n">
        <v>0</v>
      </c>
      <c r="G9" s="13" t="n">
        <v>0</v>
      </c>
      <c r="H9" s="13" t="n">
        <v>0</v>
      </c>
      <c r="I9" s="13" t="n">
        <v>0</v>
      </c>
      <c r="J9" s="13" t="n">
        <v>1</v>
      </c>
      <c r="K9" s="13" t="n">
        <v>1</v>
      </c>
      <c r="L9" s="13" t="n">
        <v>1</v>
      </c>
      <c r="M9" s="13" t="n">
        <v>1</v>
      </c>
      <c r="N9" s="13" t="n">
        <v>1</v>
      </c>
      <c r="O9" s="12">
        <f>COUNTIF(D9:N9,1)</f>
        <v/>
      </c>
      <c r="P9" s="12">
        <f>IF(COUNT(D9:N9)=0,"",ROUND(O9/11*100,1))</f>
        <v/>
      </c>
      <c r="Q9" s="12">
        <f>COUNTIF(D9:N9,0)</f>
        <v/>
      </c>
      <c r="R9" s="12">
        <f>IF(COUNT(D9:N9)=0,"",ROUND(Q9/11*100,1))</f>
        <v/>
      </c>
      <c r="S9" s="20">
        <f>IF(P9="","",IF(P9&gt;=Нэгтгэл!$K$4,"Хангалттай эзэмшиж байна",IF(P9&gt;=Нэгтгэл!$K$5,"Ахиж байна","Хөгжиж байна")))</f>
        <v/>
      </c>
    </row>
    <row r="10" ht="16" customHeight="1">
      <c r="A10" s="12" t="n">
        <v>4</v>
      </c>
      <c r="B10" s="12">
        <f>IF(Нэгтгэл!B10="","",Нэгтгэл!B10)</f>
        <v/>
      </c>
      <c r="C10" s="4" t="n"/>
      <c r="D10" s="13" t="n">
        <v>1</v>
      </c>
      <c r="E10" s="13" t="n">
        <v>0</v>
      </c>
      <c r="F10" s="13" t="n">
        <v>1</v>
      </c>
      <c r="G10" s="13" t="n">
        <v>1</v>
      </c>
      <c r="H10" s="13" t="n">
        <v>1</v>
      </c>
      <c r="I10" s="13" t="n">
        <v>1</v>
      </c>
      <c r="J10" s="13" t="n">
        <v>1</v>
      </c>
      <c r="K10" s="13" t="n">
        <v>1</v>
      </c>
      <c r="L10" s="13" t="n">
        <v>1</v>
      </c>
      <c r="M10" s="13" t="n">
        <v>1</v>
      </c>
      <c r="N10" s="13" t="n">
        <v>1</v>
      </c>
      <c r="O10" s="12">
        <f>COUNTIF(D10:N10,1)</f>
        <v/>
      </c>
      <c r="P10" s="12">
        <f>IF(COUNT(D10:N10)=0,"",ROUND(O10/11*100,1))</f>
        <v/>
      </c>
      <c r="Q10" s="12">
        <f>COUNTIF(D10:N10,0)</f>
        <v/>
      </c>
      <c r="R10" s="12">
        <f>IF(COUNT(D10:N10)=0,"",ROUND(Q10/11*100,1))</f>
        <v/>
      </c>
      <c r="S10" s="20">
        <f>IF(P10="","",IF(P10&gt;=Нэгтгэл!$K$4,"Хангалттай эзэмшиж байна",IF(P10&gt;=Нэгтгэл!$K$5,"Ахиж байна","Хөгжиж байна")))</f>
        <v/>
      </c>
    </row>
    <row r="11" ht="16" customHeight="1">
      <c r="A11" s="12" t="n">
        <v>5</v>
      </c>
      <c r="B11" s="12">
        <f>IF(Нэгтгэл!B11="","",Нэгтгэл!B11)</f>
        <v/>
      </c>
      <c r="C11" s="4" t="n"/>
      <c r="D11" s="13" t="n">
        <v>1</v>
      </c>
      <c r="E11" s="13" t="n">
        <v>1</v>
      </c>
      <c r="F11" s="13" t="n">
        <v>0</v>
      </c>
      <c r="G11" s="13" t="n">
        <v>1</v>
      </c>
      <c r="H11" s="13" t="n">
        <v>1</v>
      </c>
      <c r="I11" s="13" t="n">
        <v>0</v>
      </c>
      <c r="J11" s="13" t="n">
        <v>1</v>
      </c>
      <c r="K11" s="13" t="n">
        <v>1</v>
      </c>
      <c r="L11" s="13" t="n">
        <v>0</v>
      </c>
      <c r="M11" s="13" t="n">
        <v>1</v>
      </c>
      <c r="N11" s="13" t="n">
        <v>1</v>
      </c>
      <c r="O11" s="12">
        <f>COUNTIF(D11:N11,1)</f>
        <v/>
      </c>
      <c r="P11" s="12">
        <f>IF(COUNT(D11:N11)=0,"",ROUND(O11/11*100,1))</f>
        <v/>
      </c>
      <c r="Q11" s="12">
        <f>COUNTIF(D11:N11,0)</f>
        <v/>
      </c>
      <c r="R11" s="12">
        <f>IF(COUNT(D11:N11)=0,"",ROUND(Q11/11*100,1))</f>
        <v/>
      </c>
      <c r="S11" s="20">
        <f>IF(P11="","",IF(P11&gt;=Нэгтгэл!$K$4,"Хангалттай эзэмшиж байна",IF(P11&gt;=Нэгтгэл!$K$5,"Ахиж байна","Хөгжиж байна")))</f>
        <v/>
      </c>
    </row>
    <row r="12" ht="16" customHeight="1">
      <c r="A12" s="12" t="n">
        <v>6</v>
      </c>
      <c r="B12" s="12">
        <f>IF(Нэгтгэл!B12="","",Нэгтгэл!B12)</f>
        <v/>
      </c>
      <c r="C12" s="4" t="n"/>
      <c r="D12" s="13" t="n">
        <v>1</v>
      </c>
      <c r="E12" s="13" t="n">
        <v>1</v>
      </c>
      <c r="F12" s="13" t="n">
        <v>1</v>
      </c>
      <c r="G12" s="13" t="n">
        <v>1</v>
      </c>
      <c r="H12" s="13" t="n">
        <v>1</v>
      </c>
      <c r="I12" s="13" t="n">
        <v>0</v>
      </c>
      <c r="J12" s="13" t="n">
        <v>1</v>
      </c>
      <c r="K12" s="13" t="n">
        <v>1</v>
      </c>
      <c r="L12" s="13" t="n">
        <v>1</v>
      </c>
      <c r="M12" s="13" t="n">
        <v>1</v>
      </c>
      <c r="N12" s="13" t="n">
        <v>1</v>
      </c>
      <c r="O12" s="12">
        <f>COUNTIF(D12:N12,1)</f>
        <v/>
      </c>
      <c r="P12" s="12">
        <f>IF(COUNT(D12:N12)=0,"",ROUND(O12/11*100,1))</f>
        <v/>
      </c>
      <c r="Q12" s="12">
        <f>COUNTIF(D12:N12,0)</f>
        <v/>
      </c>
      <c r="R12" s="12">
        <f>IF(COUNT(D12:N12)=0,"",ROUND(Q12/11*100,1))</f>
        <v/>
      </c>
      <c r="S12" s="20">
        <f>IF(P12="","",IF(P12&gt;=Нэгтгэл!$K$4,"Хангалттай эзэмшиж байна",IF(P12&gt;=Нэгтгэл!$K$5,"Ахиж байна","Хөгжиж байна")))</f>
        <v/>
      </c>
    </row>
    <row r="13" ht="16" customHeight="1">
      <c r="A13" s="12" t="n">
        <v>7</v>
      </c>
      <c r="B13" s="12">
        <f>IF(Нэгтгэл!B13="","",Нэгтгэл!B13)</f>
        <v/>
      </c>
      <c r="C13" s="4" t="n"/>
      <c r="D13" s="13" t="n">
        <v>0</v>
      </c>
      <c r="E13" s="13" t="n">
        <v>1</v>
      </c>
      <c r="F13" s="13" t="n">
        <v>1</v>
      </c>
      <c r="G13" s="13" t="n">
        <v>1</v>
      </c>
      <c r="H13" s="13" t="n">
        <v>0</v>
      </c>
      <c r="I13" s="13" t="n">
        <v>0</v>
      </c>
      <c r="J13" s="13" t="n">
        <v>1</v>
      </c>
      <c r="K13" s="13" t="n">
        <v>1</v>
      </c>
      <c r="L13" s="13" t="n">
        <v>1</v>
      </c>
      <c r="M13" s="13" t="n">
        <v>1</v>
      </c>
      <c r="N13" s="13" t="n">
        <v>0</v>
      </c>
      <c r="O13" s="12">
        <f>COUNTIF(D13:N13,1)</f>
        <v/>
      </c>
      <c r="P13" s="12">
        <f>IF(COUNT(D13:N13)=0,"",ROUND(O13/11*100,1))</f>
        <v/>
      </c>
      <c r="Q13" s="12">
        <f>COUNTIF(D13:N13,0)</f>
        <v/>
      </c>
      <c r="R13" s="12">
        <f>IF(COUNT(D13:N13)=0,"",ROUND(Q13/11*100,1))</f>
        <v/>
      </c>
      <c r="S13" s="20">
        <f>IF(P13="","",IF(P13&gt;=Нэгтгэл!$K$4,"Хангалттай эзэмшиж байна",IF(P13&gt;=Нэгтгэл!$K$5,"Ахиж байна","Хөгжиж байна")))</f>
        <v/>
      </c>
    </row>
    <row r="14" ht="16" customHeight="1">
      <c r="A14" s="12" t="n">
        <v>8</v>
      </c>
      <c r="B14" s="12">
        <f>IF(Нэгтгэл!B14="","",Нэгтгэл!B14)</f>
        <v/>
      </c>
      <c r="C14" s="4" t="n"/>
      <c r="D14" s="13" t="n">
        <v>1</v>
      </c>
      <c r="E14" s="13" t="n">
        <v>1</v>
      </c>
      <c r="F14" s="13" t="n">
        <v>0</v>
      </c>
      <c r="G14" s="13" t="n">
        <v>1</v>
      </c>
      <c r="H14" s="13" t="n">
        <v>1</v>
      </c>
      <c r="I14" s="13" t="n">
        <v>1</v>
      </c>
      <c r="J14" s="13" t="n">
        <v>1</v>
      </c>
      <c r="K14" s="13" t="n">
        <v>1</v>
      </c>
      <c r="L14" s="13" t="n">
        <v>1</v>
      </c>
      <c r="M14" s="13" t="n">
        <v>1</v>
      </c>
      <c r="N14" s="13" t="n">
        <v>1</v>
      </c>
      <c r="O14" s="12">
        <f>COUNTIF(D14:N14,1)</f>
        <v/>
      </c>
      <c r="P14" s="12">
        <f>IF(COUNT(D14:N14)=0,"",ROUND(O14/11*100,1))</f>
        <v/>
      </c>
      <c r="Q14" s="12">
        <f>COUNTIF(D14:N14,0)</f>
        <v/>
      </c>
      <c r="R14" s="12">
        <f>IF(COUNT(D14:N14)=0,"",ROUND(Q14/11*100,1))</f>
        <v/>
      </c>
      <c r="S14" s="20">
        <f>IF(P14="","",IF(P14&gt;=Нэгтгэл!$K$4,"Хангалттай эзэмшиж байна",IF(P14&gt;=Нэгтгэл!$K$5,"Ахиж байна","Хөгжиж байна")))</f>
        <v/>
      </c>
    </row>
    <row r="15" ht="16" customHeight="1">
      <c r="A15" s="12" t="n">
        <v>9</v>
      </c>
      <c r="B15" s="12">
        <f>IF(Нэгтгэл!B15="","",Нэгтгэл!B15)</f>
        <v/>
      </c>
      <c r="C15" s="4" t="n"/>
      <c r="D15" s="13" t="n">
        <v>1</v>
      </c>
      <c r="E15" s="13" t="n">
        <v>0</v>
      </c>
      <c r="F15" s="13" t="n">
        <v>1</v>
      </c>
      <c r="G15" s="13" t="n">
        <v>1</v>
      </c>
      <c r="H15" s="13" t="n">
        <v>1</v>
      </c>
      <c r="I15" s="13" t="n">
        <v>0</v>
      </c>
      <c r="J15" s="13" t="n">
        <v>0</v>
      </c>
      <c r="K15" s="13" t="n">
        <v>1</v>
      </c>
      <c r="L15" s="13" t="n">
        <v>0</v>
      </c>
      <c r="M15" s="13" t="n">
        <v>0</v>
      </c>
      <c r="N15" s="13" t="n">
        <v>1</v>
      </c>
      <c r="O15" s="12">
        <f>COUNTIF(D15:N15,1)</f>
        <v/>
      </c>
      <c r="P15" s="12">
        <f>IF(COUNT(D15:N15)=0,"",ROUND(O15/11*100,1))</f>
        <v/>
      </c>
      <c r="Q15" s="12">
        <f>COUNTIF(D15:N15,0)</f>
        <v/>
      </c>
      <c r="R15" s="12">
        <f>IF(COUNT(D15:N15)=0,"",ROUND(Q15/11*100,1))</f>
        <v/>
      </c>
      <c r="S15" s="20">
        <f>IF(P15="","",IF(P15&gt;=Нэгтгэл!$K$4,"Хангалттай эзэмшиж байна",IF(P15&gt;=Нэгтгэл!$K$5,"Ахиж байна","Хөгжиж байна")))</f>
        <v/>
      </c>
    </row>
    <row r="16" ht="16" customHeight="1">
      <c r="A16" s="12" t="n">
        <v>10</v>
      </c>
      <c r="B16" s="12">
        <f>IF(Нэгтгэл!B16="","",Нэгтгэл!B16)</f>
        <v/>
      </c>
      <c r="C16" s="4" t="n"/>
      <c r="D16" s="13" t="n">
        <v>0</v>
      </c>
      <c r="E16" s="13" t="n">
        <v>1</v>
      </c>
      <c r="F16" s="13" t="n">
        <v>1</v>
      </c>
      <c r="G16" s="13" t="n">
        <v>0</v>
      </c>
      <c r="H16" s="13" t="n">
        <v>1</v>
      </c>
      <c r="I16" s="13" t="n">
        <v>1</v>
      </c>
      <c r="J16" s="13" t="n">
        <v>0</v>
      </c>
      <c r="K16" s="13" t="n">
        <v>0</v>
      </c>
      <c r="L16" s="13" t="n">
        <v>0</v>
      </c>
      <c r="M16" s="13" t="n">
        <v>1</v>
      </c>
      <c r="N16" s="13" t="n">
        <v>1</v>
      </c>
      <c r="O16" s="12">
        <f>COUNTIF(D16:N16,1)</f>
        <v/>
      </c>
      <c r="P16" s="12">
        <f>IF(COUNT(D16:N16)=0,"",ROUND(O16/11*100,1))</f>
        <v/>
      </c>
      <c r="Q16" s="12">
        <f>COUNTIF(D16:N16,0)</f>
        <v/>
      </c>
      <c r="R16" s="12">
        <f>IF(COUNT(D16:N16)=0,"",ROUND(Q16/11*100,1))</f>
        <v/>
      </c>
      <c r="S16" s="20">
        <f>IF(P16="","",IF(P16&gt;=Нэгтгэл!$K$4,"Хангалттай эзэмшиж байна",IF(P16&gt;=Нэгтгэл!$K$5,"Ахиж байна","Хөгжиж байна")))</f>
        <v/>
      </c>
    </row>
    <row r="17" ht="16" customHeight="1">
      <c r="A17" s="12" t="n">
        <v>11</v>
      </c>
      <c r="B17" s="12">
        <f>IF(Нэгтгэл!B17="","",Нэгтгэл!B17)</f>
        <v/>
      </c>
      <c r="C17" s="4" t="n"/>
      <c r="D17" s="13" t="n">
        <v>1</v>
      </c>
      <c r="E17" s="13" t="n">
        <v>1</v>
      </c>
      <c r="F17" s="13" t="n">
        <v>1</v>
      </c>
      <c r="G17" s="13" t="n">
        <v>0</v>
      </c>
      <c r="H17" s="13" t="n">
        <v>1</v>
      </c>
      <c r="I17" s="13" t="n">
        <v>1</v>
      </c>
      <c r="J17" s="13" t="n">
        <v>1</v>
      </c>
      <c r="K17" s="13" t="n">
        <v>1</v>
      </c>
      <c r="L17" s="13" t="n">
        <v>1</v>
      </c>
      <c r="M17" s="13" t="n">
        <v>0</v>
      </c>
      <c r="N17" s="13" t="n">
        <v>1</v>
      </c>
      <c r="O17" s="12">
        <f>COUNTIF(D17:N17,1)</f>
        <v/>
      </c>
      <c r="P17" s="12">
        <f>IF(COUNT(D17:N17)=0,"",ROUND(O17/11*100,1))</f>
        <v/>
      </c>
      <c r="Q17" s="12">
        <f>COUNTIF(D17:N17,0)</f>
        <v/>
      </c>
      <c r="R17" s="12">
        <f>IF(COUNT(D17:N17)=0,"",ROUND(Q17/11*100,1))</f>
        <v/>
      </c>
      <c r="S17" s="20">
        <f>IF(P17="","",IF(P17&gt;=Нэгтгэл!$K$4,"Хангалттай эзэмшиж байна",IF(P17&gt;=Нэгтгэл!$K$5,"Ахиж байна","Хөгжиж байна")))</f>
        <v/>
      </c>
    </row>
    <row r="18" ht="16" customHeight="1">
      <c r="A18" s="12" t="n">
        <v>12</v>
      </c>
      <c r="B18" s="12">
        <f>IF(Нэгтгэл!B18="","",Нэгтгэл!B18)</f>
        <v/>
      </c>
      <c r="C18" s="4" t="n"/>
      <c r="D18" s="13" t="n">
        <v>0</v>
      </c>
      <c r="E18" s="13" t="n">
        <v>1</v>
      </c>
      <c r="F18" s="13" t="n">
        <v>1</v>
      </c>
      <c r="G18" s="13" t="n">
        <v>0</v>
      </c>
      <c r="H18" s="13" t="n">
        <v>0</v>
      </c>
      <c r="I18" s="13" t="n">
        <v>1</v>
      </c>
      <c r="J18" s="13" t="n">
        <v>1</v>
      </c>
      <c r="K18" s="13" t="n">
        <v>1</v>
      </c>
      <c r="L18" s="13" t="n">
        <v>1</v>
      </c>
      <c r="M18" s="13" t="n">
        <v>1</v>
      </c>
      <c r="N18" s="13" t="n">
        <v>0</v>
      </c>
      <c r="O18" s="12">
        <f>COUNTIF(D18:N18,1)</f>
        <v/>
      </c>
      <c r="P18" s="12">
        <f>IF(COUNT(D18:N18)=0,"",ROUND(O18/11*100,1))</f>
        <v/>
      </c>
      <c r="Q18" s="12">
        <f>COUNTIF(D18:N18,0)</f>
        <v/>
      </c>
      <c r="R18" s="12">
        <f>IF(COUNT(D18:N18)=0,"",ROUND(Q18/11*100,1))</f>
        <v/>
      </c>
      <c r="S18" s="20">
        <f>IF(P18="","",IF(P18&gt;=Нэгтгэл!$K$4,"Хангалттай эзэмшиж байна",IF(P18&gt;=Нэгтгэл!$K$5,"Ахиж байна","Хөгжиж байна")))</f>
        <v/>
      </c>
    </row>
    <row r="19" ht="16" customHeight="1">
      <c r="A19" s="12" t="n">
        <v>13</v>
      </c>
      <c r="B19" s="12">
        <f>IF(Нэгтгэл!B19="","",Нэгтгэл!B19)</f>
        <v/>
      </c>
      <c r="C19" s="4" t="n"/>
      <c r="D19" s="13" t="n">
        <v>0</v>
      </c>
      <c r="E19" s="13" t="n">
        <v>1</v>
      </c>
      <c r="F19" s="13" t="n">
        <v>0</v>
      </c>
      <c r="G19" s="13" t="n">
        <v>1</v>
      </c>
      <c r="H19" s="13" t="n">
        <v>1</v>
      </c>
      <c r="I19" s="13" t="n">
        <v>1</v>
      </c>
      <c r="J19" s="13" t="n">
        <v>0</v>
      </c>
      <c r="K19" s="13" t="n">
        <v>0</v>
      </c>
      <c r="L19" s="13" t="n">
        <v>1</v>
      </c>
      <c r="M19" s="13" t="n">
        <v>1</v>
      </c>
      <c r="N19" s="13" t="n">
        <v>1</v>
      </c>
      <c r="O19" s="12">
        <f>COUNTIF(D19:N19,1)</f>
        <v/>
      </c>
      <c r="P19" s="12">
        <f>IF(COUNT(D19:N19)=0,"",ROUND(O19/11*100,1))</f>
        <v/>
      </c>
      <c r="Q19" s="12">
        <f>COUNTIF(D19:N19,0)</f>
        <v/>
      </c>
      <c r="R19" s="12">
        <f>IF(COUNT(D19:N19)=0,"",ROUND(Q19/11*100,1))</f>
        <v/>
      </c>
      <c r="S19" s="20">
        <f>IF(P19="","",IF(P19&gt;=Нэгтгэл!$K$4,"Хангалттай эзэмшиж байна",IF(P19&gt;=Нэгтгэл!$K$5,"Ахиж байна","Хөгжиж байна")))</f>
        <v/>
      </c>
    </row>
    <row r="20" ht="16" customHeight="1">
      <c r="A20" s="12" t="n">
        <v>14</v>
      </c>
      <c r="B20" s="12">
        <f>IF(Нэгтгэл!B20="","",Нэгтгэл!B20)</f>
        <v/>
      </c>
      <c r="C20" s="4" t="n"/>
      <c r="D20" s="13" t="n">
        <v>0</v>
      </c>
      <c r="E20" s="13" t="n">
        <v>0</v>
      </c>
      <c r="F20" s="13" t="n">
        <v>0</v>
      </c>
      <c r="G20" s="13" t="n">
        <v>1</v>
      </c>
      <c r="H20" s="13" t="n">
        <v>1</v>
      </c>
      <c r="I20" s="13" t="n">
        <v>0</v>
      </c>
      <c r="J20" s="13" t="n">
        <v>1</v>
      </c>
      <c r="K20" s="13" t="n">
        <v>1</v>
      </c>
      <c r="L20" s="13" t="n">
        <v>1</v>
      </c>
      <c r="M20" s="13" t="n">
        <v>1</v>
      </c>
      <c r="N20" s="13" t="n">
        <v>0</v>
      </c>
      <c r="O20" s="12">
        <f>COUNTIF(D20:N20,1)</f>
        <v/>
      </c>
      <c r="P20" s="12">
        <f>IF(COUNT(D20:N20)=0,"",ROUND(O20/11*100,1))</f>
        <v/>
      </c>
      <c r="Q20" s="12">
        <f>COUNTIF(D20:N20,0)</f>
        <v/>
      </c>
      <c r="R20" s="12">
        <f>IF(COUNT(D20:N20)=0,"",ROUND(Q20/11*100,1))</f>
        <v/>
      </c>
      <c r="S20" s="20">
        <f>IF(P20="","",IF(P20&gt;=Нэгтгэл!$K$4,"Хангалттай эзэмшиж байна",IF(P20&gt;=Нэгтгэл!$K$5,"Ахиж байна","Хөгжиж байна")))</f>
        <v/>
      </c>
    </row>
    <row r="21" ht="16" customHeight="1">
      <c r="A21" s="12" t="n">
        <v>15</v>
      </c>
      <c r="B21" s="12">
        <f>IF(Нэгтгэл!B21="","",Нэгтгэл!B21)</f>
        <v/>
      </c>
      <c r="C21" s="4" t="n"/>
      <c r="D21" s="13" t="n">
        <v>1</v>
      </c>
      <c r="E21" s="13" t="n">
        <v>1</v>
      </c>
      <c r="F21" s="13" t="n">
        <v>1</v>
      </c>
      <c r="G21" s="13" t="n">
        <v>0</v>
      </c>
      <c r="H21" s="13" t="n">
        <v>1</v>
      </c>
      <c r="I21" s="13" t="n">
        <v>1</v>
      </c>
      <c r="J21" s="13" t="n">
        <v>1</v>
      </c>
      <c r="K21" s="13" t="n">
        <v>1</v>
      </c>
      <c r="L21" s="13" t="n">
        <v>1</v>
      </c>
      <c r="M21" s="13" t="n">
        <v>1</v>
      </c>
      <c r="N21" s="13" t="n">
        <v>0</v>
      </c>
      <c r="O21" s="12">
        <f>COUNTIF(D21:N21,1)</f>
        <v/>
      </c>
      <c r="P21" s="12">
        <f>IF(COUNT(D21:N21)=0,"",ROUND(O21/11*100,1))</f>
        <v/>
      </c>
      <c r="Q21" s="12">
        <f>COUNTIF(D21:N21,0)</f>
        <v/>
      </c>
      <c r="R21" s="12">
        <f>IF(COUNT(D21:N21)=0,"",ROUND(Q21/11*100,1))</f>
        <v/>
      </c>
      <c r="S21" s="20">
        <f>IF(P21="","",IF(P21&gt;=Нэгтгэл!$K$4,"Хангалттай эзэмшиж байна",IF(P21&gt;=Нэгтгэл!$K$5,"Ахиж байна","Хөгжиж байна")))</f>
        <v/>
      </c>
    </row>
    <row r="22" ht="16" customHeight="1">
      <c r="A22" s="12" t="n">
        <v>16</v>
      </c>
      <c r="B22" s="12">
        <f>IF(Нэгтгэл!B22="","",Нэгтгэл!B22)</f>
        <v/>
      </c>
      <c r="C22" s="4" t="n"/>
      <c r="D22" s="13" t="n">
        <v>1</v>
      </c>
      <c r="E22" s="13" t="n">
        <v>0</v>
      </c>
      <c r="F22" s="13" t="n">
        <v>1</v>
      </c>
      <c r="G22" s="13" t="n">
        <v>1</v>
      </c>
      <c r="H22" s="13" t="n">
        <v>1</v>
      </c>
      <c r="I22" s="13" t="n">
        <v>1</v>
      </c>
      <c r="J22" s="13" t="n">
        <v>1</v>
      </c>
      <c r="K22" s="13" t="n">
        <v>1</v>
      </c>
      <c r="L22" s="13" t="n">
        <v>1</v>
      </c>
      <c r="M22" s="13" t="n">
        <v>1</v>
      </c>
      <c r="N22" s="13" t="n">
        <v>1</v>
      </c>
      <c r="O22" s="12">
        <f>COUNTIF(D22:N22,1)</f>
        <v/>
      </c>
      <c r="P22" s="12">
        <f>IF(COUNT(D22:N22)=0,"",ROUND(O22/11*100,1))</f>
        <v/>
      </c>
      <c r="Q22" s="12">
        <f>COUNTIF(D22:N22,0)</f>
        <v/>
      </c>
      <c r="R22" s="12">
        <f>IF(COUNT(D22:N22)=0,"",ROUND(Q22/11*100,1))</f>
        <v/>
      </c>
      <c r="S22" s="20">
        <f>IF(P22="","",IF(P22&gt;=Нэгтгэл!$K$4,"Хангалттай эзэмшиж байна",IF(P22&gt;=Нэгтгэл!$K$5,"Ахиж байна","Хөгжиж байна")))</f>
        <v/>
      </c>
    </row>
    <row r="23" ht="16" customHeight="1">
      <c r="A23" s="12" t="n">
        <v>17</v>
      </c>
      <c r="B23" s="12">
        <f>IF(Нэгтгэл!B23="","",Нэгтгэл!B23)</f>
        <v/>
      </c>
      <c r="C23" s="4" t="n"/>
      <c r="D23" s="13" t="n">
        <v>0</v>
      </c>
      <c r="E23" s="13" t="n">
        <v>1</v>
      </c>
      <c r="F23" s="13" t="n">
        <v>1</v>
      </c>
      <c r="G23" s="13" t="n">
        <v>0</v>
      </c>
      <c r="H23" s="13" t="n">
        <v>1</v>
      </c>
      <c r="I23" s="13" t="n">
        <v>0</v>
      </c>
      <c r="J23" s="13" t="n">
        <v>1</v>
      </c>
      <c r="K23" s="13" t="n">
        <v>1</v>
      </c>
      <c r="L23" s="13" t="n">
        <v>0</v>
      </c>
      <c r="M23" s="13" t="n">
        <v>1</v>
      </c>
      <c r="N23" s="13" t="n">
        <v>1</v>
      </c>
      <c r="O23" s="12">
        <f>COUNTIF(D23:N23,1)</f>
        <v/>
      </c>
      <c r="P23" s="12">
        <f>IF(COUNT(D23:N23)=0,"",ROUND(O23/11*100,1))</f>
        <v/>
      </c>
      <c r="Q23" s="12">
        <f>COUNTIF(D23:N23,0)</f>
        <v/>
      </c>
      <c r="R23" s="12">
        <f>IF(COUNT(D23:N23)=0,"",ROUND(Q23/11*100,1))</f>
        <v/>
      </c>
      <c r="S23" s="20">
        <f>IF(P23="","",IF(P23&gt;=Нэгтгэл!$K$4,"Хангалттай эзэмшиж байна",IF(P23&gt;=Нэгтгэл!$K$5,"Ахиж байна","Хөгжиж байна")))</f>
        <v/>
      </c>
    </row>
    <row r="24" ht="16" customHeight="1">
      <c r="A24" s="12" t="n">
        <v>18</v>
      </c>
      <c r="B24" s="12">
        <f>IF(Нэгтгэл!B24="","",Нэгтгэл!B24)</f>
        <v/>
      </c>
      <c r="C24" s="4" t="n"/>
      <c r="D24" s="13" t="n">
        <v>0</v>
      </c>
      <c r="E24" s="13" t="n">
        <v>1</v>
      </c>
      <c r="F24" s="13" t="n">
        <v>0</v>
      </c>
      <c r="G24" s="13" t="n">
        <v>1</v>
      </c>
      <c r="H24" s="13" t="n">
        <v>0</v>
      </c>
      <c r="I24" s="13" t="n">
        <v>1</v>
      </c>
      <c r="J24" s="13" t="n">
        <v>1</v>
      </c>
      <c r="K24" s="13" t="n">
        <v>1</v>
      </c>
      <c r="L24" s="13" t="n">
        <v>1</v>
      </c>
      <c r="M24" s="13" t="n">
        <v>1</v>
      </c>
      <c r="N24" s="13" t="n">
        <v>1</v>
      </c>
      <c r="O24" s="12">
        <f>COUNTIF(D24:N24,1)</f>
        <v/>
      </c>
      <c r="P24" s="12">
        <f>IF(COUNT(D24:N24)=0,"",ROUND(O24/11*100,1))</f>
        <v/>
      </c>
      <c r="Q24" s="12">
        <f>COUNTIF(D24:N24,0)</f>
        <v/>
      </c>
      <c r="R24" s="12">
        <f>IF(COUNT(D24:N24)=0,"",ROUND(Q24/11*100,1))</f>
        <v/>
      </c>
      <c r="S24" s="20">
        <f>IF(P24="","",IF(P24&gt;=Нэгтгэл!$K$4,"Хангалттай эзэмшиж байна",IF(P24&gt;=Нэгтгэл!$K$5,"Ахиж байна","Хөгжиж байна")))</f>
        <v/>
      </c>
    </row>
    <row r="25" ht="16" customHeight="1">
      <c r="A25" s="12" t="n">
        <v>19</v>
      </c>
      <c r="B25" s="12">
        <f>IF(Нэгтгэл!B25="","",Нэгтгэл!B25)</f>
        <v/>
      </c>
      <c r="C25" s="4" t="n"/>
      <c r="D25" s="13" t="n">
        <v>1</v>
      </c>
      <c r="E25" s="13" t="n">
        <v>1</v>
      </c>
      <c r="F25" s="13" t="n">
        <v>0</v>
      </c>
      <c r="G25" s="13" t="n">
        <v>1</v>
      </c>
      <c r="H25" s="13" t="n">
        <v>1</v>
      </c>
      <c r="I25" s="13" t="n">
        <v>1</v>
      </c>
      <c r="J25" s="13" t="n">
        <v>1</v>
      </c>
      <c r="K25" s="13" t="n">
        <v>1</v>
      </c>
      <c r="L25" s="13" t="n">
        <v>0</v>
      </c>
      <c r="M25" s="13" t="n">
        <v>0</v>
      </c>
      <c r="N25" s="13" t="n">
        <v>0</v>
      </c>
      <c r="O25" s="12">
        <f>COUNTIF(D25:N25,1)</f>
        <v/>
      </c>
      <c r="P25" s="12">
        <f>IF(COUNT(D25:N25)=0,"",ROUND(O25/11*100,1))</f>
        <v/>
      </c>
      <c r="Q25" s="12">
        <f>COUNTIF(D25:N25,0)</f>
        <v/>
      </c>
      <c r="R25" s="12">
        <f>IF(COUNT(D25:N25)=0,"",ROUND(Q25/11*100,1))</f>
        <v/>
      </c>
      <c r="S25" s="20">
        <f>IF(P25="","",IF(P25&gt;=Нэгтгэл!$K$4,"Хангалттай эзэмшиж байна",IF(P25&gt;=Нэгтгэл!$K$5,"Ахиж байна","Хөгжиж байна")))</f>
        <v/>
      </c>
    </row>
    <row r="26" ht="16" customHeight="1">
      <c r="A26" s="12" t="n">
        <v>20</v>
      </c>
      <c r="B26" s="12">
        <f>IF(Нэгтгэл!B26="","",Нэгтгэл!B26)</f>
        <v/>
      </c>
      <c r="C26" s="4" t="n"/>
      <c r="D26" s="13" t="n">
        <v>0</v>
      </c>
      <c r="E26" s="13" t="n">
        <v>1</v>
      </c>
      <c r="F26" s="13" t="n">
        <v>0</v>
      </c>
      <c r="G26" s="13" t="n">
        <v>0</v>
      </c>
      <c r="H26" s="13" t="n">
        <v>1</v>
      </c>
      <c r="I26" s="13" t="n">
        <v>1</v>
      </c>
      <c r="J26" s="13" t="n">
        <v>0</v>
      </c>
      <c r="K26" s="13" t="n">
        <v>0</v>
      </c>
      <c r="L26" s="13" t="n">
        <v>1</v>
      </c>
      <c r="M26" s="13" t="n">
        <v>0</v>
      </c>
      <c r="N26" s="13" t="n">
        <v>1</v>
      </c>
      <c r="O26" s="12">
        <f>COUNTIF(D26:N26,1)</f>
        <v/>
      </c>
      <c r="P26" s="12">
        <f>IF(COUNT(D26:N26)=0,"",ROUND(O26/11*100,1))</f>
        <v/>
      </c>
      <c r="Q26" s="12">
        <f>COUNTIF(D26:N26,0)</f>
        <v/>
      </c>
      <c r="R26" s="12">
        <f>IF(COUNT(D26:N26)=0,"",ROUND(Q26/11*100,1))</f>
        <v/>
      </c>
      <c r="S26" s="20">
        <f>IF(P26="","",IF(P26&gt;=Нэгтгэл!$K$4,"Хангалттай эзэмшиж байна",IF(P26&gt;=Нэгтгэл!$K$5,"Ахиж байна","Хөгжиж байна")))</f>
        <v/>
      </c>
    </row>
    <row r="27" ht="16" customHeight="1">
      <c r="A27" s="12" t="n">
        <v>21</v>
      </c>
      <c r="B27" s="12">
        <f>IF(Нэгтгэл!B27="","",Нэгтгэл!B27)</f>
        <v/>
      </c>
      <c r="C27" s="4" t="n"/>
      <c r="D27" s="13" t="n">
        <v>1</v>
      </c>
      <c r="E27" s="13" t="n">
        <v>1</v>
      </c>
      <c r="F27" s="13" t="n">
        <v>1</v>
      </c>
      <c r="G27" s="13" t="n">
        <v>1</v>
      </c>
      <c r="H27" s="13" t="n">
        <v>1</v>
      </c>
      <c r="I27" s="13" t="n">
        <v>1</v>
      </c>
      <c r="J27" s="13" t="n">
        <v>1</v>
      </c>
      <c r="K27" s="13" t="n">
        <v>1</v>
      </c>
      <c r="L27" s="13" t="n">
        <v>1</v>
      </c>
      <c r="M27" s="13" t="n">
        <v>1</v>
      </c>
      <c r="N27" s="13" t="n">
        <v>1</v>
      </c>
      <c r="O27" s="12">
        <f>COUNTIF(D27:N27,1)</f>
        <v/>
      </c>
      <c r="P27" s="12">
        <f>IF(COUNT(D27:N27)=0,"",ROUND(O27/11*100,1))</f>
        <v/>
      </c>
      <c r="Q27" s="12">
        <f>COUNTIF(D27:N27,0)</f>
        <v/>
      </c>
      <c r="R27" s="12">
        <f>IF(COUNT(D27:N27)=0,"",ROUND(Q27/11*100,1))</f>
        <v/>
      </c>
      <c r="S27" s="20">
        <f>IF(P27="","",IF(P27&gt;=Нэгтгэл!$K$4,"Хангалттай эзэмшиж байна",IF(P27&gt;=Нэгтгэл!$K$5,"Ахиж байна","Хөгжиж байна")))</f>
        <v/>
      </c>
    </row>
    <row r="28" ht="16" customHeight="1">
      <c r="A28" s="12" t="n">
        <v>22</v>
      </c>
      <c r="B28" s="12">
        <f>IF(Нэгтгэл!B28="","",Нэгтгэл!B28)</f>
        <v/>
      </c>
      <c r="C28" s="4" t="n"/>
      <c r="D28" s="13" t="n">
        <v>1</v>
      </c>
      <c r="E28" s="13" t="n">
        <v>1</v>
      </c>
      <c r="F28" s="13" t="n">
        <v>1</v>
      </c>
      <c r="G28" s="13" t="n">
        <v>0</v>
      </c>
      <c r="H28" s="13" t="n">
        <v>1</v>
      </c>
      <c r="I28" s="13" t="n">
        <v>1</v>
      </c>
      <c r="J28" s="13" t="n">
        <v>0</v>
      </c>
      <c r="K28" s="13" t="n">
        <v>0</v>
      </c>
      <c r="L28" s="13" t="n">
        <v>1</v>
      </c>
      <c r="M28" s="13" t="n">
        <v>1</v>
      </c>
      <c r="N28" s="13" t="n">
        <v>1</v>
      </c>
      <c r="O28" s="12">
        <f>COUNTIF(D28:N28,1)</f>
        <v/>
      </c>
      <c r="P28" s="12">
        <f>IF(COUNT(D28:N28)=0,"",ROUND(O28/11*100,1))</f>
        <v/>
      </c>
      <c r="Q28" s="12">
        <f>COUNTIF(D28:N28,0)</f>
        <v/>
      </c>
      <c r="R28" s="12">
        <f>IF(COUNT(D28:N28)=0,"",ROUND(Q28/11*100,1))</f>
        <v/>
      </c>
      <c r="S28" s="20">
        <f>IF(P28="","",IF(P28&gt;=Нэгтгэл!$K$4,"Хангалттай эзэмшиж байна",IF(P28&gt;=Нэгтгэл!$K$5,"Ахиж байна","Хөгжиж байна")))</f>
        <v/>
      </c>
    </row>
    <row r="29" ht="16" customHeight="1">
      <c r="A29" s="12" t="n">
        <v>23</v>
      </c>
      <c r="B29" s="12">
        <f>IF(Нэгтгэл!B29="","",Нэгтгэл!B29)</f>
        <v/>
      </c>
      <c r="C29" s="4" t="n"/>
      <c r="D29" s="13" t="n">
        <v>1</v>
      </c>
      <c r="E29" s="13" t="n">
        <v>0</v>
      </c>
      <c r="F29" s="13" t="n">
        <v>1</v>
      </c>
      <c r="G29" s="13" t="n">
        <v>1</v>
      </c>
      <c r="H29" s="13" t="n">
        <v>1</v>
      </c>
      <c r="I29" s="13" t="n">
        <v>1</v>
      </c>
      <c r="J29" s="13" t="n">
        <v>1</v>
      </c>
      <c r="K29" s="13" t="n">
        <v>0</v>
      </c>
      <c r="L29" s="13" t="n">
        <v>0</v>
      </c>
      <c r="M29" s="13" t="n">
        <v>1</v>
      </c>
      <c r="N29" s="13" t="n">
        <v>1</v>
      </c>
      <c r="O29" s="12">
        <f>COUNTIF(D29:N29,1)</f>
        <v/>
      </c>
      <c r="P29" s="12">
        <f>IF(COUNT(D29:N29)=0,"",ROUND(O29/11*100,1))</f>
        <v/>
      </c>
      <c r="Q29" s="12">
        <f>COUNTIF(D29:N29,0)</f>
        <v/>
      </c>
      <c r="R29" s="12">
        <f>IF(COUNT(D29:N29)=0,"",ROUND(Q29/11*100,1))</f>
        <v/>
      </c>
      <c r="S29" s="20">
        <f>IF(P29="","",IF(P29&gt;=Нэгтгэл!$K$4,"Хангалттай эзэмшиж байна",IF(P29&gt;=Нэгтгэл!$K$5,"Ахиж байна","Хөгжиж байна")))</f>
        <v/>
      </c>
    </row>
    <row r="30" ht="16" customHeight="1">
      <c r="A30" s="12" t="n">
        <v>24</v>
      </c>
      <c r="B30" s="12">
        <f>IF(Нэгтгэл!B30="","",Нэгтгэл!B30)</f>
        <v/>
      </c>
      <c r="C30" s="4" t="n"/>
      <c r="D30" s="13" t="n">
        <v>1</v>
      </c>
      <c r="E30" s="13" t="n">
        <v>1</v>
      </c>
      <c r="F30" s="13" t="n">
        <v>1</v>
      </c>
      <c r="G30" s="13" t="n">
        <v>1</v>
      </c>
      <c r="H30" s="13" t="n">
        <v>1</v>
      </c>
      <c r="I30" s="13" t="n">
        <v>0</v>
      </c>
      <c r="J30" s="13" t="n">
        <v>1</v>
      </c>
      <c r="K30" s="13" t="n">
        <v>0</v>
      </c>
      <c r="L30" s="13" t="n">
        <v>1</v>
      </c>
      <c r="M30" s="13" t="n">
        <v>1</v>
      </c>
      <c r="N30" s="13" t="n">
        <v>1</v>
      </c>
      <c r="O30" s="12">
        <f>COUNTIF(D30:N30,1)</f>
        <v/>
      </c>
      <c r="P30" s="12">
        <f>IF(COUNT(D30:N30)=0,"",ROUND(O30/11*100,1))</f>
        <v/>
      </c>
      <c r="Q30" s="12">
        <f>COUNTIF(D30:N30,0)</f>
        <v/>
      </c>
      <c r="R30" s="12">
        <f>IF(COUNT(D30:N30)=0,"",ROUND(Q30/11*100,1))</f>
        <v/>
      </c>
      <c r="S30" s="20">
        <f>IF(P30="","",IF(P30&gt;=Нэгтгэл!$K$4,"Хангалттай эзэмшиж байна",IF(P30&gt;=Нэгтгэл!$K$5,"Ахиж байна","Хөгжиж байна")))</f>
        <v/>
      </c>
    </row>
    <row r="31" ht="16" customHeight="1">
      <c r="A31" s="12" t="n">
        <v>25</v>
      </c>
      <c r="B31" s="12">
        <f>IF(Нэгтгэл!B31="","",Нэгтгэл!B31)</f>
        <v/>
      </c>
      <c r="C31" s="4" t="n"/>
      <c r="D31" s="13" t="n">
        <v>0</v>
      </c>
      <c r="E31" s="13" t="n">
        <v>1</v>
      </c>
      <c r="F31" s="13" t="n">
        <v>1</v>
      </c>
      <c r="G31" s="13" t="n">
        <v>1</v>
      </c>
      <c r="H31" s="13" t="n">
        <v>0</v>
      </c>
      <c r="I31" s="13" t="n">
        <v>0</v>
      </c>
      <c r="J31" s="13" t="n">
        <v>1</v>
      </c>
      <c r="K31" s="13" t="n">
        <v>0</v>
      </c>
      <c r="L31" s="13" t="n">
        <v>1</v>
      </c>
      <c r="M31" s="13" t="n">
        <v>0</v>
      </c>
      <c r="N31" s="13" t="n">
        <v>1</v>
      </c>
      <c r="O31" s="12">
        <f>COUNTIF(D31:N31,1)</f>
        <v/>
      </c>
      <c r="P31" s="12">
        <f>IF(COUNT(D31:N31)=0,"",ROUND(O31/11*100,1))</f>
        <v/>
      </c>
      <c r="Q31" s="12">
        <f>COUNTIF(D31:N31,0)</f>
        <v/>
      </c>
      <c r="R31" s="12">
        <f>IF(COUNT(D31:N31)=0,"",ROUND(Q31/11*100,1))</f>
        <v/>
      </c>
      <c r="S31" s="20">
        <f>IF(P31="","",IF(P31&gt;=Нэгтгэл!$K$4,"Хангалттай эзэмшиж байна",IF(P31&gt;=Нэгтгэл!$K$5,"Ахиж байна","Хөгжиж байна")))</f>
        <v/>
      </c>
    </row>
    <row r="32" ht="16" customHeight="1">
      <c r="A32" s="12" t="n">
        <v>26</v>
      </c>
      <c r="B32" s="12">
        <f>IF(Нэгтгэл!B32="","",Нэгтгэл!B32)</f>
        <v/>
      </c>
      <c r="C32" s="4" t="n"/>
      <c r="D32" s="13" t="n">
        <v>0</v>
      </c>
      <c r="E32" s="13" t="n">
        <v>1</v>
      </c>
      <c r="F32" s="13" t="n">
        <v>0</v>
      </c>
      <c r="G32" s="13" t="n">
        <v>1</v>
      </c>
      <c r="H32" s="13" t="n">
        <v>1</v>
      </c>
      <c r="I32" s="13" t="n">
        <v>1</v>
      </c>
      <c r="J32" s="13" t="n">
        <v>1</v>
      </c>
      <c r="K32" s="13" t="n">
        <v>0</v>
      </c>
      <c r="L32" s="13" t="n">
        <v>0</v>
      </c>
      <c r="M32" s="13" t="n">
        <v>1</v>
      </c>
      <c r="N32" s="13" t="n">
        <v>0</v>
      </c>
      <c r="O32" s="12">
        <f>COUNTIF(D32:N32,1)</f>
        <v/>
      </c>
      <c r="P32" s="12">
        <f>IF(COUNT(D32:N32)=0,"",ROUND(O32/11*100,1))</f>
        <v/>
      </c>
      <c r="Q32" s="12">
        <f>COUNTIF(D32:N32,0)</f>
        <v/>
      </c>
      <c r="R32" s="12">
        <f>IF(COUNT(D32:N32)=0,"",ROUND(Q32/11*100,1))</f>
        <v/>
      </c>
      <c r="S32" s="20">
        <f>IF(P32="","",IF(P32&gt;=Нэгтгэл!$K$4,"Хангалттай эзэмшиж байна",IF(P32&gt;=Нэгтгэл!$K$5,"Ахиж байна","Хөгжиж байна")))</f>
        <v/>
      </c>
    </row>
    <row r="33" ht="16" customHeight="1">
      <c r="A33" s="12" t="n">
        <v>27</v>
      </c>
      <c r="B33" s="12">
        <f>IF(Нэгтгэл!B33="","",Нэгтгэл!B33)</f>
        <v/>
      </c>
      <c r="C33" s="4" t="n"/>
      <c r="D33" s="13" t="n">
        <v>1</v>
      </c>
      <c r="E33" s="13" t="n">
        <v>0</v>
      </c>
      <c r="F33" s="13" t="n">
        <v>1</v>
      </c>
      <c r="G33" s="13" t="n">
        <v>1</v>
      </c>
      <c r="H33" s="13" t="n">
        <v>1</v>
      </c>
      <c r="I33" s="13" t="n">
        <v>0</v>
      </c>
      <c r="J33" s="13" t="n">
        <v>1</v>
      </c>
      <c r="K33" s="13" t="n">
        <v>1</v>
      </c>
      <c r="L33" s="13" t="n">
        <v>1</v>
      </c>
      <c r="M33" s="13" t="n">
        <v>1</v>
      </c>
      <c r="N33" s="13" t="n">
        <v>1</v>
      </c>
      <c r="O33" s="12">
        <f>COUNTIF(D33:N33,1)</f>
        <v/>
      </c>
      <c r="P33" s="12">
        <f>IF(COUNT(D33:N33)=0,"",ROUND(O33/11*100,1))</f>
        <v/>
      </c>
      <c r="Q33" s="12">
        <f>COUNTIF(D33:N33,0)</f>
        <v/>
      </c>
      <c r="R33" s="12">
        <f>IF(COUNT(D33:N33)=0,"",ROUND(Q33/11*100,1))</f>
        <v/>
      </c>
      <c r="S33" s="20">
        <f>IF(P33="","",IF(P33&gt;=Нэгтгэл!$K$4,"Хангалттай эзэмшиж байна",IF(P33&gt;=Нэгтгэл!$K$5,"Ахиж байна","Хөгжиж байна")))</f>
        <v/>
      </c>
    </row>
    <row r="34" ht="16" customHeight="1">
      <c r="A34" s="12" t="n">
        <v>28</v>
      </c>
      <c r="B34" s="12">
        <f>IF(Нэгтгэл!B34="","",Нэгтгэл!B34)</f>
        <v/>
      </c>
      <c r="C34" s="4" t="n"/>
      <c r="D34" s="13" t="n">
        <v>1</v>
      </c>
      <c r="E34" s="13" t="n">
        <v>1</v>
      </c>
      <c r="F34" s="13" t="n">
        <v>1</v>
      </c>
      <c r="G34" s="13" t="n">
        <v>1</v>
      </c>
      <c r="H34" s="13" t="n">
        <v>1</v>
      </c>
      <c r="I34" s="13" t="n">
        <v>1</v>
      </c>
      <c r="J34" s="13" t="n">
        <v>1</v>
      </c>
      <c r="K34" s="13" t="n">
        <v>1</v>
      </c>
      <c r="L34" s="13" t="n">
        <v>1</v>
      </c>
      <c r="M34" s="13" t="n">
        <v>1</v>
      </c>
      <c r="N34" s="13" t="n">
        <v>1</v>
      </c>
      <c r="O34" s="12">
        <f>COUNTIF(D34:N34,1)</f>
        <v/>
      </c>
      <c r="P34" s="12">
        <f>IF(COUNT(D34:N34)=0,"",ROUND(O34/11*100,1))</f>
        <v/>
      </c>
      <c r="Q34" s="12">
        <f>COUNTIF(D34:N34,0)</f>
        <v/>
      </c>
      <c r="R34" s="12">
        <f>IF(COUNT(D34:N34)=0,"",ROUND(Q34/11*100,1))</f>
        <v/>
      </c>
      <c r="S34" s="20">
        <f>IF(P34="","",IF(P34&gt;=Нэгтгэл!$K$4,"Хангалттай эзэмшиж байна",IF(P34&gt;=Нэгтгэл!$K$5,"Ахиж байна","Хөгжиж байна")))</f>
        <v/>
      </c>
    </row>
    <row r="35" ht="16" customHeight="1">
      <c r="A35" s="12" t="n">
        <v>29</v>
      </c>
      <c r="B35" s="12">
        <f>IF(Нэгтгэл!B35="","",Нэгтгэл!B35)</f>
        <v/>
      </c>
      <c r="C35" s="4" t="n"/>
      <c r="D35" s="13" t="n">
        <v>1</v>
      </c>
      <c r="E35" s="13" t="n">
        <v>0</v>
      </c>
      <c r="F35" s="13" t="n">
        <v>1</v>
      </c>
      <c r="G35" s="13" t="n">
        <v>1</v>
      </c>
      <c r="H35" s="13" t="n">
        <v>1</v>
      </c>
      <c r="I35" s="13" t="n">
        <v>1</v>
      </c>
      <c r="J35" s="13" t="n">
        <v>1</v>
      </c>
      <c r="K35" s="13" t="n">
        <v>1</v>
      </c>
      <c r="L35" s="13" t="n">
        <v>1</v>
      </c>
      <c r="M35" s="13" t="n">
        <v>1</v>
      </c>
      <c r="N35" s="13" t="n">
        <v>1</v>
      </c>
      <c r="O35" s="12">
        <f>COUNTIF(D35:N35,1)</f>
        <v/>
      </c>
      <c r="P35" s="12">
        <f>IF(COUNT(D35:N35)=0,"",ROUND(O35/11*100,1))</f>
        <v/>
      </c>
      <c r="Q35" s="12">
        <f>COUNTIF(D35:N35,0)</f>
        <v/>
      </c>
      <c r="R35" s="12">
        <f>IF(COUNT(D35:N35)=0,"",ROUND(Q35/11*100,1))</f>
        <v/>
      </c>
      <c r="S35" s="20">
        <f>IF(P35="","",IF(P35&gt;=Нэгтгэл!$K$4,"Хангалттай эзэмшиж байна",IF(P35&gt;=Нэгтгэл!$K$5,"Ахиж байна","Хөгжиж байна")))</f>
        <v/>
      </c>
    </row>
    <row r="36" ht="16" customHeight="1">
      <c r="A36" s="12" t="n">
        <v>30</v>
      </c>
      <c r="B36" s="12">
        <f>IF(Нэгтгэл!B36="","",Нэгтгэл!B36)</f>
        <v/>
      </c>
      <c r="C36" s="4" t="n"/>
      <c r="D36" s="13" t="n">
        <v>0</v>
      </c>
      <c r="E36" s="13" t="n">
        <v>1</v>
      </c>
      <c r="F36" s="13" t="n">
        <v>0</v>
      </c>
      <c r="G36" s="13" t="n">
        <v>1</v>
      </c>
      <c r="H36" s="13" t="n">
        <v>1</v>
      </c>
      <c r="I36" s="13" t="n">
        <v>0</v>
      </c>
      <c r="J36" s="13" t="n">
        <v>1</v>
      </c>
      <c r="K36" s="13" t="n">
        <v>1</v>
      </c>
      <c r="L36" s="13" t="n">
        <v>1</v>
      </c>
      <c r="M36" s="13" t="n">
        <v>0</v>
      </c>
      <c r="N36" s="13" t="n">
        <v>1</v>
      </c>
      <c r="O36" s="12">
        <f>COUNTIF(D36:N36,1)</f>
        <v/>
      </c>
      <c r="P36" s="12">
        <f>IF(COUNT(D36:N36)=0,"",ROUND(O36/11*100,1))</f>
        <v/>
      </c>
      <c r="Q36" s="12">
        <f>COUNTIF(D36:N36,0)</f>
        <v/>
      </c>
      <c r="R36" s="12">
        <f>IF(COUNT(D36:N36)=0,"",ROUND(Q36/11*100,1))</f>
        <v/>
      </c>
      <c r="S36" s="20">
        <f>IF(P36="","",IF(P36&gt;=Нэгтгэл!$K$4,"Хангалттай эзэмшиж байна",IF(P36&gt;=Нэгтгэл!$K$5,"Ахиж байна","Хөгжиж байна")))</f>
        <v/>
      </c>
    </row>
    <row r="37" ht="16" customHeight="1">
      <c r="A37" s="12" t="n">
        <v>31</v>
      </c>
      <c r="B37" s="12">
        <f>IF(Нэгтгэл!B37="","",Нэгтгэл!B37)</f>
        <v/>
      </c>
      <c r="C37" s="4" t="n"/>
      <c r="D37" s="13" t="n">
        <v>1</v>
      </c>
      <c r="E37" s="13" t="n">
        <v>1</v>
      </c>
      <c r="F37" s="13" t="n">
        <v>0</v>
      </c>
      <c r="G37" s="13" t="n">
        <v>1</v>
      </c>
      <c r="H37" s="13" t="n">
        <v>0</v>
      </c>
      <c r="I37" s="13" t="n">
        <v>1</v>
      </c>
      <c r="J37" s="13" t="n">
        <v>0</v>
      </c>
      <c r="K37" s="13" t="n">
        <v>0</v>
      </c>
      <c r="L37" s="13" t="n">
        <v>0</v>
      </c>
      <c r="M37" s="13" t="n">
        <v>1</v>
      </c>
      <c r="N37" s="13" t="n">
        <v>0</v>
      </c>
      <c r="O37" s="12">
        <f>COUNTIF(D37:N37,1)</f>
        <v/>
      </c>
      <c r="P37" s="12">
        <f>IF(COUNT(D37:N37)=0,"",ROUND(O37/11*100,1))</f>
        <v/>
      </c>
      <c r="Q37" s="12">
        <f>COUNTIF(D37:N37,0)</f>
        <v/>
      </c>
      <c r="R37" s="12">
        <f>IF(COUNT(D37:N37)=0,"",ROUND(Q37/11*100,1))</f>
        <v/>
      </c>
      <c r="S37" s="20">
        <f>IF(P37="","",IF(P37&gt;=Нэгтгэл!$K$4,"Хангалттай эзэмшиж байна",IF(P37&gt;=Нэгтгэл!$K$5,"Ахиж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5">
        <f>COUNTIF(J7:J37,1)</f>
        <v/>
      </c>
      <c r="K38" s="5">
        <f>COUNTIF(K7:K37,1)</f>
        <v/>
      </c>
      <c r="L38" s="5">
        <f>COUNTIF(L7:L37,1)</f>
        <v/>
      </c>
      <c r="M38" s="5">
        <f>COUNTIF(M7:M37,1)</f>
        <v/>
      </c>
      <c r="N38" s="5">
        <f>COUNTIF(N7:N37,1)</f>
        <v/>
      </c>
      <c r="O38" s="21" t="inlineStr">
        <is>
          <t>Хангалттай эзэмшиж байна</t>
        </is>
      </c>
      <c r="P38" s="22" t="n"/>
      <c r="Q38" s="22" t="n"/>
      <c r="R38" s="23" t="n"/>
      <c r="S38" s="5">
        <f>COUNTIF(S7:S37,"Хангалттай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5">
        <f>IF(COUNT(J7:J37)=0,"",ROUND(COUNTIF(J7:J37,1)/COUNT(J7:J37)*100,1))</f>
        <v/>
      </c>
      <c r="K39" s="5">
        <f>IF(COUNT(K7:K37)=0,"",ROUND(COUNTIF(K7:K37,1)/COUNT(K7:K37)*100,1))</f>
        <v/>
      </c>
      <c r="L39" s="5">
        <f>IF(COUNT(L7:L37)=0,"",ROUND(COUNTIF(L7:L37,1)/COUNT(L7:L37)*100,1))</f>
        <v/>
      </c>
      <c r="M39" s="5">
        <f>IF(COUNT(M7:M37)=0,"",ROUND(COUNTIF(M7:M37,1)/COUNT(M7:M37)*100,1))</f>
        <v/>
      </c>
      <c r="N39" s="5">
        <f>IF(COUNT(N7:N37)=0,"",ROUND(COUNTIF(N7:N37,1)/COUNT(N7:N37)*100,1))</f>
        <v/>
      </c>
      <c r="O39" s="21" t="inlineStr">
        <is>
          <t>Ахиж байна</t>
        </is>
      </c>
      <c r="P39" s="22" t="n"/>
      <c r="Q39" s="22" t="n"/>
      <c r="R39" s="23" t="n"/>
      <c r="S39" s="5">
        <f>COUNTIF(S7:S37,"Ахиж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5">
        <f>COUNTIF(J7:J37,0)</f>
        <v/>
      </c>
      <c r="K40" s="5">
        <f>COUNTIF(K7:K37,0)</f>
        <v/>
      </c>
      <c r="L40" s="5">
        <f>COUNTIF(L7:L37,0)</f>
        <v/>
      </c>
      <c r="M40" s="5">
        <f>COUNTIF(M7:M37,0)</f>
        <v/>
      </c>
      <c r="N40" s="5">
        <f>COUNTIF(N7:N37,0)</f>
        <v/>
      </c>
      <c r="O40" s="21" t="inlineStr">
        <is>
          <t>Хөгжиж байна</t>
        </is>
      </c>
      <c r="P40" s="22" t="n"/>
      <c r="Q40" s="22" t="n"/>
      <c r="R40" s="23" t="n"/>
      <c r="S40" s="5">
        <f>COUNTIF(S7:S37,"Хөгжиж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5">
        <f>IF(COUNT(J7:J37)=0,"",ROUND(COUNTIF(J7:J37,0)/COUNT(J7:J37)*100,1))</f>
        <v/>
      </c>
      <c r="K41" s="5">
        <f>IF(COUNT(K7:K37)=0,"",ROUND(COUNTIF(K7:K37,0)/COUNT(K7:K37)*100,1))</f>
        <v/>
      </c>
      <c r="L41" s="5">
        <f>IF(COUNT(L7:L37)=0,"",ROUND(COUNTIF(L7:L37,0)/COUNT(L7:L37)*100,1))</f>
        <v/>
      </c>
      <c r="M41" s="5">
        <f>IF(COUNT(M7:M37)=0,"",ROUND(COUNTIF(M7:M37,0)/COUNT(M7:M37)*100,1))</f>
        <v/>
      </c>
      <c r="N41" s="5">
        <f>IF(COUNT(N7:N37)=0,"",ROUND(COUNTIF(N7:N37,0)/COUNT(N7:N37)*100,1))</f>
        <v/>
      </c>
      <c r="O41" s="15" t="n"/>
      <c r="P41" s="15" t="n"/>
      <c r="Q41" s="15" t="n"/>
      <c r="R41" s="15" t="n"/>
      <c r="S41" s="15" t="n"/>
    </row>
  </sheetData>
  <mergeCells count="48">
    <mergeCell ref="A41:C41"/>
    <mergeCell ref="B16:C16"/>
    <mergeCell ref="B7:C7"/>
    <mergeCell ref="B25:C25"/>
    <mergeCell ref="S3:S6"/>
    <mergeCell ref="O3:O6"/>
    <mergeCell ref="Q3:Q6"/>
    <mergeCell ref="B22:C22"/>
    <mergeCell ref="B31:C31"/>
    <mergeCell ref="B18:C18"/>
    <mergeCell ref="B27:C27"/>
    <mergeCell ref="O38:R38"/>
    <mergeCell ref="B12:C12"/>
    <mergeCell ref="B21:C21"/>
    <mergeCell ref="B11:C11"/>
    <mergeCell ref="B23:C23"/>
    <mergeCell ref="A3:A6"/>
    <mergeCell ref="B14:C14"/>
    <mergeCell ref="B17:C17"/>
    <mergeCell ref="B8:C8"/>
    <mergeCell ref="A38:C38"/>
    <mergeCell ref="B13:C13"/>
    <mergeCell ref="B29:C29"/>
    <mergeCell ref="O39:R39"/>
    <mergeCell ref="B19:C19"/>
    <mergeCell ref="B34:C34"/>
    <mergeCell ref="B37:C37"/>
    <mergeCell ref="A1:S1"/>
    <mergeCell ref="B10:C10"/>
    <mergeCell ref="B28:C28"/>
    <mergeCell ref="A40:C40"/>
    <mergeCell ref="P3:P6"/>
    <mergeCell ref="O40:R40"/>
    <mergeCell ref="R3:R6"/>
    <mergeCell ref="A39:C39"/>
    <mergeCell ref="B9:C9"/>
    <mergeCell ref="D3:N3"/>
    <mergeCell ref="B3:C6"/>
    <mergeCell ref="B24:C24"/>
    <mergeCell ref="B30:C30"/>
    <mergeCell ref="B15:C15"/>
    <mergeCell ref="B33:C33"/>
    <mergeCell ref="B20:C20"/>
    <mergeCell ref="B36:C36"/>
    <mergeCell ref="B32:C32"/>
    <mergeCell ref="B26:C26"/>
    <mergeCell ref="B35:C35"/>
    <mergeCell ref="A2:S2"/>
  </mergeCells>
  <conditionalFormatting sqref="D7:N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J7 J8 J9 J10 J11 J12 J13 J14 J15 J16 J17 J18 J19 J20 J21 J22 J23 J24 J25 J26 J27 J28 J29 J30 J31 J32 J33 J34 J35 J36 J37 K7 K8 K9 K10 K11 K12 K13 K14 K15 K16 K17 K18 K19 K20 K21 K22 K23 K24 K25 K26 K27 K28 K29 K30 K31 K32 K33 K34 K35 K36 K37 L7 L8 L9 L10 L11 L12 L13 L14 L15 L16 L17 L18 L19 L20 L21 L22 L23 L24 L25 L26 L27 L28 L29 L30 L31 L32 L33 L34 L35 L36 L37 M7 M8 M9 M10 M11 M12 M13 M14 M15 M16 M17 M18 M19 M20 M21 M22 M23 M24 M25 M26 M27 M28 M29 M30 M31 M32 M33 M34 M35 M36 M37 N7 N8 N9 N10 N11 N12 N13 N14 N15 N16 N17 N18 N19 N20 N21 N22 N23 N24 N25 N26 N27 N28 N29 N30 N31 N32 N33 N34 N35 N36 N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AD41"/>
  <sheetViews>
    <sheetView workbookViewId="0">
      <selection activeCell="A1" sqref="A1"/>
    </sheetView>
  </sheetViews>
  <sheetFormatPr baseColWidth="8" defaultRowHeight="15"/>
  <cols>
    <col width="4.5" customWidth="1" min="1" max="1"/>
    <col width="8" customWidth="1" min="2" max="2"/>
    <col width="4"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7" customWidth="1" min="26" max="26"/>
    <col width="7" customWidth="1" min="27" max="27"/>
    <col width="8" customWidth="1" min="28" max="28"/>
    <col width="7" customWidth="1" min="29" max="29"/>
    <col width="14" customWidth="1" min="30" max="30"/>
  </cols>
  <sheetData>
    <row r="1">
      <c r="A1" s="1" t="inlineStr">
        <is>
          <t>................ ЦЭЦЭРЛЭГИЙН БАГА БҮЛГИЙН (2 НАС) ГАРААНЫ (ОНОШЛОХ) ҮНЭЛГЭЭ</t>
        </is>
      </c>
    </row>
    <row r="2">
      <c r="A2" s="18" t="inlineStr">
        <is>
          <t>Үнэлгээний хүрээ: Чадвар          Огноо: 20.... оны .... сар          Багш: ................................          Чадна = 1, Чадахгүй = 0  (А/79 журам, I түвшний шалгуур)</t>
        </is>
      </c>
    </row>
    <row r="3">
      <c r="A3" s="3" t="inlineStr">
        <is>
          <t>№</t>
        </is>
      </c>
      <c r="B3" s="3" t="inlineStr">
        <is>
          <t>Хүүхдийн код</t>
        </is>
      </c>
      <c r="C3" s="4" t="n"/>
      <c r="D3" s="3" t="inlineStr">
        <is>
          <t>Үнэлгээний хүрээ: Чадвар</t>
        </is>
      </c>
      <c r="E3" s="4" t="n"/>
      <c r="F3" s="4" t="n"/>
      <c r="G3" s="4" t="n"/>
      <c r="H3" s="4" t="n"/>
      <c r="I3" s="4" t="n"/>
      <c r="J3" s="4" t="n"/>
      <c r="K3" s="4" t="n"/>
      <c r="L3" s="4" t="n"/>
      <c r="M3" s="4" t="n"/>
      <c r="N3" s="4" t="n"/>
      <c r="O3" s="4" t="n"/>
      <c r="P3" s="4" t="n"/>
      <c r="Q3" s="4" t="n"/>
      <c r="R3" s="4" t="n"/>
      <c r="S3" s="4" t="n"/>
      <c r="T3" s="4" t="n"/>
      <c r="U3" s="4" t="n"/>
      <c r="V3" s="4" t="n"/>
      <c r="W3" s="4" t="n"/>
      <c r="X3" s="4" t="n"/>
      <c r="Y3" s="4" t="n"/>
      <c r="Z3" s="5" t="inlineStr">
        <is>
          <t>Чадна (1)</t>
        </is>
      </c>
      <c r="AA3" s="5" t="inlineStr">
        <is>
          <t>Хувь</t>
        </is>
      </c>
      <c r="AB3" s="5" t="inlineStr">
        <is>
          <t>Чадахгүй (0)</t>
        </is>
      </c>
      <c r="AC3" s="5" t="inlineStr">
        <is>
          <t>Хувь</t>
        </is>
      </c>
      <c r="AD3" s="5" t="inlineStr">
        <is>
          <t>Түвшин</t>
        </is>
      </c>
    </row>
    <row r="4" ht="164" customHeight="1">
      <c r="A4" s="4" t="n"/>
      <c r="B4" s="4" t="n"/>
      <c r="C4" s="4" t="n"/>
      <c r="D4" s="6" t="inlineStr">
        <is>
          <t>1-2 саадыг сүлжиж алхдаг (10 метр зайд).</t>
        </is>
      </c>
      <c r="E4" s="6" t="inlineStr">
        <is>
          <t>Хоорондоо 20 см зайтай байрлуулсан зураасны дундуур шулуун чиглэлээр гүйдэг.</t>
        </is>
      </c>
      <c r="F4" s="6" t="inlineStr">
        <is>
          <t>20 см зайтай зураасны хооронд дөрвөн хөллөж мөлхдөг.</t>
        </is>
      </c>
      <c r="G4" s="6" t="inlineStr">
        <is>
          <t>Хоёр хөл дээрээ үсэрч буудаг.</t>
        </is>
      </c>
      <c r="H4" s="6" t="inlineStr">
        <is>
          <t>Тоглоом, юмс (бөмбөг, базсан цаас гэх мэт)-ыг тодорхой чиглэлд (урагш, дээш гэх мэт) шидэж дамжуулдаг.</t>
        </is>
      </c>
      <c r="I4" s="6" t="inlineStr">
        <is>
          <t>Гар, нүүр, шүдээ угаах, хоолой амаа зайлах үйлийг бусдын дэмжлэгтэйгээр хийж чаддаг.</t>
        </is>
      </c>
      <c r="J4" s="6" t="inlineStr">
        <is>
          <t>Хоолны хэрэгслийг зориулалтын дагуу хэрэглэдэг.</t>
        </is>
      </c>
      <c r="K4" s="6" t="inlineStr">
        <is>
          <t>Бусдын яриаг сонсож ойлгоод, үг, үйлдэл, дохио зангаагаар харилцдаг.</t>
        </is>
      </c>
      <c r="L4" s="6" t="inlineStr">
        <is>
          <t>Энгийн өгүүлбэрийг дуурайн хэлдэг.</t>
        </is>
      </c>
      <c r="M4" s="6" t="inlineStr">
        <is>
          <t>Авиа, үгийг сонсоод давтан хэлдэг.</t>
        </is>
      </c>
      <c r="N4" s="6" t="inlineStr">
        <is>
          <t>Ярилцах болон тоглох явцад асуулт асуухыг оролддог.</t>
        </is>
      </c>
      <c r="O4" s="6" t="inlineStr">
        <is>
          <t>3 хүртэлх тоглоом, юмсыг тоолдог.</t>
        </is>
      </c>
      <c r="P4" s="6" t="inlineStr">
        <is>
          <t>Том, жижгийг ялгадаг.</t>
        </is>
      </c>
      <c r="Q4" s="6" t="inlineStr">
        <is>
          <t>Юмсыг нэг ижил шинжээр нь ангилдаг.</t>
        </is>
      </c>
      <c r="R4" s="6" t="inlineStr">
        <is>
          <t>Харандаагаар мөр, зураас гаргадаг.</t>
        </is>
      </c>
      <c r="S4" s="6" t="inlineStr">
        <is>
          <t>Бусдын үйлийг ажиглаж дуурайдаг.</t>
        </is>
      </c>
      <c r="T4" s="6" t="inlineStr">
        <is>
          <t>Бэлдэц дүрс ашиглан бусдын дэмжлэгтэй наамал хийдэг.</t>
        </is>
      </c>
      <c r="U4" s="6" t="inlineStr">
        <is>
          <t>Хэв ашиглан хэлбэр гаргадаг.</t>
        </is>
      </c>
      <c r="V4" s="6" t="inlineStr">
        <is>
          <t>Тоглоом, эд юмсыг бусдын дэмжлэгтэй өрдөг.</t>
        </is>
      </c>
      <c r="W4" s="6" t="inlineStr">
        <is>
          <t>Өөрийн хэрэгцээ, биеийн зарим мэдрэмжээ нүүрний хувирал, биеийн хөдөлгөөн, үгээр илэрхийлдэг.</t>
        </is>
      </c>
      <c r="X4" s="6" t="inlineStr">
        <is>
          <t>Хүн, амьтны дуу авиаг сонсоод ялгадаг.</t>
        </is>
      </c>
      <c r="Y4" s="6" t="inlineStr">
        <is>
          <t>Дуу, хөгжмийн хэмнэлийг хөдөлгөөн (алга таших, өвдөг цохих гэх мэт)-өөр илэрхийлдэг.</t>
        </is>
      </c>
      <c r="Z4" s="4" t="n"/>
      <c r="AA4" s="4" t="n"/>
      <c r="AB4" s="4" t="n"/>
      <c r="AC4" s="4" t="n"/>
      <c r="AD4" s="4" t="n"/>
    </row>
    <row r="5" ht="250" customHeight="1">
      <c r="A5" s="4" t="n"/>
      <c r="B5" s="4" t="n"/>
      <c r="C5" s="4" t="n"/>
      <c r="D5" s="19" t="inlineStr">
        <is>
          <t>СҮД: ХЭМ1.1г. Байрандаа болон чиглэлээ өөрчилж алхаж, гүйнэ.</t>
        </is>
      </c>
      <c r="E5" s="19" t="inlineStr">
        <is>
          <t>СҮД: ХЭМ1.1г. Байрандаа болон чиглэлээ өөрчилж алхаж, гүйнэ.</t>
        </is>
      </c>
      <c r="F5" s="19" t="inlineStr">
        <is>
          <t>СҮД: ХЭМ1.1е. Дөрвөн хөллөж 20 см-ын зайтай зураасны хооронд мөлхөнө.</t>
        </is>
      </c>
      <c r="G5" s="19" t="inlineStr">
        <is>
          <t>СҮД: ХЭМ1.1и. Хоёр хөл дээр байрандаа үсэрч бууна.</t>
        </is>
      </c>
      <c r="H5" s="19" t="inlineStr">
        <is>
          <t>СҮД: ХЭМ1.1м. Бөмбөгийг ойр зайд шидэж дамжуулна, барьж авна.</t>
        </is>
      </c>
      <c r="I5" s="19" t="inlineStr">
        <is>
          <t>СҮД: ХЭМ1.2а. Хувийн ариун цэврийг сахих үйлийг насанд хүрэгчийн дэмжлэгтэйгээр хамтран хийнэ.</t>
        </is>
      </c>
      <c r="J5" s="19" t="inlineStr">
        <is>
          <t>СҮД: ХЭМ1.2г. Хоолны хэрэгслийг нэрлэж, зориулалтын дагуу хэрэглэнэ.</t>
        </is>
      </c>
      <c r="K5" s="19" t="inlineStr">
        <is>
          <t>СҮД: ХЯ1.1а. Бусдын яриаг сонсоод ойлгосноо үг үйлдлээр илэрхийлнэ.</t>
        </is>
      </c>
      <c r="L5" s="19" t="inlineStr">
        <is>
          <t>СҮД: ХЯ1.2д. Энгийн өгүүлбэрийг давтан хэлнэ.</t>
        </is>
      </c>
      <c r="M5" s="19" t="inlineStr">
        <is>
          <t>СҮД: ХЯ1.1б. Хэлсэн авиаг сонсоод давтан хэлнэ.</t>
        </is>
      </c>
      <c r="N5" s="19" t="inlineStr">
        <is>
          <t>СҮД: ХЯ1.2б. Ярилцахдаа асуулт асуух оролдлого хийнэ.</t>
        </is>
      </c>
      <c r="O5" s="19" t="inlineStr">
        <is>
          <t>СҮД: МАТ1.1а. Гэр, цэцэрлэгийн орчин тойронд байх юмсаас 1 эсвэл 3 ширхэг тоглоом, юмсыг заах, нэг гэж хэлнэ.</t>
        </is>
      </c>
      <c r="P5" s="19" t="inlineStr">
        <is>
          <t>СҮД: МАТ1.3а. Тоглоом юмсаас тодорхой шинжтэй зүйлийг ялгана.</t>
        </is>
      </c>
      <c r="Q5" s="19" t="inlineStr">
        <is>
          <t>СҮД: МАТ1.3а. Тоглоом юмсаас тодорхой шинжтэй зүйлийг ялгана.</t>
        </is>
      </c>
      <c r="R5" s="19" t="inlineStr">
        <is>
          <t>СҮД: ХЯ1.3в. Харандаа барьж, цаасан дээр мөр гаргана.
ЗУ1.2а. Зурах хэрэгслүүдийг ашиглан зурааслаж дүрсэлнэ.</t>
        </is>
      </c>
      <c r="S5" s="19" t="inlineStr">
        <is>
          <t>СҮД: НСХ1.3б. Бусад хүмүүс ижил зүйл хийж байгааг ажиглаж мэддэг болно.</t>
        </is>
      </c>
      <c r="T5" s="19" t="inlineStr">
        <is>
          <t>СҮД: ЗУ1.2д. Бэлдэц дүрсээр бусдын дэмжлэгтэй нааж бүтээл урлана.</t>
        </is>
      </c>
      <c r="U5" s="19" t="inlineStr">
        <is>
          <t>СҮД: ЗУ1.2г. Баримлын шавраар нэг бүтэцтэй зүйлийг бусдын дэмжлэгтэй барина.</t>
        </is>
      </c>
      <c r="V5" s="19" t="inlineStr">
        <is>
          <t>СҮД: ЗУ1.2е. Өрж байгуулах, эвлүүлэх аргаар тоглоом, эд юмсыг бусдын дэмжлэгтэй бүтээнэ.</t>
        </is>
      </c>
      <c r="W5" s="19" t="inlineStr">
        <is>
          <t>СҮД: НСХ1.1а. Биеийн зарим мэдрэмжээ нүүр, гар, биеийн хөдөлгөөн, дуу авиа, үгээр илэрхийлдэг болно.
НСХ1.1б. Өөрийн хэрэгцээг нүүр, гар, биеийн хөдөлгөөн, дуу авиа, үгээр илэрхийлдэг болно.</t>
        </is>
      </c>
      <c r="X5" s="19" t="inlineStr">
        <is>
          <t>СҮД: ХӨГ1.1а. Хүн, амьтны дуу авиаг ялган таньдаг болно.</t>
        </is>
      </c>
      <c r="Y5" s="19" t="inlineStr">
        <is>
          <t>СҮД: ХӨГ1.1в. Дуу, аялгууны хэмнэлд тохируулан хөдөлгөөн хийнэ.</t>
        </is>
      </c>
      <c r="Z5" s="4" t="n"/>
      <c r="AA5" s="4" t="n"/>
      <c r="AB5" s="4" t="n"/>
      <c r="AC5" s="4" t="n"/>
      <c r="AD5" s="4" t="n"/>
    </row>
    <row r="6" ht="14" customHeight="1">
      <c r="A6" s="4" t="n"/>
      <c r="B6" s="4" t="n"/>
      <c r="C6" s="4" t="n"/>
      <c r="D6" s="10" t="inlineStr">
        <is>
          <t>1 / 0</t>
        </is>
      </c>
      <c r="E6" s="10" t="inlineStr">
        <is>
          <t>1 / 0</t>
        </is>
      </c>
      <c r="F6" s="10" t="inlineStr">
        <is>
          <t>1 / 0</t>
        </is>
      </c>
      <c r="G6" s="10" t="inlineStr">
        <is>
          <t>1 / 0</t>
        </is>
      </c>
      <c r="H6" s="10" t="inlineStr">
        <is>
          <t>1 / 0</t>
        </is>
      </c>
      <c r="I6" s="10" t="inlineStr">
        <is>
          <t>1 / 0</t>
        </is>
      </c>
      <c r="J6" s="10" t="inlineStr">
        <is>
          <t>1 / 0</t>
        </is>
      </c>
      <c r="K6" s="10" t="inlineStr">
        <is>
          <t>1 / 0</t>
        </is>
      </c>
      <c r="L6" s="10" t="inlineStr">
        <is>
          <t>1 / 0</t>
        </is>
      </c>
      <c r="M6" s="10" t="inlineStr">
        <is>
          <t>1 / 0</t>
        </is>
      </c>
      <c r="N6" s="10" t="inlineStr">
        <is>
          <t>1 / 0</t>
        </is>
      </c>
      <c r="O6" s="10" t="inlineStr">
        <is>
          <t>1 / 0</t>
        </is>
      </c>
      <c r="P6" s="10" t="inlineStr">
        <is>
          <t>1 / 0</t>
        </is>
      </c>
      <c r="Q6" s="10" t="inlineStr">
        <is>
          <t>1 / 0</t>
        </is>
      </c>
      <c r="R6" s="10" t="inlineStr">
        <is>
          <t>1 / 0</t>
        </is>
      </c>
      <c r="S6" s="10" t="inlineStr">
        <is>
          <t>1 / 0</t>
        </is>
      </c>
      <c r="T6" s="10" t="inlineStr">
        <is>
          <t>1 / 0</t>
        </is>
      </c>
      <c r="U6" s="10" t="inlineStr">
        <is>
          <t>1 / 0</t>
        </is>
      </c>
      <c r="V6" s="10" t="inlineStr">
        <is>
          <t>1 / 0</t>
        </is>
      </c>
      <c r="W6" s="10" t="inlineStr">
        <is>
          <t>1 / 0</t>
        </is>
      </c>
      <c r="X6" s="10" t="inlineStr">
        <is>
          <t>1 / 0</t>
        </is>
      </c>
      <c r="Y6" s="10" t="inlineStr">
        <is>
          <t>1 / 0</t>
        </is>
      </c>
      <c r="Z6" s="4" t="n"/>
      <c r="AA6" s="4" t="n"/>
      <c r="AB6" s="4" t="n"/>
      <c r="AC6" s="4" t="n"/>
      <c r="AD6" s="4" t="n"/>
    </row>
    <row r="7" ht="16" customHeight="1">
      <c r="A7" s="12" t="n">
        <v>1</v>
      </c>
      <c r="B7" s="12">
        <f>IF(Нэгтгэл!B7="","",Нэгтгэл!B7)</f>
        <v/>
      </c>
      <c r="C7" s="4" t="n"/>
      <c r="D7" s="13" t="n">
        <v>0</v>
      </c>
      <c r="E7" s="13" t="n">
        <v>1</v>
      </c>
      <c r="F7" s="13" t="n">
        <v>0</v>
      </c>
      <c r="G7" s="13" t="n">
        <v>1</v>
      </c>
      <c r="H7" s="13" t="n">
        <v>1</v>
      </c>
      <c r="I7" s="13" t="n">
        <v>1</v>
      </c>
      <c r="J7" s="13" t="n">
        <v>1</v>
      </c>
      <c r="K7" s="13" t="n">
        <v>1</v>
      </c>
      <c r="L7" s="13" t="n">
        <v>1</v>
      </c>
      <c r="M7" s="13" t="n">
        <v>0</v>
      </c>
      <c r="N7" s="13" t="n">
        <v>1</v>
      </c>
      <c r="O7" s="13" t="n">
        <v>1</v>
      </c>
      <c r="P7" s="13" t="n">
        <v>1</v>
      </c>
      <c r="Q7" s="13" t="n">
        <v>1</v>
      </c>
      <c r="R7" s="13" t="n">
        <v>0</v>
      </c>
      <c r="S7" s="13" t="n">
        <v>0</v>
      </c>
      <c r="T7" s="13" t="n">
        <v>0</v>
      </c>
      <c r="U7" s="13" t="n">
        <v>0</v>
      </c>
      <c r="V7" s="13" t="n">
        <v>1</v>
      </c>
      <c r="W7" s="13" t="n">
        <v>0</v>
      </c>
      <c r="X7" s="13" t="n">
        <v>1</v>
      </c>
      <c r="Y7" s="13" t="n">
        <v>1</v>
      </c>
      <c r="Z7" s="12">
        <f>COUNTIF(D7:Y7,1)</f>
        <v/>
      </c>
      <c r="AA7" s="12">
        <f>IF(COUNT(D7:Y7)=0,"",ROUND(Z7/22*100,1))</f>
        <v/>
      </c>
      <c r="AB7" s="12">
        <f>COUNTIF(D7:Y7,0)</f>
        <v/>
      </c>
      <c r="AC7" s="12">
        <f>IF(COUNT(D7:Y7)=0,"",ROUND(AB7/22*100,1))</f>
        <v/>
      </c>
      <c r="AD7" s="20">
        <f>IF(AA7="","",IF(AA7&gt;=Нэгтгэл!$K$4,"Хангалттай эзэмшиж байна",IF(AA7&gt;=Нэгтгэл!$K$5,"Ахиж байна","Хөгжиж байна")))</f>
        <v/>
      </c>
    </row>
    <row r="8" ht="16" customHeight="1">
      <c r="A8" s="12" t="n">
        <v>2</v>
      </c>
      <c r="B8" s="12">
        <f>IF(Нэгтгэл!B8="","",Нэгтгэл!B8)</f>
        <v/>
      </c>
      <c r="C8" s="4" t="n"/>
      <c r="D8" s="13" t="n">
        <v>1</v>
      </c>
      <c r="E8" s="13" t="n">
        <v>0</v>
      </c>
      <c r="F8" s="13" t="n">
        <v>1</v>
      </c>
      <c r="G8" s="13" t="n">
        <v>0</v>
      </c>
      <c r="H8" s="13" t="n">
        <v>0</v>
      </c>
      <c r="I8" s="13" t="n">
        <v>1</v>
      </c>
      <c r="J8" s="13" t="n">
        <v>1</v>
      </c>
      <c r="K8" s="13" t="n">
        <v>0</v>
      </c>
      <c r="L8" s="13" t="n">
        <v>1</v>
      </c>
      <c r="M8" s="13" t="n">
        <v>1</v>
      </c>
      <c r="N8" s="13" t="n">
        <v>0</v>
      </c>
      <c r="O8" s="13" t="n">
        <v>1</v>
      </c>
      <c r="P8" s="13" t="n">
        <v>0</v>
      </c>
      <c r="Q8" s="13" t="n">
        <v>1</v>
      </c>
      <c r="R8" s="13" t="n">
        <v>1</v>
      </c>
      <c r="S8" s="13" t="n">
        <v>1</v>
      </c>
      <c r="T8" s="13" t="n">
        <v>1</v>
      </c>
      <c r="U8" s="13" t="n">
        <v>1</v>
      </c>
      <c r="V8" s="13" t="n">
        <v>0</v>
      </c>
      <c r="W8" s="13" t="n">
        <v>1</v>
      </c>
      <c r="X8" s="13" t="n">
        <v>1</v>
      </c>
      <c r="Y8" s="13" t="n">
        <v>1</v>
      </c>
      <c r="Z8" s="12">
        <f>COUNTIF(D8:Y8,1)</f>
        <v/>
      </c>
      <c r="AA8" s="12">
        <f>IF(COUNT(D8:Y8)=0,"",ROUND(Z8/22*100,1))</f>
        <v/>
      </c>
      <c r="AB8" s="12">
        <f>COUNTIF(D8:Y8,0)</f>
        <v/>
      </c>
      <c r="AC8" s="12">
        <f>IF(COUNT(D8:Y8)=0,"",ROUND(AB8/22*100,1))</f>
        <v/>
      </c>
      <c r="AD8" s="20">
        <f>IF(AA8="","",IF(AA8&gt;=Нэгтгэл!$K$4,"Хангалттай эзэмшиж байна",IF(AA8&gt;=Нэгтгэл!$K$5,"Ахиж байна","Хөгжиж байна")))</f>
        <v/>
      </c>
    </row>
    <row r="9" ht="16" customHeight="1">
      <c r="A9" s="12" t="n">
        <v>3</v>
      </c>
      <c r="B9" s="12">
        <f>IF(Нэгтгэл!B9="","",Нэгтгэл!B9)</f>
        <v/>
      </c>
      <c r="C9" s="4" t="n"/>
      <c r="D9" s="13" t="n">
        <v>1</v>
      </c>
      <c r="E9" s="13" t="n">
        <v>0</v>
      </c>
      <c r="F9" s="13" t="n">
        <v>1</v>
      </c>
      <c r="G9" s="13" t="n">
        <v>1</v>
      </c>
      <c r="H9" s="13" t="n">
        <v>1</v>
      </c>
      <c r="I9" s="13" t="n">
        <v>1</v>
      </c>
      <c r="J9" s="13" t="n">
        <v>0</v>
      </c>
      <c r="K9" s="13" t="n">
        <v>1</v>
      </c>
      <c r="L9" s="13" t="n">
        <v>0</v>
      </c>
      <c r="M9" s="13" t="n">
        <v>1</v>
      </c>
      <c r="N9" s="13" t="n">
        <v>1</v>
      </c>
      <c r="O9" s="13" t="n">
        <v>1</v>
      </c>
      <c r="P9" s="13" t="n">
        <v>1</v>
      </c>
      <c r="Q9" s="13" t="n">
        <v>0</v>
      </c>
      <c r="R9" s="13" t="n">
        <v>0</v>
      </c>
      <c r="S9" s="13" t="n">
        <v>0</v>
      </c>
      <c r="T9" s="13" t="n">
        <v>0</v>
      </c>
      <c r="U9" s="13" t="n">
        <v>1</v>
      </c>
      <c r="V9" s="13" t="n">
        <v>1</v>
      </c>
      <c r="W9" s="13" t="n">
        <v>1</v>
      </c>
      <c r="X9" s="13" t="n">
        <v>1</v>
      </c>
      <c r="Y9" s="13" t="n">
        <v>1</v>
      </c>
      <c r="Z9" s="12">
        <f>COUNTIF(D9:Y9,1)</f>
        <v/>
      </c>
      <c r="AA9" s="12">
        <f>IF(COUNT(D9:Y9)=0,"",ROUND(Z9/22*100,1))</f>
        <v/>
      </c>
      <c r="AB9" s="12">
        <f>COUNTIF(D9:Y9,0)</f>
        <v/>
      </c>
      <c r="AC9" s="12">
        <f>IF(COUNT(D9:Y9)=0,"",ROUND(AB9/22*100,1))</f>
        <v/>
      </c>
      <c r="AD9" s="20">
        <f>IF(AA9="","",IF(AA9&gt;=Нэгтгэл!$K$4,"Хангалттай эзэмшиж байна",IF(AA9&gt;=Нэгтгэл!$K$5,"Ахиж байна","Хөгжиж байна")))</f>
        <v/>
      </c>
    </row>
    <row r="10" ht="16" customHeight="1">
      <c r="A10" s="12" t="n">
        <v>4</v>
      </c>
      <c r="B10" s="12">
        <f>IF(Нэгтгэл!B10="","",Нэгтгэл!B10)</f>
        <v/>
      </c>
      <c r="C10" s="4" t="n"/>
      <c r="D10" s="13" t="n">
        <v>0</v>
      </c>
      <c r="E10" s="13" t="n">
        <v>1</v>
      </c>
      <c r="F10" s="13" t="n">
        <v>0</v>
      </c>
      <c r="G10" s="13" t="n">
        <v>1</v>
      </c>
      <c r="H10" s="13" t="n">
        <v>1</v>
      </c>
      <c r="I10" s="13" t="n">
        <v>1</v>
      </c>
      <c r="J10" s="13" t="n">
        <v>1</v>
      </c>
      <c r="K10" s="13" t="n">
        <v>1</v>
      </c>
      <c r="L10" s="13" t="n">
        <v>1</v>
      </c>
      <c r="M10" s="13" t="n">
        <v>1</v>
      </c>
      <c r="N10" s="13" t="n">
        <v>1</v>
      </c>
      <c r="O10" s="13" t="n">
        <v>0</v>
      </c>
      <c r="P10" s="13" t="n">
        <v>1</v>
      </c>
      <c r="Q10" s="13" t="n">
        <v>0</v>
      </c>
      <c r="R10" s="13" t="n">
        <v>0</v>
      </c>
      <c r="S10" s="13" t="n">
        <v>1</v>
      </c>
      <c r="T10" s="13" t="n">
        <v>1</v>
      </c>
      <c r="U10" s="13" t="n">
        <v>1</v>
      </c>
      <c r="V10" s="13" t="n">
        <v>1</v>
      </c>
      <c r="W10" s="13" t="n">
        <v>0</v>
      </c>
      <c r="X10" s="13" t="n">
        <v>1</v>
      </c>
      <c r="Y10" s="13" t="n">
        <v>1</v>
      </c>
      <c r="Z10" s="12">
        <f>COUNTIF(D10:Y10,1)</f>
        <v/>
      </c>
      <c r="AA10" s="12">
        <f>IF(COUNT(D10:Y10)=0,"",ROUND(Z10/22*100,1))</f>
        <v/>
      </c>
      <c r="AB10" s="12">
        <f>COUNTIF(D10:Y10,0)</f>
        <v/>
      </c>
      <c r="AC10" s="12">
        <f>IF(COUNT(D10:Y10)=0,"",ROUND(AB10/22*100,1))</f>
        <v/>
      </c>
      <c r="AD10" s="20">
        <f>IF(AA10="","",IF(AA10&gt;=Нэгтгэл!$K$4,"Хангалттай эзэмшиж байна",IF(AA10&gt;=Нэгтгэл!$K$5,"Ахиж байна","Хөгжиж байна")))</f>
        <v/>
      </c>
    </row>
    <row r="11" ht="16" customHeight="1">
      <c r="A11" s="12" t="n">
        <v>5</v>
      </c>
      <c r="B11" s="12">
        <f>IF(Нэгтгэл!B11="","",Нэгтгэл!B11)</f>
        <v/>
      </c>
      <c r="C11" s="4" t="n"/>
      <c r="D11" s="13" t="n">
        <v>0</v>
      </c>
      <c r="E11" s="13" t="n">
        <v>1</v>
      </c>
      <c r="F11" s="13" t="n">
        <v>1</v>
      </c>
      <c r="G11" s="13" t="n">
        <v>1</v>
      </c>
      <c r="H11" s="13" t="n">
        <v>1</v>
      </c>
      <c r="I11" s="13" t="n">
        <v>0</v>
      </c>
      <c r="J11" s="13" t="n">
        <v>1</v>
      </c>
      <c r="K11" s="13" t="n">
        <v>1</v>
      </c>
      <c r="L11" s="13" t="n">
        <v>1</v>
      </c>
      <c r="M11" s="13" t="n">
        <v>0</v>
      </c>
      <c r="N11" s="13" t="n">
        <v>1</v>
      </c>
      <c r="O11" s="13" t="n">
        <v>1</v>
      </c>
      <c r="P11" s="13" t="n">
        <v>1</v>
      </c>
      <c r="Q11" s="13" t="n">
        <v>1</v>
      </c>
      <c r="R11" s="13" t="n">
        <v>0</v>
      </c>
      <c r="S11" s="13" t="n">
        <v>0</v>
      </c>
      <c r="T11" s="13" t="n">
        <v>0</v>
      </c>
      <c r="U11" s="13" t="n">
        <v>1</v>
      </c>
      <c r="V11" s="13" t="n">
        <v>1</v>
      </c>
      <c r="W11" s="13" t="n">
        <v>0</v>
      </c>
      <c r="X11" s="13" t="n">
        <v>1</v>
      </c>
      <c r="Y11" s="13" t="n">
        <v>1</v>
      </c>
      <c r="Z11" s="12">
        <f>COUNTIF(D11:Y11,1)</f>
        <v/>
      </c>
      <c r="AA11" s="12">
        <f>IF(COUNT(D11:Y11)=0,"",ROUND(Z11/22*100,1))</f>
        <v/>
      </c>
      <c r="AB11" s="12">
        <f>COUNTIF(D11:Y11,0)</f>
        <v/>
      </c>
      <c r="AC11" s="12">
        <f>IF(COUNT(D11:Y11)=0,"",ROUND(AB11/22*100,1))</f>
        <v/>
      </c>
      <c r="AD11" s="20">
        <f>IF(AA11="","",IF(AA11&gt;=Нэгтгэл!$K$4,"Хангалттай эзэмшиж байна",IF(AA11&gt;=Нэгтгэл!$K$5,"Ахиж байна","Хөгжиж байна")))</f>
        <v/>
      </c>
    </row>
    <row r="12" ht="16" customHeight="1">
      <c r="A12" s="12" t="n">
        <v>6</v>
      </c>
      <c r="B12" s="12">
        <f>IF(Нэгтгэл!B12="","",Нэгтгэл!B12)</f>
        <v/>
      </c>
      <c r="C12" s="4" t="n"/>
      <c r="D12" s="13" t="n">
        <v>1</v>
      </c>
      <c r="E12" s="13" t="n">
        <v>0</v>
      </c>
      <c r="F12" s="13" t="n">
        <v>1</v>
      </c>
      <c r="G12" s="13" t="n">
        <v>0</v>
      </c>
      <c r="H12" s="13" t="n">
        <v>1</v>
      </c>
      <c r="I12" s="13" t="n">
        <v>1</v>
      </c>
      <c r="J12" s="13" t="n">
        <v>0</v>
      </c>
      <c r="K12" s="13" t="n">
        <v>1</v>
      </c>
      <c r="L12" s="13" t="n">
        <v>1</v>
      </c>
      <c r="M12" s="13" t="n">
        <v>1</v>
      </c>
      <c r="N12" s="13" t="n">
        <v>0</v>
      </c>
      <c r="O12" s="13" t="n">
        <v>1</v>
      </c>
      <c r="P12" s="13" t="n">
        <v>0</v>
      </c>
      <c r="Q12" s="13" t="n">
        <v>1</v>
      </c>
      <c r="R12" s="13" t="n">
        <v>1</v>
      </c>
      <c r="S12" s="13" t="n">
        <v>1</v>
      </c>
      <c r="T12" s="13" t="n">
        <v>1</v>
      </c>
      <c r="U12" s="13" t="n">
        <v>0</v>
      </c>
      <c r="V12" s="13" t="n">
        <v>1</v>
      </c>
      <c r="W12" s="13" t="n">
        <v>1</v>
      </c>
      <c r="X12" s="13" t="n">
        <v>1</v>
      </c>
      <c r="Y12" s="13" t="n">
        <v>1</v>
      </c>
      <c r="Z12" s="12">
        <f>COUNTIF(D12:Y12,1)</f>
        <v/>
      </c>
      <c r="AA12" s="12">
        <f>IF(COUNT(D12:Y12)=0,"",ROUND(Z12/22*100,1))</f>
        <v/>
      </c>
      <c r="AB12" s="12">
        <f>COUNTIF(D12:Y12,0)</f>
        <v/>
      </c>
      <c r="AC12" s="12">
        <f>IF(COUNT(D12:Y12)=0,"",ROUND(AB12/22*100,1))</f>
        <v/>
      </c>
      <c r="AD12" s="20">
        <f>IF(AA12="","",IF(AA12&gt;=Нэгтгэл!$K$4,"Хангалттай эзэмшиж байна",IF(AA12&gt;=Нэгтгэл!$K$5,"Ахиж байна","Хөгжиж байна")))</f>
        <v/>
      </c>
    </row>
    <row r="13" ht="16" customHeight="1">
      <c r="A13" s="12" t="n">
        <v>7</v>
      </c>
      <c r="B13" s="12">
        <f>IF(Нэгтгэл!B13="","",Нэгтгэл!B13)</f>
        <v/>
      </c>
      <c r="C13" s="4" t="n"/>
      <c r="D13" s="13" t="n">
        <v>1</v>
      </c>
      <c r="E13" s="13" t="n">
        <v>1</v>
      </c>
      <c r="F13" s="13" t="n">
        <v>1</v>
      </c>
      <c r="G13" s="13" t="n">
        <v>1</v>
      </c>
      <c r="H13" s="13" t="n">
        <v>1</v>
      </c>
      <c r="I13" s="13" t="n">
        <v>1</v>
      </c>
      <c r="J13" s="13" t="n">
        <v>0</v>
      </c>
      <c r="K13" s="13" t="n">
        <v>0</v>
      </c>
      <c r="L13" s="13" t="n">
        <v>0</v>
      </c>
      <c r="M13" s="13" t="n">
        <v>0</v>
      </c>
      <c r="N13" s="13" t="n">
        <v>1</v>
      </c>
      <c r="O13" s="13" t="n">
        <v>1</v>
      </c>
      <c r="P13" s="13" t="n">
        <v>1</v>
      </c>
      <c r="Q13" s="13" t="n">
        <v>1</v>
      </c>
      <c r="R13" s="13" t="n">
        <v>1</v>
      </c>
      <c r="S13" s="13" t="n">
        <v>0</v>
      </c>
      <c r="T13" s="13" t="n">
        <v>0</v>
      </c>
      <c r="U13" s="13" t="n">
        <v>1</v>
      </c>
      <c r="V13" s="13" t="n">
        <v>1</v>
      </c>
      <c r="W13" s="13" t="n">
        <v>1</v>
      </c>
      <c r="X13" s="13" t="n">
        <v>1</v>
      </c>
      <c r="Y13" s="13" t="n">
        <v>1</v>
      </c>
      <c r="Z13" s="12">
        <f>COUNTIF(D13:Y13,1)</f>
        <v/>
      </c>
      <c r="AA13" s="12">
        <f>IF(COUNT(D13:Y13)=0,"",ROUND(Z13/22*100,1))</f>
        <v/>
      </c>
      <c r="AB13" s="12">
        <f>COUNTIF(D13:Y13,0)</f>
        <v/>
      </c>
      <c r="AC13" s="12">
        <f>IF(COUNT(D13:Y13)=0,"",ROUND(AB13/22*100,1))</f>
        <v/>
      </c>
      <c r="AD13" s="20">
        <f>IF(AA13="","",IF(AA13&gt;=Нэгтгэл!$K$4,"Хангалттай эзэмшиж байна",IF(AA13&gt;=Нэгтгэл!$K$5,"Ахиж байна","Хөгжиж байна")))</f>
        <v/>
      </c>
    </row>
    <row r="14" ht="16" customHeight="1">
      <c r="A14" s="12" t="n">
        <v>8</v>
      </c>
      <c r="B14" s="12">
        <f>IF(Нэгтгэл!B14="","",Нэгтгэл!B14)</f>
        <v/>
      </c>
      <c r="C14" s="4" t="n"/>
      <c r="D14" s="13" t="n">
        <v>1</v>
      </c>
      <c r="E14" s="13" t="n">
        <v>0</v>
      </c>
      <c r="F14" s="13" t="n">
        <v>1</v>
      </c>
      <c r="G14" s="13" t="n">
        <v>0</v>
      </c>
      <c r="H14" s="13" t="n">
        <v>1</v>
      </c>
      <c r="I14" s="13" t="n">
        <v>1</v>
      </c>
      <c r="J14" s="13" t="n">
        <v>1</v>
      </c>
      <c r="K14" s="13" t="n">
        <v>1</v>
      </c>
      <c r="L14" s="13" t="n">
        <v>0</v>
      </c>
      <c r="M14" s="13" t="n">
        <v>1</v>
      </c>
      <c r="N14" s="13" t="n">
        <v>1</v>
      </c>
      <c r="O14" s="13" t="n">
        <v>1</v>
      </c>
      <c r="P14" s="13" t="n">
        <v>1</v>
      </c>
      <c r="Q14" s="13" t="n">
        <v>1</v>
      </c>
      <c r="R14" s="13" t="n">
        <v>1</v>
      </c>
      <c r="S14" s="13" t="n">
        <v>1</v>
      </c>
      <c r="T14" s="13" t="n">
        <v>1</v>
      </c>
      <c r="U14" s="13" t="n">
        <v>1</v>
      </c>
      <c r="V14" s="13" t="n">
        <v>1</v>
      </c>
      <c r="W14" s="13" t="n">
        <v>1</v>
      </c>
      <c r="X14" s="13" t="n">
        <v>1</v>
      </c>
      <c r="Y14" s="13" t="n">
        <v>1</v>
      </c>
      <c r="Z14" s="12">
        <f>COUNTIF(D14:Y14,1)</f>
        <v/>
      </c>
      <c r="AA14" s="12">
        <f>IF(COUNT(D14:Y14)=0,"",ROUND(Z14/22*100,1))</f>
        <v/>
      </c>
      <c r="AB14" s="12">
        <f>COUNTIF(D14:Y14,0)</f>
        <v/>
      </c>
      <c r="AC14" s="12">
        <f>IF(COUNT(D14:Y14)=0,"",ROUND(AB14/22*100,1))</f>
        <v/>
      </c>
      <c r="AD14" s="20">
        <f>IF(AA14="","",IF(AA14&gt;=Нэгтгэл!$K$4,"Хангалттай эзэмшиж байна",IF(AA14&gt;=Нэгтгэл!$K$5,"Ахиж байна","Хөгжиж байна")))</f>
        <v/>
      </c>
    </row>
    <row r="15" ht="16" customHeight="1">
      <c r="A15" s="12" t="n">
        <v>9</v>
      </c>
      <c r="B15" s="12">
        <f>IF(Нэгтгэл!B15="","",Нэгтгэл!B15)</f>
        <v/>
      </c>
      <c r="C15" s="4" t="n"/>
      <c r="D15" s="13" t="n">
        <v>1</v>
      </c>
      <c r="E15" s="13" t="n">
        <v>1</v>
      </c>
      <c r="F15" s="13" t="n">
        <v>1</v>
      </c>
      <c r="G15" s="13" t="n">
        <v>1</v>
      </c>
      <c r="H15" s="13" t="n">
        <v>1</v>
      </c>
      <c r="I15" s="13" t="n">
        <v>1</v>
      </c>
      <c r="J15" s="13" t="n">
        <v>1</v>
      </c>
      <c r="K15" s="13" t="n">
        <v>1</v>
      </c>
      <c r="L15" s="13" t="n">
        <v>1</v>
      </c>
      <c r="M15" s="13" t="n">
        <v>1</v>
      </c>
      <c r="N15" s="13" t="n">
        <v>1</v>
      </c>
      <c r="O15" s="13" t="n">
        <v>1</v>
      </c>
      <c r="P15" s="13" t="n">
        <v>0</v>
      </c>
      <c r="Q15" s="13" t="n">
        <v>0</v>
      </c>
      <c r="R15" s="13" t="n">
        <v>0</v>
      </c>
      <c r="S15" s="13" t="n">
        <v>0</v>
      </c>
      <c r="T15" s="13" t="n">
        <v>1</v>
      </c>
      <c r="U15" s="13" t="n">
        <v>1</v>
      </c>
      <c r="V15" s="13" t="n">
        <v>1</v>
      </c>
      <c r="W15" s="13" t="n">
        <v>1</v>
      </c>
      <c r="X15" s="13" t="n">
        <v>1</v>
      </c>
      <c r="Y15" s="13" t="n">
        <v>0</v>
      </c>
      <c r="Z15" s="12">
        <f>COUNTIF(D15:Y15,1)</f>
        <v/>
      </c>
      <c r="AA15" s="12">
        <f>IF(COUNT(D15:Y15)=0,"",ROUND(Z15/22*100,1))</f>
        <v/>
      </c>
      <c r="AB15" s="12">
        <f>COUNTIF(D15:Y15,0)</f>
        <v/>
      </c>
      <c r="AC15" s="12">
        <f>IF(COUNT(D15:Y15)=0,"",ROUND(AB15/22*100,1))</f>
        <v/>
      </c>
      <c r="AD15" s="20">
        <f>IF(AA15="","",IF(AA15&gt;=Нэгтгэл!$K$4,"Хангалттай эзэмшиж байна",IF(AA15&gt;=Нэгтгэл!$K$5,"Ахиж байна","Хөгжиж байна")))</f>
        <v/>
      </c>
    </row>
    <row r="16" ht="16" customHeight="1">
      <c r="A16" s="12" t="n">
        <v>10</v>
      </c>
      <c r="B16" s="12">
        <f>IF(Нэгтгэл!B16="","",Нэгтгэл!B16)</f>
        <v/>
      </c>
      <c r="C16" s="4" t="n"/>
      <c r="D16" s="13" t="n">
        <v>0</v>
      </c>
      <c r="E16" s="13" t="n">
        <v>1</v>
      </c>
      <c r="F16" s="13" t="n">
        <v>1</v>
      </c>
      <c r="G16" s="13" t="n">
        <v>1</v>
      </c>
      <c r="H16" s="13" t="n">
        <v>0</v>
      </c>
      <c r="I16" s="13" t="n">
        <v>1</v>
      </c>
      <c r="J16" s="13" t="n">
        <v>0</v>
      </c>
      <c r="K16" s="13" t="n">
        <v>1</v>
      </c>
      <c r="L16" s="13" t="n">
        <v>1</v>
      </c>
      <c r="M16" s="13" t="n">
        <v>0</v>
      </c>
      <c r="N16" s="13" t="n">
        <v>1</v>
      </c>
      <c r="O16" s="13" t="n">
        <v>1</v>
      </c>
      <c r="P16" s="13" t="n">
        <v>1</v>
      </c>
      <c r="Q16" s="13" t="n">
        <v>1</v>
      </c>
      <c r="R16" s="13" t="n">
        <v>1</v>
      </c>
      <c r="S16" s="13" t="n">
        <v>0</v>
      </c>
      <c r="T16" s="13" t="n">
        <v>1</v>
      </c>
      <c r="U16" s="13" t="n">
        <v>1</v>
      </c>
      <c r="V16" s="13" t="n">
        <v>0</v>
      </c>
      <c r="W16" s="13" t="n">
        <v>1</v>
      </c>
      <c r="X16" s="13" t="n">
        <v>1</v>
      </c>
      <c r="Y16" s="13" t="n">
        <v>1</v>
      </c>
      <c r="Z16" s="12">
        <f>COUNTIF(D16:Y16,1)</f>
        <v/>
      </c>
      <c r="AA16" s="12">
        <f>IF(COUNT(D16:Y16)=0,"",ROUND(Z16/22*100,1))</f>
        <v/>
      </c>
      <c r="AB16" s="12">
        <f>COUNTIF(D16:Y16,0)</f>
        <v/>
      </c>
      <c r="AC16" s="12">
        <f>IF(COUNT(D16:Y16)=0,"",ROUND(AB16/22*100,1))</f>
        <v/>
      </c>
      <c r="AD16" s="20">
        <f>IF(AA16="","",IF(AA16&gt;=Нэгтгэл!$K$4,"Хангалттай эзэмшиж байна",IF(AA16&gt;=Нэгтгэл!$K$5,"Ахиж байна","Хөгжиж байна")))</f>
        <v/>
      </c>
    </row>
    <row r="17" ht="16" customHeight="1">
      <c r="A17" s="12" t="n">
        <v>11</v>
      </c>
      <c r="B17" s="12">
        <f>IF(Нэгтгэл!B17="","",Нэгтгэл!B17)</f>
        <v/>
      </c>
      <c r="C17" s="4" t="n"/>
      <c r="D17" s="13" t="n">
        <v>1</v>
      </c>
      <c r="E17" s="13" t="n">
        <v>1</v>
      </c>
      <c r="F17" s="13" t="n">
        <v>1</v>
      </c>
      <c r="G17" s="13" t="n">
        <v>1</v>
      </c>
      <c r="H17" s="13" t="n">
        <v>1</v>
      </c>
      <c r="I17" s="13" t="n">
        <v>1</v>
      </c>
      <c r="J17" s="13" t="n">
        <v>0</v>
      </c>
      <c r="K17" s="13" t="n">
        <v>0</v>
      </c>
      <c r="L17" s="13" t="n">
        <v>1</v>
      </c>
      <c r="M17" s="13" t="n">
        <v>1</v>
      </c>
      <c r="N17" s="13" t="n">
        <v>0</v>
      </c>
      <c r="O17" s="13" t="n">
        <v>0</v>
      </c>
      <c r="P17" s="13" t="n">
        <v>1</v>
      </c>
      <c r="Q17" s="13" t="n">
        <v>1</v>
      </c>
      <c r="R17" s="13" t="n">
        <v>1</v>
      </c>
      <c r="S17" s="13" t="n">
        <v>1</v>
      </c>
      <c r="T17" s="13" t="n">
        <v>1</v>
      </c>
      <c r="U17" s="13" t="n">
        <v>1</v>
      </c>
      <c r="V17" s="13" t="n">
        <v>1</v>
      </c>
      <c r="W17" s="13" t="n">
        <v>1</v>
      </c>
      <c r="X17" s="13" t="n">
        <v>1</v>
      </c>
      <c r="Y17" s="13" t="n">
        <v>1</v>
      </c>
      <c r="Z17" s="12">
        <f>COUNTIF(D17:Y17,1)</f>
        <v/>
      </c>
      <c r="AA17" s="12">
        <f>IF(COUNT(D17:Y17)=0,"",ROUND(Z17/22*100,1))</f>
        <v/>
      </c>
      <c r="AB17" s="12">
        <f>COUNTIF(D17:Y17,0)</f>
        <v/>
      </c>
      <c r="AC17" s="12">
        <f>IF(COUNT(D17:Y17)=0,"",ROUND(AB17/22*100,1))</f>
        <v/>
      </c>
      <c r="AD17" s="20">
        <f>IF(AA17="","",IF(AA17&gt;=Нэгтгэл!$K$4,"Хангалттай эзэмшиж байна",IF(AA17&gt;=Нэгтгэл!$K$5,"Ахиж байна","Хөгжиж байна")))</f>
        <v/>
      </c>
    </row>
    <row r="18" ht="16" customHeight="1">
      <c r="A18" s="12" t="n">
        <v>12</v>
      </c>
      <c r="B18" s="12">
        <f>IF(Нэгтгэл!B18="","",Нэгтгэл!B18)</f>
        <v/>
      </c>
      <c r="C18" s="4" t="n"/>
      <c r="D18" s="13" t="n">
        <v>0</v>
      </c>
      <c r="E18" s="13" t="n">
        <v>1</v>
      </c>
      <c r="F18" s="13" t="n">
        <v>0</v>
      </c>
      <c r="G18" s="13" t="n">
        <v>1</v>
      </c>
      <c r="H18" s="13" t="n">
        <v>1</v>
      </c>
      <c r="I18" s="13" t="n">
        <v>0</v>
      </c>
      <c r="J18" s="13" t="n">
        <v>1</v>
      </c>
      <c r="K18" s="13" t="n">
        <v>0</v>
      </c>
      <c r="L18" s="13" t="n">
        <v>1</v>
      </c>
      <c r="M18" s="13" t="n">
        <v>1</v>
      </c>
      <c r="N18" s="13" t="n">
        <v>1</v>
      </c>
      <c r="O18" s="13" t="n">
        <v>1</v>
      </c>
      <c r="P18" s="13" t="n">
        <v>1</v>
      </c>
      <c r="Q18" s="13" t="n">
        <v>0</v>
      </c>
      <c r="R18" s="13" t="n">
        <v>0</v>
      </c>
      <c r="S18" s="13" t="n">
        <v>1</v>
      </c>
      <c r="T18" s="13" t="n">
        <v>0</v>
      </c>
      <c r="U18" s="13" t="n">
        <v>1</v>
      </c>
      <c r="V18" s="13" t="n">
        <v>1</v>
      </c>
      <c r="W18" s="13" t="n">
        <v>1</v>
      </c>
      <c r="X18" s="13" t="n">
        <v>1</v>
      </c>
      <c r="Y18" s="13" t="n">
        <v>0</v>
      </c>
      <c r="Z18" s="12">
        <f>COUNTIF(D18:Y18,1)</f>
        <v/>
      </c>
      <c r="AA18" s="12">
        <f>IF(COUNT(D18:Y18)=0,"",ROUND(Z18/22*100,1))</f>
        <v/>
      </c>
      <c r="AB18" s="12">
        <f>COUNTIF(D18:Y18,0)</f>
        <v/>
      </c>
      <c r="AC18" s="12">
        <f>IF(COUNT(D18:Y18)=0,"",ROUND(AB18/22*100,1))</f>
        <v/>
      </c>
      <c r="AD18" s="20">
        <f>IF(AA18="","",IF(AA18&gt;=Нэгтгэл!$K$4,"Хангалттай эзэмшиж байна",IF(AA18&gt;=Нэгтгэл!$K$5,"Ахиж байна","Хөгжиж байна")))</f>
        <v/>
      </c>
    </row>
    <row r="19" ht="16" customHeight="1">
      <c r="A19" s="12" t="n">
        <v>13</v>
      </c>
      <c r="B19" s="12">
        <f>IF(Нэгтгэл!B19="","",Нэгтгэл!B19)</f>
        <v/>
      </c>
      <c r="C19" s="4" t="n"/>
      <c r="D19" s="13" t="n">
        <v>0</v>
      </c>
      <c r="E19" s="13" t="n">
        <v>1</v>
      </c>
      <c r="F19" s="13" t="n">
        <v>1</v>
      </c>
      <c r="G19" s="13" t="n">
        <v>1</v>
      </c>
      <c r="H19" s="13" t="n">
        <v>1</v>
      </c>
      <c r="I19" s="13" t="n">
        <v>1</v>
      </c>
      <c r="J19" s="13" t="n">
        <v>1</v>
      </c>
      <c r="K19" s="13" t="n">
        <v>1</v>
      </c>
      <c r="L19" s="13" t="n">
        <v>1</v>
      </c>
      <c r="M19" s="13" t="n">
        <v>1</v>
      </c>
      <c r="N19" s="13" t="n">
        <v>1</v>
      </c>
      <c r="O19" s="13" t="n">
        <v>1</v>
      </c>
      <c r="P19" s="13" t="n">
        <v>1</v>
      </c>
      <c r="Q19" s="13" t="n">
        <v>1</v>
      </c>
      <c r="R19" s="13" t="n">
        <v>1</v>
      </c>
      <c r="S19" s="13" t="n">
        <v>1</v>
      </c>
      <c r="T19" s="13" t="n">
        <v>1</v>
      </c>
      <c r="U19" s="13" t="n">
        <v>1</v>
      </c>
      <c r="V19" s="13" t="n">
        <v>0</v>
      </c>
      <c r="W19" s="13" t="n">
        <v>1</v>
      </c>
      <c r="X19" s="13" t="n">
        <v>1</v>
      </c>
      <c r="Y19" s="13" t="n">
        <v>1</v>
      </c>
      <c r="Z19" s="12">
        <f>COUNTIF(D19:Y19,1)</f>
        <v/>
      </c>
      <c r="AA19" s="12">
        <f>IF(COUNT(D19:Y19)=0,"",ROUND(Z19/22*100,1))</f>
        <v/>
      </c>
      <c r="AB19" s="12">
        <f>COUNTIF(D19:Y19,0)</f>
        <v/>
      </c>
      <c r="AC19" s="12">
        <f>IF(COUNT(D19:Y19)=0,"",ROUND(AB19/22*100,1))</f>
        <v/>
      </c>
      <c r="AD19" s="20">
        <f>IF(AA19="","",IF(AA19&gt;=Нэгтгэл!$K$4,"Хангалттай эзэмшиж байна",IF(AA19&gt;=Нэгтгэл!$K$5,"Ахиж байна","Хөгжиж байна")))</f>
        <v/>
      </c>
    </row>
    <row r="20" ht="16" customHeight="1">
      <c r="A20" s="12" t="n">
        <v>14</v>
      </c>
      <c r="B20" s="12">
        <f>IF(Нэгтгэл!B20="","",Нэгтгэл!B20)</f>
        <v/>
      </c>
      <c r="C20" s="4" t="n"/>
      <c r="D20" s="13" t="n">
        <v>1</v>
      </c>
      <c r="E20" s="13" t="n">
        <v>1</v>
      </c>
      <c r="F20" s="13" t="n">
        <v>1</v>
      </c>
      <c r="G20" s="13" t="n">
        <v>1</v>
      </c>
      <c r="H20" s="13" t="n">
        <v>1</v>
      </c>
      <c r="I20" s="13" t="n">
        <v>0</v>
      </c>
      <c r="J20" s="13" t="n">
        <v>1</v>
      </c>
      <c r="K20" s="13" t="n">
        <v>0</v>
      </c>
      <c r="L20" s="13" t="n">
        <v>1</v>
      </c>
      <c r="M20" s="13" t="n">
        <v>1</v>
      </c>
      <c r="N20" s="13" t="n">
        <v>0</v>
      </c>
      <c r="O20" s="13" t="n">
        <v>1</v>
      </c>
      <c r="P20" s="13" t="n">
        <v>1</v>
      </c>
      <c r="Q20" s="13" t="n">
        <v>0</v>
      </c>
      <c r="R20" s="13" t="n">
        <v>1</v>
      </c>
      <c r="S20" s="13" t="n">
        <v>1</v>
      </c>
      <c r="T20" s="13" t="n">
        <v>0</v>
      </c>
      <c r="U20" s="13" t="n">
        <v>1</v>
      </c>
      <c r="V20" s="13" t="n">
        <v>1</v>
      </c>
      <c r="W20" s="13" t="n">
        <v>0</v>
      </c>
      <c r="X20" s="13" t="n">
        <v>1</v>
      </c>
      <c r="Y20" s="13" t="n">
        <v>1</v>
      </c>
      <c r="Z20" s="12">
        <f>COUNTIF(D20:Y20,1)</f>
        <v/>
      </c>
      <c r="AA20" s="12">
        <f>IF(COUNT(D20:Y20)=0,"",ROUND(Z20/22*100,1))</f>
        <v/>
      </c>
      <c r="AB20" s="12">
        <f>COUNTIF(D20:Y20,0)</f>
        <v/>
      </c>
      <c r="AC20" s="12">
        <f>IF(COUNT(D20:Y20)=0,"",ROUND(AB20/22*100,1))</f>
        <v/>
      </c>
      <c r="AD20" s="20">
        <f>IF(AA20="","",IF(AA20&gt;=Нэгтгэл!$K$4,"Хангалттай эзэмшиж байна",IF(AA20&gt;=Нэгтгэл!$K$5,"Ахиж байна","Хөгжиж байна")))</f>
        <v/>
      </c>
    </row>
    <row r="21" ht="16" customHeight="1">
      <c r="A21" s="12" t="n">
        <v>15</v>
      </c>
      <c r="B21" s="12">
        <f>IF(Нэгтгэл!B21="","",Нэгтгэл!B21)</f>
        <v/>
      </c>
      <c r="C21" s="4" t="n"/>
      <c r="D21" s="13" t="n">
        <v>0</v>
      </c>
      <c r="E21" s="13" t="n">
        <v>1</v>
      </c>
      <c r="F21" s="13" t="n">
        <v>0</v>
      </c>
      <c r="G21" s="13" t="n">
        <v>1</v>
      </c>
      <c r="H21" s="13" t="n">
        <v>1</v>
      </c>
      <c r="I21" s="13" t="n">
        <v>0</v>
      </c>
      <c r="J21" s="13" t="n">
        <v>1</v>
      </c>
      <c r="K21" s="13" t="n">
        <v>1</v>
      </c>
      <c r="L21" s="13" t="n">
        <v>0</v>
      </c>
      <c r="M21" s="13" t="n">
        <v>0</v>
      </c>
      <c r="N21" s="13" t="n">
        <v>1</v>
      </c>
      <c r="O21" s="13" t="n">
        <v>1</v>
      </c>
      <c r="P21" s="13" t="n">
        <v>1</v>
      </c>
      <c r="Q21" s="13" t="n">
        <v>1</v>
      </c>
      <c r="R21" s="13" t="n">
        <v>1</v>
      </c>
      <c r="S21" s="13" t="n">
        <v>1</v>
      </c>
      <c r="T21" s="13" t="n">
        <v>1</v>
      </c>
      <c r="U21" s="13" t="n">
        <v>1</v>
      </c>
      <c r="V21" s="13" t="n">
        <v>0</v>
      </c>
      <c r="W21" s="13" t="n">
        <v>0</v>
      </c>
      <c r="X21" s="13" t="n">
        <v>1</v>
      </c>
      <c r="Y21" s="13" t="n">
        <v>0</v>
      </c>
      <c r="Z21" s="12">
        <f>COUNTIF(D21:Y21,1)</f>
        <v/>
      </c>
      <c r="AA21" s="12">
        <f>IF(COUNT(D21:Y21)=0,"",ROUND(Z21/22*100,1))</f>
        <v/>
      </c>
      <c r="AB21" s="12">
        <f>COUNTIF(D21:Y21,0)</f>
        <v/>
      </c>
      <c r="AC21" s="12">
        <f>IF(COUNT(D21:Y21)=0,"",ROUND(AB21/22*100,1))</f>
        <v/>
      </c>
      <c r="AD21" s="20">
        <f>IF(AA21="","",IF(AA21&gt;=Нэгтгэл!$K$4,"Хангалттай эзэмшиж байна",IF(AA21&gt;=Нэгтгэл!$K$5,"Ахиж байна","Хөгжиж байна")))</f>
        <v/>
      </c>
    </row>
    <row r="22" ht="16" customHeight="1">
      <c r="A22" s="12" t="n">
        <v>16</v>
      </c>
      <c r="B22" s="12">
        <f>IF(Нэгтгэл!B22="","",Нэгтгэл!B22)</f>
        <v/>
      </c>
      <c r="C22" s="4" t="n"/>
      <c r="D22" s="13" t="n">
        <v>1</v>
      </c>
      <c r="E22" s="13" t="n">
        <v>0</v>
      </c>
      <c r="F22" s="13" t="n">
        <v>0</v>
      </c>
      <c r="G22" s="13" t="n">
        <v>1</v>
      </c>
      <c r="H22" s="13" t="n">
        <v>1</v>
      </c>
      <c r="I22" s="13" t="n">
        <v>1</v>
      </c>
      <c r="J22" s="13" t="n">
        <v>1</v>
      </c>
      <c r="K22" s="13" t="n">
        <v>0</v>
      </c>
      <c r="L22" s="13" t="n">
        <v>0</v>
      </c>
      <c r="M22" s="13" t="n">
        <v>1</v>
      </c>
      <c r="N22" s="13" t="n">
        <v>1</v>
      </c>
      <c r="O22" s="13" t="n">
        <v>0</v>
      </c>
      <c r="P22" s="13" t="n">
        <v>1</v>
      </c>
      <c r="Q22" s="13" t="n">
        <v>0</v>
      </c>
      <c r="R22" s="13" t="n">
        <v>1</v>
      </c>
      <c r="S22" s="13" t="n">
        <v>1</v>
      </c>
      <c r="T22" s="13" t="n">
        <v>1</v>
      </c>
      <c r="U22" s="13" t="n">
        <v>0</v>
      </c>
      <c r="V22" s="13" t="n">
        <v>1</v>
      </c>
      <c r="W22" s="13" t="n">
        <v>1</v>
      </c>
      <c r="X22" s="13" t="n">
        <v>1</v>
      </c>
      <c r="Y22" s="13" t="n">
        <v>1</v>
      </c>
      <c r="Z22" s="12">
        <f>COUNTIF(D22:Y22,1)</f>
        <v/>
      </c>
      <c r="AA22" s="12">
        <f>IF(COUNT(D22:Y22)=0,"",ROUND(Z22/22*100,1))</f>
        <v/>
      </c>
      <c r="AB22" s="12">
        <f>COUNTIF(D22:Y22,0)</f>
        <v/>
      </c>
      <c r="AC22" s="12">
        <f>IF(COUNT(D22:Y22)=0,"",ROUND(AB22/22*100,1))</f>
        <v/>
      </c>
      <c r="AD22" s="20">
        <f>IF(AA22="","",IF(AA22&gt;=Нэгтгэл!$K$4,"Хангалттай эзэмшиж байна",IF(AA22&gt;=Нэгтгэл!$K$5,"Ахиж байна","Хөгжиж байна")))</f>
        <v/>
      </c>
    </row>
    <row r="23" ht="16" customHeight="1">
      <c r="A23" s="12" t="n">
        <v>17</v>
      </c>
      <c r="B23" s="12">
        <f>IF(Нэгтгэл!B23="","",Нэгтгэл!B23)</f>
        <v/>
      </c>
      <c r="C23" s="4" t="n"/>
      <c r="D23" s="13" t="n">
        <v>1</v>
      </c>
      <c r="E23" s="13" t="n">
        <v>1</v>
      </c>
      <c r="F23" s="13" t="n">
        <v>0</v>
      </c>
      <c r="G23" s="13" t="n">
        <v>1</v>
      </c>
      <c r="H23" s="13" t="n">
        <v>1</v>
      </c>
      <c r="I23" s="13" t="n">
        <v>1</v>
      </c>
      <c r="J23" s="13" t="n">
        <v>1</v>
      </c>
      <c r="K23" s="13" t="n">
        <v>1</v>
      </c>
      <c r="L23" s="13" t="n">
        <v>1</v>
      </c>
      <c r="M23" s="13" t="n">
        <v>1</v>
      </c>
      <c r="N23" s="13" t="n">
        <v>0</v>
      </c>
      <c r="O23" s="13" t="n">
        <v>1</v>
      </c>
      <c r="P23" s="13" t="n">
        <v>1</v>
      </c>
      <c r="Q23" s="13" t="n">
        <v>1</v>
      </c>
      <c r="R23" s="13" t="n">
        <v>1</v>
      </c>
      <c r="S23" s="13" t="n">
        <v>1</v>
      </c>
      <c r="T23" s="13" t="n">
        <v>1</v>
      </c>
      <c r="U23" s="13" t="n">
        <v>1</v>
      </c>
      <c r="V23" s="13" t="n">
        <v>0</v>
      </c>
      <c r="W23" s="13" t="n">
        <v>1</v>
      </c>
      <c r="X23" s="13" t="n">
        <v>1</v>
      </c>
      <c r="Y23" s="13" t="n">
        <v>1</v>
      </c>
      <c r="Z23" s="12">
        <f>COUNTIF(D23:Y23,1)</f>
        <v/>
      </c>
      <c r="AA23" s="12">
        <f>IF(COUNT(D23:Y23)=0,"",ROUND(Z23/22*100,1))</f>
        <v/>
      </c>
      <c r="AB23" s="12">
        <f>COUNTIF(D23:Y23,0)</f>
        <v/>
      </c>
      <c r="AC23" s="12">
        <f>IF(COUNT(D23:Y23)=0,"",ROUND(AB23/22*100,1))</f>
        <v/>
      </c>
      <c r="AD23" s="20">
        <f>IF(AA23="","",IF(AA23&gt;=Нэгтгэл!$K$4,"Хангалттай эзэмшиж байна",IF(AA23&gt;=Нэгтгэл!$K$5,"Ахиж байна","Хөгжиж байна")))</f>
        <v/>
      </c>
    </row>
    <row r="24" ht="16" customHeight="1">
      <c r="A24" s="12" t="n">
        <v>18</v>
      </c>
      <c r="B24" s="12">
        <f>IF(Нэгтгэл!B24="","",Нэгтгэл!B24)</f>
        <v/>
      </c>
      <c r="C24" s="4" t="n"/>
      <c r="D24" s="13" t="n">
        <v>1</v>
      </c>
      <c r="E24" s="13" t="n">
        <v>1</v>
      </c>
      <c r="F24" s="13" t="n">
        <v>0</v>
      </c>
      <c r="G24" s="13" t="n">
        <v>0</v>
      </c>
      <c r="H24" s="13" t="n">
        <v>1</v>
      </c>
      <c r="I24" s="13" t="n">
        <v>1</v>
      </c>
      <c r="J24" s="13" t="n">
        <v>1</v>
      </c>
      <c r="K24" s="13" t="n">
        <v>0</v>
      </c>
      <c r="L24" s="13" t="n">
        <v>0</v>
      </c>
      <c r="M24" s="13" t="n">
        <v>1</v>
      </c>
      <c r="N24" s="13" t="n">
        <v>1</v>
      </c>
      <c r="O24" s="13" t="n">
        <v>1</v>
      </c>
      <c r="P24" s="13" t="n">
        <v>1</v>
      </c>
      <c r="Q24" s="13" t="n">
        <v>0</v>
      </c>
      <c r="R24" s="13" t="n">
        <v>1</v>
      </c>
      <c r="S24" s="13" t="n">
        <v>1</v>
      </c>
      <c r="T24" s="13" t="n">
        <v>1</v>
      </c>
      <c r="U24" s="13" t="n">
        <v>0</v>
      </c>
      <c r="V24" s="13" t="n">
        <v>1</v>
      </c>
      <c r="W24" s="13" t="n">
        <v>1</v>
      </c>
      <c r="X24" s="13" t="n">
        <v>1</v>
      </c>
      <c r="Y24" s="13" t="n">
        <v>1</v>
      </c>
      <c r="Z24" s="12">
        <f>COUNTIF(D24:Y24,1)</f>
        <v/>
      </c>
      <c r="AA24" s="12">
        <f>IF(COUNT(D24:Y24)=0,"",ROUND(Z24/22*100,1))</f>
        <v/>
      </c>
      <c r="AB24" s="12">
        <f>COUNTIF(D24:Y24,0)</f>
        <v/>
      </c>
      <c r="AC24" s="12">
        <f>IF(COUNT(D24:Y24)=0,"",ROUND(AB24/22*100,1))</f>
        <v/>
      </c>
      <c r="AD24" s="20">
        <f>IF(AA24="","",IF(AA24&gt;=Нэгтгэл!$K$4,"Хангалттай эзэмшиж байна",IF(AA24&gt;=Нэгтгэл!$K$5,"Ахиж байна","Хөгжиж байна")))</f>
        <v/>
      </c>
    </row>
    <row r="25" ht="16" customHeight="1">
      <c r="A25" s="12" t="n">
        <v>19</v>
      </c>
      <c r="B25" s="12">
        <f>IF(Нэгтгэл!B25="","",Нэгтгэл!B25)</f>
        <v/>
      </c>
      <c r="C25" s="4" t="n"/>
      <c r="D25" s="13" t="n">
        <v>0</v>
      </c>
      <c r="E25" s="13" t="n">
        <v>1</v>
      </c>
      <c r="F25" s="13" t="n">
        <v>1</v>
      </c>
      <c r="G25" s="13" t="n">
        <v>1</v>
      </c>
      <c r="H25" s="13" t="n">
        <v>1</v>
      </c>
      <c r="I25" s="13" t="n">
        <v>0</v>
      </c>
      <c r="J25" s="13" t="n">
        <v>1</v>
      </c>
      <c r="K25" s="13" t="n">
        <v>1</v>
      </c>
      <c r="L25" s="13" t="n">
        <v>1</v>
      </c>
      <c r="M25" s="13" t="n">
        <v>1</v>
      </c>
      <c r="N25" s="13" t="n">
        <v>1</v>
      </c>
      <c r="O25" s="13" t="n">
        <v>1</v>
      </c>
      <c r="P25" s="13" t="n">
        <v>1</v>
      </c>
      <c r="Q25" s="13" t="n">
        <v>1</v>
      </c>
      <c r="R25" s="13" t="n">
        <v>0</v>
      </c>
      <c r="S25" s="13" t="n">
        <v>1</v>
      </c>
      <c r="T25" s="13" t="n">
        <v>1</v>
      </c>
      <c r="U25" s="13" t="n">
        <v>1</v>
      </c>
      <c r="V25" s="13" t="n">
        <v>0</v>
      </c>
      <c r="W25" s="13" t="n">
        <v>1</v>
      </c>
      <c r="X25" s="13" t="n">
        <v>1</v>
      </c>
      <c r="Y25" s="13" t="n">
        <v>1</v>
      </c>
      <c r="Z25" s="12">
        <f>COUNTIF(D25:Y25,1)</f>
        <v/>
      </c>
      <c r="AA25" s="12">
        <f>IF(COUNT(D25:Y25)=0,"",ROUND(Z25/22*100,1))</f>
        <v/>
      </c>
      <c r="AB25" s="12">
        <f>COUNTIF(D25:Y25,0)</f>
        <v/>
      </c>
      <c r="AC25" s="12">
        <f>IF(COUNT(D25:Y25)=0,"",ROUND(AB25/22*100,1))</f>
        <v/>
      </c>
      <c r="AD25" s="20">
        <f>IF(AA25="","",IF(AA25&gt;=Нэгтгэл!$K$4,"Хангалттай эзэмшиж байна",IF(AA25&gt;=Нэгтгэл!$K$5,"Ахиж байна","Хөгжиж байна")))</f>
        <v/>
      </c>
    </row>
    <row r="26" ht="16" customHeight="1">
      <c r="A26" s="12" t="n">
        <v>20</v>
      </c>
      <c r="B26" s="12">
        <f>IF(Нэгтгэл!B26="","",Нэгтгэл!B26)</f>
        <v/>
      </c>
      <c r="C26" s="4" t="n"/>
      <c r="D26" s="13" t="n">
        <v>1</v>
      </c>
      <c r="E26" s="13" t="n">
        <v>1</v>
      </c>
      <c r="F26" s="13" t="n">
        <v>1</v>
      </c>
      <c r="G26" s="13" t="n">
        <v>1</v>
      </c>
      <c r="H26" s="13" t="n">
        <v>1</v>
      </c>
      <c r="I26" s="13" t="n">
        <v>0</v>
      </c>
      <c r="J26" s="13" t="n">
        <v>1</v>
      </c>
      <c r="K26" s="13" t="n">
        <v>1</v>
      </c>
      <c r="L26" s="13" t="n">
        <v>1</v>
      </c>
      <c r="M26" s="13" t="n">
        <v>1</v>
      </c>
      <c r="N26" s="13" t="n">
        <v>0</v>
      </c>
      <c r="O26" s="13" t="n">
        <v>1</v>
      </c>
      <c r="P26" s="13" t="n">
        <v>0</v>
      </c>
      <c r="Q26" s="13" t="n">
        <v>1</v>
      </c>
      <c r="R26" s="13" t="n">
        <v>1</v>
      </c>
      <c r="S26" s="13" t="n">
        <v>0</v>
      </c>
      <c r="T26" s="13" t="n">
        <v>1</v>
      </c>
      <c r="U26" s="13" t="n">
        <v>0</v>
      </c>
      <c r="V26" s="13" t="n">
        <v>0</v>
      </c>
      <c r="W26" s="13" t="n">
        <v>1</v>
      </c>
      <c r="X26" s="13" t="n">
        <v>0</v>
      </c>
      <c r="Y26" s="13" t="n">
        <v>1</v>
      </c>
      <c r="Z26" s="12">
        <f>COUNTIF(D26:Y26,1)</f>
        <v/>
      </c>
      <c r="AA26" s="12">
        <f>IF(COUNT(D26:Y26)=0,"",ROUND(Z26/22*100,1))</f>
        <v/>
      </c>
      <c r="AB26" s="12">
        <f>COUNTIF(D26:Y26,0)</f>
        <v/>
      </c>
      <c r="AC26" s="12">
        <f>IF(COUNT(D26:Y26)=0,"",ROUND(AB26/22*100,1))</f>
        <v/>
      </c>
      <c r="AD26" s="20">
        <f>IF(AA26="","",IF(AA26&gt;=Нэгтгэл!$K$4,"Хангалттай эзэмшиж байна",IF(AA26&gt;=Нэгтгэл!$K$5,"Ахиж байна","Хөгжиж байна")))</f>
        <v/>
      </c>
    </row>
    <row r="27" ht="16" customHeight="1">
      <c r="A27" s="12" t="n">
        <v>21</v>
      </c>
      <c r="B27" s="12">
        <f>IF(Нэгтгэл!B27="","",Нэгтгэл!B27)</f>
        <v/>
      </c>
      <c r="C27" s="4" t="n"/>
      <c r="D27" s="13" t="n">
        <v>1</v>
      </c>
      <c r="E27" s="13" t="n">
        <v>0</v>
      </c>
      <c r="F27" s="13" t="n">
        <v>0</v>
      </c>
      <c r="G27" s="13" t="n">
        <v>1</v>
      </c>
      <c r="H27" s="13" t="n">
        <v>0</v>
      </c>
      <c r="I27" s="13" t="n">
        <v>1</v>
      </c>
      <c r="J27" s="13" t="n">
        <v>0</v>
      </c>
      <c r="K27" s="13" t="n">
        <v>0</v>
      </c>
      <c r="L27" s="13" t="n">
        <v>0</v>
      </c>
      <c r="M27" s="13" t="n">
        <v>0</v>
      </c>
      <c r="N27" s="13" t="n">
        <v>1</v>
      </c>
      <c r="O27" s="13" t="n">
        <v>0</v>
      </c>
      <c r="P27" s="13" t="n">
        <v>1</v>
      </c>
      <c r="Q27" s="13" t="n">
        <v>1</v>
      </c>
      <c r="R27" s="13" t="n">
        <v>1</v>
      </c>
      <c r="S27" s="13" t="n">
        <v>1</v>
      </c>
      <c r="T27" s="13" t="n">
        <v>1</v>
      </c>
      <c r="U27" s="13" t="n">
        <v>1</v>
      </c>
      <c r="V27" s="13" t="n">
        <v>1</v>
      </c>
      <c r="W27" s="13" t="n">
        <v>0</v>
      </c>
      <c r="X27" s="13" t="n">
        <v>1</v>
      </c>
      <c r="Y27" s="13" t="n">
        <v>1</v>
      </c>
      <c r="Z27" s="12">
        <f>COUNTIF(D27:Y27,1)</f>
        <v/>
      </c>
      <c r="AA27" s="12">
        <f>IF(COUNT(D27:Y27)=0,"",ROUND(Z27/22*100,1))</f>
        <v/>
      </c>
      <c r="AB27" s="12">
        <f>COUNTIF(D27:Y27,0)</f>
        <v/>
      </c>
      <c r="AC27" s="12">
        <f>IF(COUNT(D27:Y27)=0,"",ROUND(AB27/22*100,1))</f>
        <v/>
      </c>
      <c r="AD27" s="20">
        <f>IF(AA27="","",IF(AA27&gt;=Нэгтгэл!$K$4,"Хангалттай эзэмшиж байна",IF(AA27&gt;=Нэгтгэл!$K$5,"Ахиж байна","Хөгжиж байна")))</f>
        <v/>
      </c>
    </row>
    <row r="28" ht="16" customHeight="1">
      <c r="A28" s="12" t="n">
        <v>22</v>
      </c>
      <c r="B28" s="12">
        <f>IF(Нэгтгэл!B28="","",Нэгтгэл!B28)</f>
        <v/>
      </c>
      <c r="C28" s="4" t="n"/>
      <c r="D28" s="13" t="n">
        <v>1</v>
      </c>
      <c r="E28" s="13" t="n">
        <v>1</v>
      </c>
      <c r="F28" s="13" t="n">
        <v>1</v>
      </c>
      <c r="G28" s="13" t="n">
        <v>1</v>
      </c>
      <c r="H28" s="13" t="n">
        <v>1</v>
      </c>
      <c r="I28" s="13" t="n">
        <v>1</v>
      </c>
      <c r="J28" s="13" t="n">
        <v>1</v>
      </c>
      <c r="K28" s="13" t="n">
        <v>1</v>
      </c>
      <c r="L28" s="13" t="n">
        <v>1</v>
      </c>
      <c r="M28" s="13" t="n">
        <v>1</v>
      </c>
      <c r="N28" s="13" t="n">
        <v>1</v>
      </c>
      <c r="O28" s="13" t="n">
        <v>1</v>
      </c>
      <c r="P28" s="13" t="n">
        <v>1</v>
      </c>
      <c r="Q28" s="13" t="n">
        <v>1</v>
      </c>
      <c r="R28" s="13" t="n">
        <v>1</v>
      </c>
      <c r="S28" s="13" t="n">
        <v>1</v>
      </c>
      <c r="T28" s="13" t="n">
        <v>1</v>
      </c>
      <c r="U28" s="13" t="n">
        <v>1</v>
      </c>
      <c r="V28" s="13" t="n">
        <v>1</v>
      </c>
      <c r="W28" s="13" t="n">
        <v>1</v>
      </c>
      <c r="X28" s="13" t="n">
        <v>1</v>
      </c>
      <c r="Y28" s="13" t="n">
        <v>1</v>
      </c>
      <c r="Z28" s="12">
        <f>COUNTIF(D28:Y28,1)</f>
        <v/>
      </c>
      <c r="AA28" s="12">
        <f>IF(COUNT(D28:Y28)=0,"",ROUND(Z28/22*100,1))</f>
        <v/>
      </c>
      <c r="AB28" s="12">
        <f>COUNTIF(D28:Y28,0)</f>
        <v/>
      </c>
      <c r="AC28" s="12">
        <f>IF(COUNT(D28:Y28)=0,"",ROUND(AB28/22*100,1))</f>
        <v/>
      </c>
      <c r="AD28" s="20">
        <f>IF(AA28="","",IF(AA28&gt;=Нэгтгэл!$K$4,"Хангалттай эзэмшиж байна",IF(AA28&gt;=Нэгтгэл!$K$5,"Ахиж байна","Хөгжиж байна")))</f>
        <v/>
      </c>
    </row>
    <row r="29" ht="16" customHeight="1">
      <c r="A29" s="12" t="n">
        <v>23</v>
      </c>
      <c r="B29" s="12">
        <f>IF(Нэгтгэл!B29="","",Нэгтгэл!B29)</f>
        <v/>
      </c>
      <c r="C29" s="4" t="n"/>
      <c r="D29" s="13" t="n">
        <v>1</v>
      </c>
      <c r="E29" s="13" t="n">
        <v>1</v>
      </c>
      <c r="F29" s="13" t="n">
        <v>0</v>
      </c>
      <c r="G29" s="13" t="n">
        <v>1</v>
      </c>
      <c r="H29" s="13" t="n">
        <v>0</v>
      </c>
      <c r="I29" s="13" t="n">
        <v>0</v>
      </c>
      <c r="J29" s="13" t="n">
        <v>0</v>
      </c>
      <c r="K29" s="13" t="n">
        <v>0</v>
      </c>
      <c r="L29" s="13" t="n">
        <v>1</v>
      </c>
      <c r="M29" s="13" t="n">
        <v>1</v>
      </c>
      <c r="N29" s="13" t="n">
        <v>1</v>
      </c>
      <c r="O29" s="13" t="n">
        <v>1</v>
      </c>
      <c r="P29" s="13" t="n">
        <v>1</v>
      </c>
      <c r="Q29" s="13" t="n">
        <v>1</v>
      </c>
      <c r="R29" s="13" t="n">
        <v>1</v>
      </c>
      <c r="S29" s="13" t="n">
        <v>1</v>
      </c>
      <c r="T29" s="13" t="n">
        <v>0</v>
      </c>
      <c r="U29" s="13" t="n">
        <v>1</v>
      </c>
      <c r="V29" s="13" t="n">
        <v>1</v>
      </c>
      <c r="W29" s="13" t="n">
        <v>1</v>
      </c>
      <c r="X29" s="13" t="n">
        <v>1</v>
      </c>
      <c r="Y29" s="13" t="n">
        <v>1</v>
      </c>
      <c r="Z29" s="12">
        <f>COUNTIF(D29:Y29,1)</f>
        <v/>
      </c>
      <c r="AA29" s="12">
        <f>IF(COUNT(D29:Y29)=0,"",ROUND(Z29/22*100,1))</f>
        <v/>
      </c>
      <c r="AB29" s="12">
        <f>COUNTIF(D29:Y29,0)</f>
        <v/>
      </c>
      <c r="AC29" s="12">
        <f>IF(COUNT(D29:Y29)=0,"",ROUND(AB29/22*100,1))</f>
        <v/>
      </c>
      <c r="AD29" s="20">
        <f>IF(AA29="","",IF(AA29&gt;=Нэгтгэл!$K$4,"Хангалттай эзэмшиж байна",IF(AA29&gt;=Нэгтгэл!$K$5,"Ахиж байна","Хөгжиж байна")))</f>
        <v/>
      </c>
    </row>
    <row r="30" ht="16" customHeight="1">
      <c r="A30" s="12" t="n">
        <v>24</v>
      </c>
      <c r="B30" s="12">
        <f>IF(Нэгтгэл!B30="","",Нэгтгэл!B30)</f>
        <v/>
      </c>
      <c r="C30" s="4" t="n"/>
      <c r="D30" s="13" t="n">
        <v>0</v>
      </c>
      <c r="E30" s="13" t="n">
        <v>1</v>
      </c>
      <c r="F30" s="13" t="n">
        <v>1</v>
      </c>
      <c r="G30" s="13" t="n">
        <v>1</v>
      </c>
      <c r="H30" s="13" t="n">
        <v>1</v>
      </c>
      <c r="I30" s="13" t="n">
        <v>1</v>
      </c>
      <c r="J30" s="13" t="n">
        <v>1</v>
      </c>
      <c r="K30" s="13" t="n">
        <v>1</v>
      </c>
      <c r="L30" s="13" t="n">
        <v>1</v>
      </c>
      <c r="M30" s="13" t="n">
        <v>1</v>
      </c>
      <c r="N30" s="13" t="n">
        <v>1</v>
      </c>
      <c r="O30" s="13" t="n">
        <v>1</v>
      </c>
      <c r="P30" s="13" t="n">
        <v>0</v>
      </c>
      <c r="Q30" s="13" t="n">
        <v>1</v>
      </c>
      <c r="R30" s="13" t="n">
        <v>0</v>
      </c>
      <c r="S30" s="13" t="n">
        <v>1</v>
      </c>
      <c r="T30" s="13" t="n">
        <v>1</v>
      </c>
      <c r="U30" s="13" t="n">
        <v>1</v>
      </c>
      <c r="V30" s="13" t="n">
        <v>1</v>
      </c>
      <c r="W30" s="13" t="n">
        <v>0</v>
      </c>
      <c r="X30" s="13" t="n">
        <v>1</v>
      </c>
      <c r="Y30" s="13" t="n">
        <v>1</v>
      </c>
      <c r="Z30" s="12">
        <f>COUNTIF(D30:Y30,1)</f>
        <v/>
      </c>
      <c r="AA30" s="12">
        <f>IF(COUNT(D30:Y30)=0,"",ROUND(Z30/22*100,1))</f>
        <v/>
      </c>
      <c r="AB30" s="12">
        <f>COUNTIF(D30:Y30,0)</f>
        <v/>
      </c>
      <c r="AC30" s="12">
        <f>IF(COUNT(D30:Y30)=0,"",ROUND(AB30/22*100,1))</f>
        <v/>
      </c>
      <c r="AD30" s="20">
        <f>IF(AA30="","",IF(AA30&gt;=Нэгтгэл!$K$4,"Хангалттай эзэмшиж байна",IF(AA30&gt;=Нэгтгэл!$K$5,"Ахиж байна","Хөгжиж байна")))</f>
        <v/>
      </c>
    </row>
    <row r="31" ht="16" customHeight="1">
      <c r="A31" s="12" t="n">
        <v>25</v>
      </c>
      <c r="B31" s="12">
        <f>IF(Нэгтгэл!B31="","",Нэгтгэл!B31)</f>
        <v/>
      </c>
      <c r="C31" s="4" t="n"/>
      <c r="D31" s="13" t="n">
        <v>1</v>
      </c>
      <c r="E31" s="13" t="n">
        <v>1</v>
      </c>
      <c r="F31" s="13" t="n">
        <v>1</v>
      </c>
      <c r="G31" s="13" t="n">
        <v>1</v>
      </c>
      <c r="H31" s="13" t="n">
        <v>1</v>
      </c>
      <c r="I31" s="13" t="n">
        <v>1</v>
      </c>
      <c r="J31" s="13" t="n">
        <v>1</v>
      </c>
      <c r="K31" s="13" t="n">
        <v>1</v>
      </c>
      <c r="L31" s="13" t="n">
        <v>1</v>
      </c>
      <c r="M31" s="13" t="n">
        <v>1</v>
      </c>
      <c r="N31" s="13" t="n">
        <v>1</v>
      </c>
      <c r="O31" s="13" t="n">
        <v>1</v>
      </c>
      <c r="P31" s="13" t="n">
        <v>1</v>
      </c>
      <c r="Q31" s="13" t="n">
        <v>1</v>
      </c>
      <c r="R31" s="13" t="n">
        <v>0</v>
      </c>
      <c r="S31" s="13" t="n">
        <v>1</v>
      </c>
      <c r="T31" s="13" t="n">
        <v>1</v>
      </c>
      <c r="U31" s="13" t="n">
        <v>1</v>
      </c>
      <c r="V31" s="13" t="n">
        <v>1</v>
      </c>
      <c r="W31" s="13" t="n">
        <v>0</v>
      </c>
      <c r="X31" s="13" t="n">
        <v>0</v>
      </c>
      <c r="Y31" s="13" t="n">
        <v>0</v>
      </c>
      <c r="Z31" s="12">
        <f>COUNTIF(D31:Y31,1)</f>
        <v/>
      </c>
      <c r="AA31" s="12">
        <f>IF(COUNT(D31:Y31)=0,"",ROUND(Z31/22*100,1))</f>
        <v/>
      </c>
      <c r="AB31" s="12">
        <f>COUNTIF(D31:Y31,0)</f>
        <v/>
      </c>
      <c r="AC31" s="12">
        <f>IF(COUNT(D31:Y31)=0,"",ROUND(AB31/22*100,1))</f>
        <v/>
      </c>
      <c r="AD31" s="20">
        <f>IF(AA31="","",IF(AA31&gt;=Нэгтгэл!$K$4,"Хангалттай эзэмшиж байна",IF(AA31&gt;=Нэгтгэл!$K$5,"Ахиж байна","Хөгжиж байна")))</f>
        <v/>
      </c>
    </row>
    <row r="32" ht="16" customHeight="1">
      <c r="A32" s="12" t="n">
        <v>26</v>
      </c>
      <c r="B32" s="12">
        <f>IF(Нэгтгэл!B32="","",Нэгтгэл!B32)</f>
        <v/>
      </c>
      <c r="C32" s="4" t="n"/>
      <c r="D32" s="13" t="n">
        <v>1</v>
      </c>
      <c r="E32" s="13" t="n">
        <v>0</v>
      </c>
      <c r="F32" s="13" t="n">
        <v>1</v>
      </c>
      <c r="G32" s="13" t="n">
        <v>1</v>
      </c>
      <c r="H32" s="13" t="n">
        <v>1</v>
      </c>
      <c r="I32" s="13" t="n">
        <v>1</v>
      </c>
      <c r="J32" s="13" t="n">
        <v>1</v>
      </c>
      <c r="K32" s="13" t="n">
        <v>1</v>
      </c>
      <c r="L32" s="13" t="n">
        <v>1</v>
      </c>
      <c r="M32" s="13" t="n">
        <v>1</v>
      </c>
      <c r="N32" s="13" t="n">
        <v>1</v>
      </c>
      <c r="O32" s="13" t="n">
        <v>0</v>
      </c>
      <c r="P32" s="13" t="n">
        <v>1</v>
      </c>
      <c r="Q32" s="13" t="n">
        <v>0</v>
      </c>
      <c r="R32" s="13" t="n">
        <v>1</v>
      </c>
      <c r="S32" s="13" t="n">
        <v>1</v>
      </c>
      <c r="T32" s="13" t="n">
        <v>1</v>
      </c>
      <c r="U32" s="13" t="n">
        <v>1</v>
      </c>
      <c r="V32" s="13" t="n">
        <v>1</v>
      </c>
      <c r="W32" s="13" t="n">
        <v>1</v>
      </c>
      <c r="X32" s="13" t="n">
        <v>1</v>
      </c>
      <c r="Y32" s="13" t="n">
        <v>1</v>
      </c>
      <c r="Z32" s="12">
        <f>COUNTIF(D32:Y32,1)</f>
        <v/>
      </c>
      <c r="AA32" s="12">
        <f>IF(COUNT(D32:Y32)=0,"",ROUND(Z32/22*100,1))</f>
        <v/>
      </c>
      <c r="AB32" s="12">
        <f>COUNTIF(D32:Y32,0)</f>
        <v/>
      </c>
      <c r="AC32" s="12">
        <f>IF(COUNT(D32:Y32)=0,"",ROUND(AB32/22*100,1))</f>
        <v/>
      </c>
      <c r="AD32" s="20">
        <f>IF(AA32="","",IF(AA32&gt;=Нэгтгэл!$K$4,"Хангалттай эзэмшиж байна",IF(AA32&gt;=Нэгтгэл!$K$5,"Ахиж байна","Хөгжиж байна")))</f>
        <v/>
      </c>
    </row>
    <row r="33" ht="16" customHeight="1">
      <c r="A33" s="12" t="n">
        <v>27</v>
      </c>
      <c r="B33" s="12">
        <f>IF(Нэгтгэл!B33="","",Нэгтгэл!B33)</f>
        <v/>
      </c>
      <c r="C33" s="4" t="n"/>
      <c r="D33" s="13" t="n">
        <v>1</v>
      </c>
      <c r="E33" s="13" t="n">
        <v>1</v>
      </c>
      <c r="F33" s="13" t="n">
        <v>0</v>
      </c>
      <c r="G33" s="13" t="n">
        <v>1</v>
      </c>
      <c r="H33" s="13" t="n">
        <v>1</v>
      </c>
      <c r="I33" s="13" t="n">
        <v>0</v>
      </c>
      <c r="J33" s="13" t="n">
        <v>1</v>
      </c>
      <c r="K33" s="13" t="n">
        <v>1</v>
      </c>
      <c r="L33" s="13" t="n">
        <v>1</v>
      </c>
      <c r="M33" s="13" t="n">
        <v>1</v>
      </c>
      <c r="N33" s="13" t="n">
        <v>1</v>
      </c>
      <c r="O33" s="13" t="n">
        <v>1</v>
      </c>
      <c r="P33" s="13" t="n">
        <v>1</v>
      </c>
      <c r="Q33" s="13" t="n">
        <v>1</v>
      </c>
      <c r="R33" s="13" t="n">
        <v>1</v>
      </c>
      <c r="S33" s="13" t="n">
        <v>1</v>
      </c>
      <c r="T33" s="13" t="n">
        <v>1</v>
      </c>
      <c r="U33" s="13" t="n">
        <v>1</v>
      </c>
      <c r="V33" s="13" t="n">
        <v>1</v>
      </c>
      <c r="W33" s="13" t="n">
        <v>1</v>
      </c>
      <c r="X33" s="13" t="n">
        <v>1</v>
      </c>
      <c r="Y33" s="13" t="n">
        <v>1</v>
      </c>
      <c r="Z33" s="12">
        <f>COUNTIF(D33:Y33,1)</f>
        <v/>
      </c>
      <c r="AA33" s="12">
        <f>IF(COUNT(D33:Y33)=0,"",ROUND(Z33/22*100,1))</f>
        <v/>
      </c>
      <c r="AB33" s="12">
        <f>COUNTIF(D33:Y33,0)</f>
        <v/>
      </c>
      <c r="AC33" s="12">
        <f>IF(COUNT(D33:Y33)=0,"",ROUND(AB33/22*100,1))</f>
        <v/>
      </c>
      <c r="AD33" s="20">
        <f>IF(AA33="","",IF(AA33&gt;=Нэгтгэл!$K$4,"Хангалттай эзэмшиж байна",IF(AA33&gt;=Нэгтгэл!$K$5,"Ахиж байна","Хөгжиж байна")))</f>
        <v/>
      </c>
    </row>
    <row r="34" ht="16" customHeight="1">
      <c r="A34" s="12" t="n">
        <v>28</v>
      </c>
      <c r="B34" s="12">
        <f>IF(Нэгтгэл!B34="","",Нэгтгэл!B34)</f>
        <v/>
      </c>
      <c r="C34" s="4" t="n"/>
      <c r="D34" s="13" t="n">
        <v>1</v>
      </c>
      <c r="E34" s="13" t="n">
        <v>1</v>
      </c>
      <c r="F34" s="13" t="n">
        <v>0</v>
      </c>
      <c r="G34" s="13" t="n">
        <v>1</v>
      </c>
      <c r="H34" s="13" t="n">
        <v>1</v>
      </c>
      <c r="I34" s="13" t="n">
        <v>0</v>
      </c>
      <c r="J34" s="13" t="n">
        <v>0</v>
      </c>
      <c r="K34" s="13" t="n">
        <v>1</v>
      </c>
      <c r="L34" s="13" t="n">
        <v>1</v>
      </c>
      <c r="M34" s="13" t="n">
        <v>0</v>
      </c>
      <c r="N34" s="13" t="n">
        <v>1</v>
      </c>
      <c r="O34" s="13" t="n">
        <v>0</v>
      </c>
      <c r="P34" s="13" t="n">
        <v>1</v>
      </c>
      <c r="Q34" s="13" t="n">
        <v>1</v>
      </c>
      <c r="R34" s="13" t="n">
        <v>1</v>
      </c>
      <c r="S34" s="13" t="n">
        <v>1</v>
      </c>
      <c r="T34" s="13" t="n">
        <v>1</v>
      </c>
      <c r="U34" s="13" t="n">
        <v>1</v>
      </c>
      <c r="V34" s="13" t="n">
        <v>0</v>
      </c>
      <c r="W34" s="13" t="n">
        <v>0</v>
      </c>
      <c r="X34" s="13" t="n">
        <v>0</v>
      </c>
      <c r="Y34" s="13" t="n">
        <v>1</v>
      </c>
      <c r="Z34" s="12">
        <f>COUNTIF(D34:Y34,1)</f>
        <v/>
      </c>
      <c r="AA34" s="12">
        <f>IF(COUNT(D34:Y34)=0,"",ROUND(Z34/22*100,1))</f>
        <v/>
      </c>
      <c r="AB34" s="12">
        <f>COUNTIF(D34:Y34,0)</f>
        <v/>
      </c>
      <c r="AC34" s="12">
        <f>IF(COUNT(D34:Y34)=0,"",ROUND(AB34/22*100,1))</f>
        <v/>
      </c>
      <c r="AD34" s="20">
        <f>IF(AA34="","",IF(AA34&gt;=Нэгтгэл!$K$4,"Хангалттай эзэмшиж байна",IF(AA34&gt;=Нэгтгэл!$K$5,"Ахиж байна","Хөгжиж байна")))</f>
        <v/>
      </c>
    </row>
    <row r="35" ht="16" customHeight="1">
      <c r="A35" s="12" t="n">
        <v>29</v>
      </c>
      <c r="B35" s="12">
        <f>IF(Нэгтгэл!B35="","",Нэгтгэл!B35)</f>
        <v/>
      </c>
      <c r="C35" s="4" t="n"/>
      <c r="D35" s="13" t="n">
        <v>1</v>
      </c>
      <c r="E35" s="13" t="n">
        <v>0</v>
      </c>
      <c r="F35" s="13" t="n">
        <v>0</v>
      </c>
      <c r="G35" s="13" t="n">
        <v>1</v>
      </c>
      <c r="H35" s="13" t="n">
        <v>1</v>
      </c>
      <c r="I35" s="13" t="n">
        <v>1</v>
      </c>
      <c r="J35" s="13" t="n">
        <v>1</v>
      </c>
      <c r="K35" s="13" t="n">
        <v>1</v>
      </c>
      <c r="L35" s="13" t="n">
        <v>0</v>
      </c>
      <c r="M35" s="13" t="n">
        <v>1</v>
      </c>
      <c r="N35" s="13" t="n">
        <v>1</v>
      </c>
      <c r="O35" s="13" t="n">
        <v>1</v>
      </c>
      <c r="P35" s="13" t="n">
        <v>1</v>
      </c>
      <c r="Q35" s="13" t="n">
        <v>1</v>
      </c>
      <c r="R35" s="13" t="n">
        <v>1</v>
      </c>
      <c r="S35" s="13" t="n">
        <v>1</v>
      </c>
      <c r="T35" s="13" t="n">
        <v>1</v>
      </c>
      <c r="U35" s="13" t="n">
        <v>1</v>
      </c>
      <c r="V35" s="13" t="n">
        <v>0</v>
      </c>
      <c r="W35" s="13" t="n">
        <v>1</v>
      </c>
      <c r="X35" s="13" t="n">
        <v>1</v>
      </c>
      <c r="Y35" s="13" t="n">
        <v>1</v>
      </c>
      <c r="Z35" s="12">
        <f>COUNTIF(D35:Y35,1)</f>
        <v/>
      </c>
      <c r="AA35" s="12">
        <f>IF(COUNT(D35:Y35)=0,"",ROUND(Z35/22*100,1))</f>
        <v/>
      </c>
      <c r="AB35" s="12">
        <f>COUNTIF(D35:Y35,0)</f>
        <v/>
      </c>
      <c r="AC35" s="12">
        <f>IF(COUNT(D35:Y35)=0,"",ROUND(AB35/22*100,1))</f>
        <v/>
      </c>
      <c r="AD35" s="20">
        <f>IF(AA35="","",IF(AA35&gt;=Нэгтгэл!$K$4,"Хангалттай эзэмшиж байна",IF(AA35&gt;=Нэгтгэл!$K$5,"Ахиж байна","Хөгжиж байна")))</f>
        <v/>
      </c>
    </row>
    <row r="36" ht="16" customHeight="1">
      <c r="A36" s="12" t="n">
        <v>30</v>
      </c>
      <c r="B36" s="12">
        <f>IF(Нэгтгэл!B36="","",Нэгтгэл!B36)</f>
        <v/>
      </c>
      <c r="C36" s="4" t="n"/>
      <c r="D36" s="13" t="n">
        <v>0</v>
      </c>
      <c r="E36" s="13" t="n">
        <v>1</v>
      </c>
      <c r="F36" s="13" t="n">
        <v>1</v>
      </c>
      <c r="G36" s="13" t="n">
        <v>1</v>
      </c>
      <c r="H36" s="13" t="n">
        <v>1</v>
      </c>
      <c r="I36" s="13" t="n">
        <v>1</v>
      </c>
      <c r="J36" s="13" t="n">
        <v>1</v>
      </c>
      <c r="K36" s="13" t="n">
        <v>1</v>
      </c>
      <c r="L36" s="13" t="n">
        <v>0</v>
      </c>
      <c r="M36" s="13" t="n">
        <v>0</v>
      </c>
      <c r="N36" s="13" t="n">
        <v>1</v>
      </c>
      <c r="O36" s="13" t="n">
        <v>1</v>
      </c>
      <c r="P36" s="13" t="n">
        <v>1</v>
      </c>
      <c r="Q36" s="13" t="n">
        <v>1</v>
      </c>
      <c r="R36" s="13" t="n">
        <v>1</v>
      </c>
      <c r="S36" s="13" t="n">
        <v>1</v>
      </c>
      <c r="T36" s="13" t="n">
        <v>1</v>
      </c>
      <c r="U36" s="13" t="n">
        <v>0</v>
      </c>
      <c r="V36" s="13" t="n">
        <v>1</v>
      </c>
      <c r="W36" s="13" t="n">
        <v>0</v>
      </c>
      <c r="X36" s="13" t="n">
        <v>0</v>
      </c>
      <c r="Y36" s="13" t="n">
        <v>1</v>
      </c>
      <c r="Z36" s="12">
        <f>COUNTIF(D36:Y36,1)</f>
        <v/>
      </c>
      <c r="AA36" s="12">
        <f>IF(COUNT(D36:Y36)=0,"",ROUND(Z36/22*100,1))</f>
        <v/>
      </c>
      <c r="AB36" s="12">
        <f>COUNTIF(D36:Y36,0)</f>
        <v/>
      </c>
      <c r="AC36" s="12">
        <f>IF(COUNT(D36:Y36)=0,"",ROUND(AB36/22*100,1))</f>
        <v/>
      </c>
      <c r="AD36" s="20">
        <f>IF(AA36="","",IF(AA36&gt;=Нэгтгэл!$K$4,"Хангалттай эзэмшиж байна",IF(AA36&gt;=Нэгтгэл!$K$5,"Ахиж байна","Хөгжиж байна")))</f>
        <v/>
      </c>
    </row>
    <row r="37" ht="16" customHeight="1">
      <c r="A37" s="12" t="n">
        <v>31</v>
      </c>
      <c r="B37" s="12">
        <f>IF(Нэгтгэл!B37="","",Нэгтгэл!B37)</f>
        <v/>
      </c>
      <c r="C37" s="4" t="n"/>
      <c r="D37" s="13" t="n">
        <v>0</v>
      </c>
      <c r="E37" s="13" t="n">
        <v>1</v>
      </c>
      <c r="F37" s="13" t="n">
        <v>1</v>
      </c>
      <c r="G37" s="13" t="n">
        <v>1</v>
      </c>
      <c r="H37" s="13" t="n">
        <v>0</v>
      </c>
      <c r="I37" s="13" t="n">
        <v>1</v>
      </c>
      <c r="J37" s="13" t="n">
        <v>1</v>
      </c>
      <c r="K37" s="13" t="n">
        <v>1</v>
      </c>
      <c r="L37" s="13" t="n">
        <v>0</v>
      </c>
      <c r="M37" s="13" t="n">
        <v>0</v>
      </c>
      <c r="N37" s="13" t="n">
        <v>1</v>
      </c>
      <c r="O37" s="13" t="n">
        <v>1</v>
      </c>
      <c r="P37" s="13" t="n">
        <v>1</v>
      </c>
      <c r="Q37" s="13" t="n">
        <v>1</v>
      </c>
      <c r="R37" s="13" t="n">
        <v>1</v>
      </c>
      <c r="S37" s="13" t="n">
        <v>1</v>
      </c>
      <c r="T37" s="13" t="n">
        <v>1</v>
      </c>
      <c r="U37" s="13" t="n">
        <v>1</v>
      </c>
      <c r="V37" s="13" t="n">
        <v>0</v>
      </c>
      <c r="W37" s="13" t="n">
        <v>1</v>
      </c>
      <c r="X37" s="13" t="n">
        <v>0</v>
      </c>
      <c r="Y37" s="13" t="n">
        <v>1</v>
      </c>
      <c r="Z37" s="12">
        <f>COUNTIF(D37:Y37,1)</f>
        <v/>
      </c>
      <c r="AA37" s="12">
        <f>IF(COUNT(D37:Y37)=0,"",ROUND(Z37/22*100,1))</f>
        <v/>
      </c>
      <c r="AB37" s="12">
        <f>COUNTIF(D37:Y37,0)</f>
        <v/>
      </c>
      <c r="AC37" s="12">
        <f>IF(COUNT(D37:Y37)=0,"",ROUND(AB37/22*100,1))</f>
        <v/>
      </c>
      <c r="AD37" s="20">
        <f>IF(AA37="","",IF(AA37&gt;=Нэгтгэл!$K$4,"Хангалттай эзэмшиж байна",IF(AA37&gt;=Нэгтгэл!$K$5,"Ахиж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5">
        <f>COUNTIF(H7:H37,1)</f>
        <v/>
      </c>
      <c r="I38" s="5">
        <f>COUNTIF(I7:I37,1)</f>
        <v/>
      </c>
      <c r="J38" s="5">
        <f>COUNTIF(J7:J37,1)</f>
        <v/>
      </c>
      <c r="K38" s="5">
        <f>COUNTIF(K7:K37,1)</f>
        <v/>
      </c>
      <c r="L38" s="5">
        <f>COUNTIF(L7:L37,1)</f>
        <v/>
      </c>
      <c r="M38" s="5">
        <f>COUNTIF(M7:M37,1)</f>
        <v/>
      </c>
      <c r="N38" s="5">
        <f>COUNTIF(N7:N37,1)</f>
        <v/>
      </c>
      <c r="O38" s="5">
        <f>COUNTIF(O7:O37,1)</f>
        <v/>
      </c>
      <c r="P38" s="5">
        <f>COUNTIF(P7:P37,1)</f>
        <v/>
      </c>
      <c r="Q38" s="5">
        <f>COUNTIF(Q7:Q37,1)</f>
        <v/>
      </c>
      <c r="R38" s="5">
        <f>COUNTIF(R7:R37,1)</f>
        <v/>
      </c>
      <c r="S38" s="5">
        <f>COUNTIF(S7:S37,1)</f>
        <v/>
      </c>
      <c r="T38" s="5">
        <f>COUNTIF(T7:T37,1)</f>
        <v/>
      </c>
      <c r="U38" s="5">
        <f>COUNTIF(U7:U37,1)</f>
        <v/>
      </c>
      <c r="V38" s="5">
        <f>COUNTIF(V7:V37,1)</f>
        <v/>
      </c>
      <c r="W38" s="5">
        <f>COUNTIF(W7:W37,1)</f>
        <v/>
      </c>
      <c r="X38" s="5">
        <f>COUNTIF(X7:X37,1)</f>
        <v/>
      </c>
      <c r="Y38" s="5">
        <f>COUNTIF(Y7:Y37,1)</f>
        <v/>
      </c>
      <c r="Z38" s="21" t="inlineStr">
        <is>
          <t>Хангалттай эзэмшиж байна</t>
        </is>
      </c>
      <c r="AA38" s="22" t="n"/>
      <c r="AB38" s="22" t="n"/>
      <c r="AC38" s="23" t="n"/>
      <c r="AD38" s="5">
        <f>COUNTIF(AD7:AD37,"Хангалттай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5">
        <f>IF(COUNT(H7:H37)=0,"",ROUND(COUNTIF(H7:H37,1)/COUNT(H7:H37)*100,1))</f>
        <v/>
      </c>
      <c r="I39" s="5">
        <f>IF(COUNT(I7:I37)=0,"",ROUND(COUNTIF(I7:I37,1)/COUNT(I7:I37)*100,1))</f>
        <v/>
      </c>
      <c r="J39" s="5">
        <f>IF(COUNT(J7:J37)=0,"",ROUND(COUNTIF(J7:J37,1)/COUNT(J7:J37)*100,1))</f>
        <v/>
      </c>
      <c r="K39" s="5">
        <f>IF(COUNT(K7:K37)=0,"",ROUND(COUNTIF(K7:K37,1)/COUNT(K7:K37)*100,1))</f>
        <v/>
      </c>
      <c r="L39" s="5">
        <f>IF(COUNT(L7:L37)=0,"",ROUND(COUNTIF(L7:L37,1)/COUNT(L7:L37)*100,1))</f>
        <v/>
      </c>
      <c r="M39" s="5">
        <f>IF(COUNT(M7:M37)=0,"",ROUND(COUNTIF(M7:M37,1)/COUNT(M7:M37)*100,1))</f>
        <v/>
      </c>
      <c r="N39" s="5">
        <f>IF(COUNT(N7:N37)=0,"",ROUND(COUNTIF(N7:N37,1)/COUNT(N7:N37)*100,1))</f>
        <v/>
      </c>
      <c r="O39" s="5">
        <f>IF(COUNT(O7:O37)=0,"",ROUND(COUNTIF(O7:O37,1)/COUNT(O7:O37)*100,1))</f>
        <v/>
      </c>
      <c r="P39" s="5">
        <f>IF(COUNT(P7:P37)=0,"",ROUND(COUNTIF(P7:P37,1)/COUNT(P7:P37)*100,1))</f>
        <v/>
      </c>
      <c r="Q39" s="5">
        <f>IF(COUNT(Q7:Q37)=0,"",ROUND(COUNTIF(Q7:Q37,1)/COUNT(Q7:Q37)*100,1))</f>
        <v/>
      </c>
      <c r="R39" s="5">
        <f>IF(COUNT(R7:R37)=0,"",ROUND(COUNTIF(R7:R37,1)/COUNT(R7:R37)*100,1))</f>
        <v/>
      </c>
      <c r="S39" s="5">
        <f>IF(COUNT(S7:S37)=0,"",ROUND(COUNTIF(S7:S37,1)/COUNT(S7:S37)*100,1))</f>
        <v/>
      </c>
      <c r="T39" s="5">
        <f>IF(COUNT(T7:T37)=0,"",ROUND(COUNTIF(T7:T37,1)/COUNT(T7:T37)*100,1))</f>
        <v/>
      </c>
      <c r="U39" s="5">
        <f>IF(COUNT(U7:U37)=0,"",ROUND(COUNTIF(U7:U37,1)/COUNT(U7:U37)*100,1))</f>
        <v/>
      </c>
      <c r="V39" s="5">
        <f>IF(COUNT(V7:V37)=0,"",ROUND(COUNTIF(V7:V37,1)/COUNT(V7:V37)*100,1))</f>
        <v/>
      </c>
      <c r="W39" s="5">
        <f>IF(COUNT(W7:W37)=0,"",ROUND(COUNTIF(W7:W37,1)/COUNT(W7:W37)*100,1))</f>
        <v/>
      </c>
      <c r="X39" s="5">
        <f>IF(COUNT(X7:X37)=0,"",ROUND(COUNTIF(X7:X37,1)/COUNT(X7:X37)*100,1))</f>
        <v/>
      </c>
      <c r="Y39" s="5">
        <f>IF(COUNT(Y7:Y37)=0,"",ROUND(COUNTIF(Y7:Y37,1)/COUNT(Y7:Y37)*100,1))</f>
        <v/>
      </c>
      <c r="Z39" s="21" t="inlineStr">
        <is>
          <t>Ахиж байна</t>
        </is>
      </c>
      <c r="AA39" s="22" t="n"/>
      <c r="AB39" s="22" t="n"/>
      <c r="AC39" s="23" t="n"/>
      <c r="AD39" s="5">
        <f>COUNTIF(AD7:AD37,"Ахиж байна")</f>
        <v/>
      </c>
    </row>
    <row r="40" ht="17" customHeight="1">
      <c r="A40" s="5" t="inlineStr">
        <is>
          <t>Чадахгүй (0)</t>
        </is>
      </c>
      <c r="B40" s="15" t="n"/>
      <c r="C40" s="15" t="n"/>
      <c r="D40" s="5">
        <f>COUNTIF(D7:D37,0)</f>
        <v/>
      </c>
      <c r="E40" s="5">
        <f>COUNTIF(E7:E37,0)</f>
        <v/>
      </c>
      <c r="F40" s="5">
        <f>COUNTIF(F7:F37,0)</f>
        <v/>
      </c>
      <c r="G40" s="5">
        <f>COUNTIF(G7:G37,0)</f>
        <v/>
      </c>
      <c r="H40" s="5">
        <f>COUNTIF(H7:H37,0)</f>
        <v/>
      </c>
      <c r="I40" s="5">
        <f>COUNTIF(I7:I37,0)</f>
        <v/>
      </c>
      <c r="J40" s="5">
        <f>COUNTIF(J7:J37,0)</f>
        <v/>
      </c>
      <c r="K40" s="5">
        <f>COUNTIF(K7:K37,0)</f>
        <v/>
      </c>
      <c r="L40" s="5">
        <f>COUNTIF(L7:L37,0)</f>
        <v/>
      </c>
      <c r="M40" s="5">
        <f>COUNTIF(M7:M37,0)</f>
        <v/>
      </c>
      <c r="N40" s="5">
        <f>COUNTIF(N7:N37,0)</f>
        <v/>
      </c>
      <c r="O40" s="5">
        <f>COUNTIF(O7:O37,0)</f>
        <v/>
      </c>
      <c r="P40" s="5">
        <f>COUNTIF(P7:P37,0)</f>
        <v/>
      </c>
      <c r="Q40" s="5">
        <f>COUNTIF(Q7:Q37,0)</f>
        <v/>
      </c>
      <c r="R40" s="5">
        <f>COUNTIF(R7:R37,0)</f>
        <v/>
      </c>
      <c r="S40" s="5">
        <f>COUNTIF(S7:S37,0)</f>
        <v/>
      </c>
      <c r="T40" s="5">
        <f>COUNTIF(T7:T37,0)</f>
        <v/>
      </c>
      <c r="U40" s="5">
        <f>COUNTIF(U7:U37,0)</f>
        <v/>
      </c>
      <c r="V40" s="5">
        <f>COUNTIF(V7:V37,0)</f>
        <v/>
      </c>
      <c r="W40" s="5">
        <f>COUNTIF(W7:W37,0)</f>
        <v/>
      </c>
      <c r="X40" s="5">
        <f>COUNTIF(X7:X37,0)</f>
        <v/>
      </c>
      <c r="Y40" s="5">
        <f>COUNTIF(Y7:Y37,0)</f>
        <v/>
      </c>
      <c r="Z40" s="21" t="inlineStr">
        <is>
          <t>Хөгжиж байна</t>
        </is>
      </c>
      <c r="AA40" s="22" t="n"/>
      <c r="AB40" s="22" t="n"/>
      <c r="AC40" s="23" t="n"/>
      <c r="AD40" s="5">
        <f>COUNTIF(AD7:AD37,"Хөгжиж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5">
        <f>IF(COUNT(H7:H37)=0,"",ROUND(COUNTIF(H7:H37,0)/COUNT(H7:H37)*100,1))</f>
        <v/>
      </c>
      <c r="I41" s="5">
        <f>IF(COUNT(I7:I37)=0,"",ROUND(COUNTIF(I7:I37,0)/COUNT(I7:I37)*100,1))</f>
        <v/>
      </c>
      <c r="J41" s="5">
        <f>IF(COUNT(J7:J37)=0,"",ROUND(COUNTIF(J7:J37,0)/COUNT(J7:J37)*100,1))</f>
        <v/>
      </c>
      <c r="K41" s="5">
        <f>IF(COUNT(K7:K37)=0,"",ROUND(COUNTIF(K7:K37,0)/COUNT(K7:K37)*100,1))</f>
        <v/>
      </c>
      <c r="L41" s="5">
        <f>IF(COUNT(L7:L37)=0,"",ROUND(COUNTIF(L7:L37,0)/COUNT(L7:L37)*100,1))</f>
        <v/>
      </c>
      <c r="M41" s="5">
        <f>IF(COUNT(M7:M37)=0,"",ROUND(COUNTIF(M7:M37,0)/COUNT(M7:M37)*100,1))</f>
        <v/>
      </c>
      <c r="N41" s="5">
        <f>IF(COUNT(N7:N37)=0,"",ROUND(COUNTIF(N7:N37,0)/COUNT(N7:N37)*100,1))</f>
        <v/>
      </c>
      <c r="O41" s="5">
        <f>IF(COUNT(O7:O37)=0,"",ROUND(COUNTIF(O7:O37,0)/COUNT(O7:O37)*100,1))</f>
        <v/>
      </c>
      <c r="P41" s="5">
        <f>IF(COUNT(P7:P37)=0,"",ROUND(COUNTIF(P7:P37,0)/COUNT(P7:P37)*100,1))</f>
        <v/>
      </c>
      <c r="Q41" s="5">
        <f>IF(COUNT(Q7:Q37)=0,"",ROUND(COUNTIF(Q7:Q37,0)/COUNT(Q7:Q37)*100,1))</f>
        <v/>
      </c>
      <c r="R41" s="5">
        <f>IF(COUNT(R7:R37)=0,"",ROUND(COUNTIF(R7:R37,0)/COUNT(R7:R37)*100,1))</f>
        <v/>
      </c>
      <c r="S41" s="5">
        <f>IF(COUNT(S7:S37)=0,"",ROUND(COUNTIF(S7:S37,0)/COUNT(S7:S37)*100,1))</f>
        <v/>
      </c>
      <c r="T41" s="5">
        <f>IF(COUNT(T7:T37)=0,"",ROUND(COUNTIF(T7:T37,0)/COUNT(T7:T37)*100,1))</f>
        <v/>
      </c>
      <c r="U41" s="5">
        <f>IF(COUNT(U7:U37)=0,"",ROUND(COUNTIF(U7:U37,0)/COUNT(U7:U37)*100,1))</f>
        <v/>
      </c>
      <c r="V41" s="5">
        <f>IF(COUNT(V7:V37)=0,"",ROUND(COUNTIF(V7:V37,0)/COUNT(V7:V37)*100,1))</f>
        <v/>
      </c>
      <c r="W41" s="5">
        <f>IF(COUNT(W7:W37)=0,"",ROUND(COUNTIF(W7:W37,0)/COUNT(W7:W37)*100,1))</f>
        <v/>
      </c>
      <c r="X41" s="5">
        <f>IF(COUNT(X7:X37)=0,"",ROUND(COUNTIF(X7:X37,0)/COUNT(X7:X37)*100,1))</f>
        <v/>
      </c>
      <c r="Y41" s="5">
        <f>IF(COUNT(Y7:Y37)=0,"",ROUND(COUNTIF(Y7:Y37,0)/COUNT(Y7:Y37)*100,1))</f>
        <v/>
      </c>
      <c r="Z41" s="15" t="n"/>
      <c r="AA41" s="15" t="n"/>
      <c r="AB41" s="15" t="n"/>
      <c r="AC41" s="15" t="n"/>
      <c r="AD41" s="15" t="n"/>
    </row>
  </sheetData>
  <mergeCells count="48">
    <mergeCell ref="Z38:AC38"/>
    <mergeCell ref="A41:C41"/>
    <mergeCell ref="B16:C16"/>
    <mergeCell ref="B7:C7"/>
    <mergeCell ref="B25:C25"/>
    <mergeCell ref="AC3:AC6"/>
    <mergeCell ref="B22:C22"/>
    <mergeCell ref="D3:Y3"/>
    <mergeCell ref="B31:C31"/>
    <mergeCell ref="B18:C18"/>
    <mergeCell ref="B27:C27"/>
    <mergeCell ref="B12:C12"/>
    <mergeCell ref="B21:C21"/>
    <mergeCell ref="Z40:AC40"/>
    <mergeCell ref="B11:C11"/>
    <mergeCell ref="Z3:Z6"/>
    <mergeCell ref="B23:C23"/>
    <mergeCell ref="A3:A6"/>
    <mergeCell ref="A2:AD2"/>
    <mergeCell ref="B14:C14"/>
    <mergeCell ref="B17:C17"/>
    <mergeCell ref="B8:C8"/>
    <mergeCell ref="A38:C38"/>
    <mergeCell ref="B13:C13"/>
    <mergeCell ref="B29:C29"/>
    <mergeCell ref="B19:C19"/>
    <mergeCell ref="B34:C34"/>
    <mergeCell ref="B37:C37"/>
    <mergeCell ref="B10:C10"/>
    <mergeCell ref="B28:C28"/>
    <mergeCell ref="A40:C40"/>
    <mergeCell ref="AA3:AA6"/>
    <mergeCell ref="A39:C39"/>
    <mergeCell ref="B9:C9"/>
    <mergeCell ref="B3:C6"/>
    <mergeCell ref="B24:C24"/>
    <mergeCell ref="B30:C30"/>
    <mergeCell ref="B15:C15"/>
    <mergeCell ref="B33:C33"/>
    <mergeCell ref="B20:C20"/>
    <mergeCell ref="AB3:AB6"/>
    <mergeCell ref="Z39:AC39"/>
    <mergeCell ref="AD3:AD6"/>
    <mergeCell ref="B36:C36"/>
    <mergeCell ref="B32:C32"/>
    <mergeCell ref="B26:C26"/>
    <mergeCell ref="B35:C35"/>
    <mergeCell ref="A1:AD1"/>
  </mergeCells>
  <conditionalFormatting sqref="D7:Y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H7 H8 H9 H10 H11 H12 H13 H14 H15 H16 H17 H18 H19 H20 H21 H22 H23 H24 H25 H26 H27 H28 H29 H30 H31 H32 H33 H34 H35 H36 H37 I7 I8 I9 I10 I11 I12 I13 I14 I15 I16 I17 I18 I19 I20 I21 I22 I23 I24 I25 I26 I27 I28 I29 I30 I31 I32 I33 I34 I35 I36 I37 J7 J8 J9 J10 J11 J12 J13 J14 J15 J16 J17 J18 J19 J20 J21 J22 J23 J24 J25 J26 J27 J28 J29 J30 J31 J32 J33 J34 J35 J36 J37 K7 K8 K9 K10 K11 K12 K13 K14 K15 K16 K17 K18 K19 K20 K21 K22 K23 K24 K25 K26 K27 K28 K29 K30 K31 K32 K33 K34 K35 K36 K37 L7 L8 L9 L10 L11 L12 L13 L14 L15 L16 L17 L18 L19 L20 L21 L22 L23 L24 L25 L26 L27 L28 L29 L30 L31 L32 L33 L34 L35 L36 L37 M7 M8 M9 M10 M11 M12 M13 M14 M15 M16 M17 M18 M19 M20 M21 M22 M23 M24 M25 M26 M27 M28 M29 M30 M31 M32 M33 M34 M35 M36 M37 N7 N8 N9 N10 N11 N12 N13 N14 N15 N16 N17 N18 N19 N20 N21 N22 N23 N24 N25 N26 N27 N28 N29 N30 N31 N32 N33 N34 N35 N36 N37 O7 O8 O9 O10 O11 O12 O13 O14 O15 O16 O17 O18 O19 O20 O21 O22 O23 O24 O25 O26 O27 O28 O29 O30 O31 O32 O33 O34 O35 O36 O37 P7 P8 P9 P10 P11 P12 P13 P14 P15 P16 P17 P18 P19 P20 P21 P22 P23 P24 P25 P26 P27 P28 P29 P30 P31 P32 P33 P34 P35 P36 P37 Q7 Q8 Q9 Q10 Q11 Q12 Q13 Q14 Q15 Q16 Q17 Q18 Q19 Q20 Q21 Q22 Q23 Q24 Q25 Q26 Q27 Q28 Q29 Q30 Q31 Q32 Q33 Q34 Q35 Q36 Q37 R7 R8 R9 R10 R11 R12 R13 R14 R15 R16 R17 R18 R19 R20 R21 R22 R23 R24 R25 R26 R27 R28 R29 R30 R31 R32 R33 R34 R35 R36 R37 S7 S8 S9 S10 S11 S12 S13 S14 S15 S16 S17 S18 S19 S20 S21 S22 S23 S24 S25 S26 S27 S28 S29 S30 S31 S32 S33 S34 S35 S36 S37 T7 T8 T9 T10 T11 T12 T13 T14 T15 T16 T17 T18 T19 T20 T21 T22 T23 T24 T25 T26 T27 T28 T29 T30 T31 T32 T33 T34 T35 T36 T37 U7 U8 U9 U10 U11 U12 U13 U14 U15 U16 U17 U18 U19 U20 U21 U22 U23 U24 U25 U26 U27 U28 U29 U30 U31 U32 U33 U34 U35 U36 U37 V7 V8 V9 V10 V11 V12 V13 V14 V15 V16 V17 V18 V19 V20 V21 V22 V23 V24 V25 V26 V27 V28 V29 V30 V31 V32 V33 V34 V35 V36 V37 W7 W8 W9 W10 W11 W12 W13 W14 W15 W16 W17 W18 W19 W20 W21 W22 W23 W24 W25 W26 W27 W28 W29 W30 W31 W32 W33 W34 W35 W36 W37 X7 X8 X9 X10 X11 X12 X13 X14 X15 X16 X17 X18 X19 X20 X21 X22 X23 X24 X25 X26 X27 X28 X29 X30 X31 X32 X33 X34 X35 X36 X37 Y7 Y8 Y9 Y10 Y11 Y12 Y13 Y14 Y15 Y16 Y17 Y18 Y19 Y20 Y21 Y22 Y23 Y24 Y25 Y26 Y27 Y28 Y29 Y30 Y31 Y32 Y33 Y34 Y35 Y36 Y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landscape" paperSize="9" fitToHeight="1" fitToWidth="1"/>
</worksheet>
</file>

<file path=xl/worksheets/sheet4.xml><?xml version="1.0" encoding="utf-8"?>
<worksheet xmlns="http://schemas.openxmlformats.org/spreadsheetml/2006/main">
  <sheetPr>
    <outlinePr summaryBelow="1" summaryRight="1"/>
    <pageSetUpPr fitToPage="1"/>
  </sheetPr>
  <dimension ref="A1:L41"/>
  <sheetViews>
    <sheetView workbookViewId="0">
      <selection activeCell="A1" sqref="A1"/>
    </sheetView>
  </sheetViews>
  <sheetFormatPr baseColWidth="8" defaultRowHeight="15"/>
  <cols>
    <col width="4.5" customWidth="1" min="1" max="1"/>
    <col width="8" customWidth="1" min="2" max="2"/>
    <col width="4" customWidth="1" min="3" max="3"/>
    <col width="14" customWidth="1" min="4" max="4"/>
    <col width="14" customWidth="1" min="5" max="5"/>
    <col width="14" customWidth="1" min="6" max="6"/>
    <col width="14" customWidth="1" min="7" max="7"/>
    <col width="7" customWidth="1" min="8" max="8"/>
    <col width="7" customWidth="1" min="9" max="9"/>
    <col width="8" customWidth="1" min="10" max="10"/>
    <col width="7" customWidth="1" min="11" max="11"/>
    <col width="14" customWidth="1" min="12" max="12"/>
  </cols>
  <sheetData>
    <row r="1">
      <c r="A1" s="1" t="inlineStr">
        <is>
          <t>................ ЦЭЦЭРЛЭГИЙН БАГА БҮЛГИЙН (2 НАС) ГАРААНЫ (ОНОШЛОХ) ҮНЭЛГЭЭ</t>
        </is>
      </c>
    </row>
    <row r="2">
      <c r="A2" s="18" t="inlineStr">
        <is>
          <t>Үнэлгээний хүрээ: Төлөвшил          Огноо: 20.... оны .... сар          Багш: ................................          Чадна = 1, Чадахгүй = 0  (А/79 журам, I түвшний шалгуур)</t>
        </is>
      </c>
    </row>
    <row r="3">
      <c r="A3" s="3" t="inlineStr">
        <is>
          <t>№</t>
        </is>
      </c>
      <c r="B3" s="3" t="inlineStr">
        <is>
          <t>Хүүхдийн код</t>
        </is>
      </c>
      <c r="C3" s="4" t="n"/>
      <c r="D3" s="3" t="inlineStr">
        <is>
          <t>Үнэлгээний хүрээ: Төлөвшил</t>
        </is>
      </c>
      <c r="E3" s="4" t="n"/>
      <c r="F3" s="4" t="n"/>
      <c r="G3" s="4" t="n"/>
      <c r="H3" s="5" t="inlineStr">
        <is>
          <t>Чадна (1)</t>
        </is>
      </c>
      <c r="I3" s="5" t="inlineStr">
        <is>
          <t>Хувь</t>
        </is>
      </c>
      <c r="J3" s="5" t="inlineStr">
        <is>
          <t>Чадахгүй (0)</t>
        </is>
      </c>
      <c r="K3" s="5" t="inlineStr">
        <is>
          <t>Хувь</t>
        </is>
      </c>
      <c r="L3" s="5" t="inlineStr">
        <is>
          <t>Түвшин</t>
        </is>
      </c>
    </row>
    <row r="4" ht="80" customHeight="1">
      <c r="A4" s="4" t="n"/>
      <c r="B4" s="4" t="n"/>
      <c r="C4" s="4" t="n"/>
      <c r="D4" s="6" t="inlineStr">
        <is>
          <t>Бусдын бүтээлийг ажиглаж сонирхдог.</t>
        </is>
      </c>
      <c r="E4" s="6" t="inlineStr">
        <is>
          <t>Хогийг хогийн саванд хийдэг.</t>
        </is>
      </c>
      <c r="F4" s="6" t="inlineStr">
        <is>
          <t>Өөр хэн нэгэн аргадах (уурлаж тавгүйтсэн, уйлсан үед)-д тайвширдаг.</t>
        </is>
      </c>
      <c r="G4" s="6" t="inlineStr">
        <is>
          <t>Хэрэглэсэн эд зүйл, тоглоомоо хураадаг.</t>
        </is>
      </c>
      <c r="H4" s="4" t="n"/>
      <c r="I4" s="4" t="n"/>
      <c r="J4" s="4" t="n"/>
      <c r="K4" s="4" t="n"/>
      <c r="L4" s="4" t="n"/>
    </row>
    <row r="5" ht="96" customHeight="1">
      <c r="A5" s="4" t="n"/>
      <c r="B5" s="4" t="n"/>
      <c r="C5" s="4" t="n"/>
      <c r="D5" s="19" t="inlineStr">
        <is>
          <t>СҮД: ЗУ1.1а. Уран зургийн бүтээлийг ажиглаж хүн, амьтныг ялгаж танина.</t>
        </is>
      </c>
      <c r="E5" s="19" t="inlineStr">
        <is>
          <t>СҮД: БНО1.2г. Өөрийн хэрэглэсэн эд зүйлс, тоглоомоо байранд нь хурааж, зориулалтын саванд хог хаяхыг оролдоно.</t>
        </is>
      </c>
      <c r="F5" s="19" t="inlineStr">
        <is>
          <t>СҮД: НСХ1.1в. Уурлаж тавгүйтсэн үедээ насанд хүрэгчээр аргадуулж тайвширдаг болно.</t>
        </is>
      </c>
      <c r="G5" s="19" t="inlineStr">
        <is>
          <t>СҮД: НСХ1.3а. Насанд хүрэгчийн тусламжтайгаар байнга хэрэглэдэг эд юмсыг байранд нь хураадаг болно.</t>
        </is>
      </c>
      <c r="H5" s="4" t="n"/>
      <c r="I5" s="4" t="n"/>
      <c r="J5" s="4" t="n"/>
      <c r="K5" s="4" t="n"/>
      <c r="L5" s="4" t="n"/>
    </row>
    <row r="6" ht="14" customHeight="1">
      <c r="A6" s="4" t="n"/>
      <c r="B6" s="4" t="n"/>
      <c r="C6" s="4" t="n"/>
      <c r="D6" s="10" t="inlineStr">
        <is>
          <t>1 / 0</t>
        </is>
      </c>
      <c r="E6" s="10" t="inlineStr">
        <is>
          <t>1 / 0</t>
        </is>
      </c>
      <c r="F6" s="10" t="inlineStr">
        <is>
          <t>1 / 0</t>
        </is>
      </c>
      <c r="G6" s="10" t="inlineStr">
        <is>
          <t>1 / 0</t>
        </is>
      </c>
      <c r="H6" s="4" t="n"/>
      <c r="I6" s="4" t="n"/>
      <c r="J6" s="4" t="n"/>
      <c r="K6" s="4" t="n"/>
      <c r="L6" s="4" t="n"/>
    </row>
    <row r="7" ht="16" customHeight="1">
      <c r="A7" s="12" t="n">
        <v>1</v>
      </c>
      <c r="B7" s="12">
        <f>IF(Нэгтгэл!B7="","",Нэгтгэл!B7)</f>
        <v/>
      </c>
      <c r="C7" s="4" t="n"/>
      <c r="D7" s="13" t="n">
        <v>0</v>
      </c>
      <c r="E7" s="13" t="n">
        <v>0</v>
      </c>
      <c r="F7" s="13" t="n">
        <v>1</v>
      </c>
      <c r="G7" s="13" t="n">
        <v>1</v>
      </c>
      <c r="H7" s="12">
        <f>COUNTIF(D7:G7,1)</f>
        <v/>
      </c>
      <c r="I7" s="12">
        <f>IF(COUNT(D7:G7)=0,"",ROUND(H7/4*100,1))</f>
        <v/>
      </c>
      <c r="J7" s="12">
        <f>COUNTIF(D7:G7,0)</f>
        <v/>
      </c>
      <c r="K7" s="12">
        <f>IF(COUNT(D7:G7)=0,"",ROUND(J7/4*100,1))</f>
        <v/>
      </c>
      <c r="L7" s="20">
        <f>IF(I7="","",IF(I7&gt;=Нэгтгэл!$K$4,"Хангалттай эзэмшиж байна",IF(I7&gt;=Нэгтгэл!$K$5,"Ахиж байна","Хөгжиж байна")))</f>
        <v/>
      </c>
    </row>
    <row r="8" ht="16" customHeight="1">
      <c r="A8" s="12" t="n">
        <v>2</v>
      </c>
      <c r="B8" s="12">
        <f>IF(Нэгтгэл!B8="","",Нэгтгэл!B8)</f>
        <v/>
      </c>
      <c r="C8" s="4" t="n"/>
      <c r="D8" s="13" t="n">
        <v>0</v>
      </c>
      <c r="E8" s="13" t="n">
        <v>1</v>
      </c>
      <c r="F8" s="13" t="n">
        <v>1</v>
      </c>
      <c r="G8" s="13" t="n">
        <v>1</v>
      </c>
      <c r="H8" s="12">
        <f>COUNTIF(D8:G8,1)</f>
        <v/>
      </c>
      <c r="I8" s="12">
        <f>IF(COUNT(D8:G8)=0,"",ROUND(H8/4*100,1))</f>
        <v/>
      </c>
      <c r="J8" s="12">
        <f>COUNTIF(D8:G8,0)</f>
        <v/>
      </c>
      <c r="K8" s="12">
        <f>IF(COUNT(D8:G8)=0,"",ROUND(J8/4*100,1))</f>
        <v/>
      </c>
      <c r="L8" s="20">
        <f>IF(I8="","",IF(I8&gt;=Нэгтгэл!$K$4,"Хангалттай эзэмшиж байна",IF(I8&gt;=Нэгтгэл!$K$5,"Ахиж байна","Хөгжиж байна")))</f>
        <v/>
      </c>
    </row>
    <row r="9" ht="16" customHeight="1">
      <c r="A9" s="12" t="n">
        <v>3</v>
      </c>
      <c r="B9" s="12">
        <f>IF(Нэгтгэл!B9="","",Нэгтгэл!B9)</f>
        <v/>
      </c>
      <c r="C9" s="4" t="n"/>
      <c r="D9" s="13" t="n">
        <v>1</v>
      </c>
      <c r="E9" s="13" t="n">
        <v>1</v>
      </c>
      <c r="F9" s="13" t="n">
        <v>0</v>
      </c>
      <c r="G9" s="13" t="n">
        <v>0</v>
      </c>
      <c r="H9" s="12">
        <f>COUNTIF(D9:G9,1)</f>
        <v/>
      </c>
      <c r="I9" s="12">
        <f>IF(COUNT(D9:G9)=0,"",ROUND(H9/4*100,1))</f>
        <v/>
      </c>
      <c r="J9" s="12">
        <f>COUNTIF(D9:G9,0)</f>
        <v/>
      </c>
      <c r="K9" s="12">
        <f>IF(COUNT(D9:G9)=0,"",ROUND(J9/4*100,1))</f>
        <v/>
      </c>
      <c r="L9" s="20">
        <f>IF(I9="","",IF(I9&gt;=Нэгтгэл!$K$4,"Хангалттай эзэмшиж байна",IF(I9&gt;=Нэгтгэл!$K$5,"Ахиж байна","Хөгжиж байна")))</f>
        <v/>
      </c>
    </row>
    <row r="10" ht="16" customHeight="1">
      <c r="A10" s="12" t="n">
        <v>4</v>
      </c>
      <c r="B10" s="12">
        <f>IF(Нэгтгэл!B10="","",Нэгтгэл!B10)</f>
        <v/>
      </c>
      <c r="C10" s="4" t="n"/>
      <c r="D10" s="13" t="n">
        <v>1</v>
      </c>
      <c r="E10" s="13" t="n">
        <v>0</v>
      </c>
      <c r="F10" s="13" t="n">
        <v>1</v>
      </c>
      <c r="G10" s="13" t="n">
        <v>1</v>
      </c>
      <c r="H10" s="12">
        <f>COUNTIF(D10:G10,1)</f>
        <v/>
      </c>
      <c r="I10" s="12">
        <f>IF(COUNT(D10:G10)=0,"",ROUND(H10/4*100,1))</f>
        <v/>
      </c>
      <c r="J10" s="12">
        <f>COUNTIF(D10:G10,0)</f>
        <v/>
      </c>
      <c r="K10" s="12">
        <f>IF(COUNT(D10:G10)=0,"",ROUND(J10/4*100,1))</f>
        <v/>
      </c>
      <c r="L10" s="20">
        <f>IF(I10="","",IF(I10&gt;=Нэгтгэл!$K$4,"Хангалттай эзэмшиж байна",IF(I10&gt;=Нэгтгэл!$K$5,"Ахиж байна","Хөгжиж байна")))</f>
        <v/>
      </c>
    </row>
    <row r="11" ht="16" customHeight="1">
      <c r="A11" s="12" t="n">
        <v>5</v>
      </c>
      <c r="B11" s="12">
        <f>IF(Нэгтгэл!B11="","",Нэгтгэл!B11)</f>
        <v/>
      </c>
      <c r="C11" s="4" t="n"/>
      <c r="D11" s="13" t="n">
        <v>1</v>
      </c>
      <c r="E11" s="13" t="n">
        <v>1</v>
      </c>
      <c r="F11" s="13" t="n">
        <v>1</v>
      </c>
      <c r="G11" s="13" t="n">
        <v>1</v>
      </c>
      <c r="H11" s="12">
        <f>COUNTIF(D11:G11,1)</f>
        <v/>
      </c>
      <c r="I11" s="12">
        <f>IF(COUNT(D11:G11)=0,"",ROUND(H11/4*100,1))</f>
        <v/>
      </c>
      <c r="J11" s="12">
        <f>COUNTIF(D11:G11,0)</f>
        <v/>
      </c>
      <c r="K11" s="12">
        <f>IF(COUNT(D11:G11)=0,"",ROUND(J11/4*100,1))</f>
        <v/>
      </c>
      <c r="L11" s="20">
        <f>IF(I11="","",IF(I11&gt;=Нэгтгэл!$K$4,"Хангалттай эзэмшиж байна",IF(I11&gt;=Нэгтгэл!$K$5,"Ахиж байна","Хөгжиж байна")))</f>
        <v/>
      </c>
    </row>
    <row r="12" ht="16" customHeight="1">
      <c r="A12" s="12" t="n">
        <v>6</v>
      </c>
      <c r="B12" s="12">
        <f>IF(Нэгтгэл!B12="","",Нэгтгэл!B12)</f>
        <v/>
      </c>
      <c r="C12" s="4" t="n"/>
      <c r="D12" s="13" t="n">
        <v>1</v>
      </c>
      <c r="E12" s="13" t="n">
        <v>0</v>
      </c>
      <c r="F12" s="13" t="n">
        <v>0</v>
      </c>
      <c r="G12" s="13" t="n">
        <v>1</v>
      </c>
      <c r="H12" s="12">
        <f>COUNTIF(D12:G12,1)</f>
        <v/>
      </c>
      <c r="I12" s="12">
        <f>IF(COUNT(D12:G12)=0,"",ROUND(H12/4*100,1))</f>
        <v/>
      </c>
      <c r="J12" s="12">
        <f>COUNTIF(D12:G12,0)</f>
        <v/>
      </c>
      <c r="K12" s="12">
        <f>IF(COUNT(D12:G12)=0,"",ROUND(J12/4*100,1))</f>
        <v/>
      </c>
      <c r="L12" s="20">
        <f>IF(I12="","",IF(I12&gt;=Нэгтгэл!$K$4,"Хангалттай эзэмшиж байна",IF(I12&gt;=Нэгтгэл!$K$5,"Ахиж байна","Хөгжиж байна")))</f>
        <v/>
      </c>
    </row>
    <row r="13" ht="16" customHeight="1">
      <c r="A13" s="12" t="n">
        <v>7</v>
      </c>
      <c r="B13" s="12">
        <f>IF(Нэгтгэл!B13="","",Нэгтгэл!B13)</f>
        <v/>
      </c>
      <c r="C13" s="4" t="n"/>
      <c r="D13" s="13" t="n">
        <v>0</v>
      </c>
      <c r="E13" s="13" t="n">
        <v>0</v>
      </c>
      <c r="F13" s="13" t="n">
        <v>1</v>
      </c>
      <c r="G13" s="13" t="n">
        <v>1</v>
      </c>
      <c r="H13" s="12">
        <f>COUNTIF(D13:G13,1)</f>
        <v/>
      </c>
      <c r="I13" s="12">
        <f>IF(COUNT(D13:G13)=0,"",ROUND(H13/4*100,1))</f>
        <v/>
      </c>
      <c r="J13" s="12">
        <f>COUNTIF(D13:G13,0)</f>
        <v/>
      </c>
      <c r="K13" s="12">
        <f>IF(COUNT(D13:G13)=0,"",ROUND(J13/4*100,1))</f>
        <v/>
      </c>
      <c r="L13" s="20">
        <f>IF(I13="","",IF(I13&gt;=Нэгтгэл!$K$4,"Хангалттай эзэмшиж байна",IF(I13&gt;=Нэгтгэл!$K$5,"Ахиж байна","Хөгжиж байна")))</f>
        <v/>
      </c>
    </row>
    <row r="14" ht="16" customHeight="1">
      <c r="A14" s="12" t="n">
        <v>8</v>
      </c>
      <c r="B14" s="12">
        <f>IF(Нэгтгэл!B14="","",Нэгтгэл!B14)</f>
        <v/>
      </c>
      <c r="C14" s="4" t="n"/>
      <c r="D14" s="13" t="n">
        <v>1</v>
      </c>
      <c r="E14" s="13" t="n">
        <v>0</v>
      </c>
      <c r="F14" s="13" t="n">
        <v>1</v>
      </c>
      <c r="G14" s="13" t="n">
        <v>0</v>
      </c>
      <c r="H14" s="12">
        <f>COUNTIF(D14:G14,1)</f>
        <v/>
      </c>
      <c r="I14" s="12">
        <f>IF(COUNT(D14:G14)=0,"",ROUND(H14/4*100,1))</f>
        <v/>
      </c>
      <c r="J14" s="12">
        <f>COUNTIF(D14:G14,0)</f>
        <v/>
      </c>
      <c r="K14" s="12">
        <f>IF(COUNT(D14:G14)=0,"",ROUND(J14/4*100,1))</f>
        <v/>
      </c>
      <c r="L14" s="20">
        <f>IF(I14="","",IF(I14&gt;=Нэгтгэл!$K$4,"Хангалттай эзэмшиж байна",IF(I14&gt;=Нэгтгэл!$K$5,"Ахиж байна","Хөгжиж байна")))</f>
        <v/>
      </c>
    </row>
    <row r="15" ht="16" customHeight="1">
      <c r="A15" s="12" t="n">
        <v>9</v>
      </c>
      <c r="B15" s="12">
        <f>IF(Нэгтгэл!B15="","",Нэгтгэл!B15)</f>
        <v/>
      </c>
      <c r="C15" s="4" t="n"/>
      <c r="D15" s="13" t="n">
        <v>1</v>
      </c>
      <c r="E15" s="13" t="n">
        <v>0</v>
      </c>
      <c r="F15" s="13" t="n">
        <v>1</v>
      </c>
      <c r="G15" s="13" t="n">
        <v>1</v>
      </c>
      <c r="H15" s="12">
        <f>COUNTIF(D15:G15,1)</f>
        <v/>
      </c>
      <c r="I15" s="12">
        <f>IF(COUNT(D15:G15)=0,"",ROUND(H15/4*100,1))</f>
        <v/>
      </c>
      <c r="J15" s="12">
        <f>COUNTIF(D15:G15,0)</f>
        <v/>
      </c>
      <c r="K15" s="12">
        <f>IF(COUNT(D15:G15)=0,"",ROUND(J15/4*100,1))</f>
        <v/>
      </c>
      <c r="L15" s="20">
        <f>IF(I15="","",IF(I15&gt;=Нэгтгэл!$K$4,"Хангалттай эзэмшиж байна",IF(I15&gt;=Нэгтгэл!$K$5,"Ахиж байна","Хөгжиж байна")))</f>
        <v/>
      </c>
    </row>
    <row r="16" ht="16" customHeight="1">
      <c r="A16" s="12" t="n">
        <v>10</v>
      </c>
      <c r="B16" s="12">
        <f>IF(Нэгтгэл!B16="","",Нэгтгэл!B16)</f>
        <v/>
      </c>
      <c r="C16" s="4" t="n"/>
      <c r="D16" s="13" t="n">
        <v>1</v>
      </c>
      <c r="E16" s="13" t="n">
        <v>0</v>
      </c>
      <c r="F16" s="13" t="n">
        <v>1</v>
      </c>
      <c r="G16" s="13" t="n">
        <v>1</v>
      </c>
      <c r="H16" s="12">
        <f>COUNTIF(D16:G16,1)</f>
        <v/>
      </c>
      <c r="I16" s="12">
        <f>IF(COUNT(D16:G16)=0,"",ROUND(H16/4*100,1))</f>
        <v/>
      </c>
      <c r="J16" s="12">
        <f>COUNTIF(D16:G16,0)</f>
        <v/>
      </c>
      <c r="K16" s="12">
        <f>IF(COUNT(D16:G16)=0,"",ROUND(J16/4*100,1))</f>
        <v/>
      </c>
      <c r="L16" s="20">
        <f>IF(I16="","",IF(I16&gt;=Нэгтгэл!$K$4,"Хангалттай эзэмшиж байна",IF(I16&gt;=Нэгтгэл!$K$5,"Ахиж байна","Хөгжиж байна")))</f>
        <v/>
      </c>
    </row>
    <row r="17" ht="16" customHeight="1">
      <c r="A17" s="12" t="n">
        <v>11</v>
      </c>
      <c r="B17" s="12">
        <f>IF(Нэгтгэл!B17="","",Нэгтгэл!B17)</f>
        <v/>
      </c>
      <c r="C17" s="4" t="n"/>
      <c r="D17" s="13" t="n">
        <v>1</v>
      </c>
      <c r="E17" s="13" t="n">
        <v>1</v>
      </c>
      <c r="F17" s="13" t="n">
        <v>1</v>
      </c>
      <c r="G17" s="13" t="n">
        <v>1</v>
      </c>
      <c r="H17" s="12">
        <f>COUNTIF(D17:G17,1)</f>
        <v/>
      </c>
      <c r="I17" s="12">
        <f>IF(COUNT(D17:G17)=0,"",ROUND(H17/4*100,1))</f>
        <v/>
      </c>
      <c r="J17" s="12">
        <f>COUNTIF(D17:G17,0)</f>
        <v/>
      </c>
      <c r="K17" s="12">
        <f>IF(COUNT(D17:G17)=0,"",ROUND(J17/4*100,1))</f>
        <v/>
      </c>
      <c r="L17" s="20">
        <f>IF(I17="","",IF(I17&gt;=Нэгтгэл!$K$4,"Хангалттай эзэмшиж байна",IF(I17&gt;=Нэгтгэл!$K$5,"Ахиж байна","Хөгжиж байна")))</f>
        <v/>
      </c>
    </row>
    <row r="18" ht="16" customHeight="1">
      <c r="A18" s="12" t="n">
        <v>12</v>
      </c>
      <c r="B18" s="12">
        <f>IF(Нэгтгэл!B18="","",Нэгтгэл!B18)</f>
        <v/>
      </c>
      <c r="C18" s="4" t="n"/>
      <c r="D18" s="13" t="n">
        <v>1</v>
      </c>
      <c r="E18" s="13" t="n">
        <v>1</v>
      </c>
      <c r="F18" s="13" t="n">
        <v>0</v>
      </c>
      <c r="G18" s="13" t="n">
        <v>1</v>
      </c>
      <c r="H18" s="12">
        <f>COUNTIF(D18:G18,1)</f>
        <v/>
      </c>
      <c r="I18" s="12">
        <f>IF(COUNT(D18:G18)=0,"",ROUND(H18/4*100,1))</f>
        <v/>
      </c>
      <c r="J18" s="12">
        <f>COUNTIF(D18:G18,0)</f>
        <v/>
      </c>
      <c r="K18" s="12">
        <f>IF(COUNT(D18:G18)=0,"",ROUND(J18/4*100,1))</f>
        <v/>
      </c>
      <c r="L18" s="20">
        <f>IF(I18="","",IF(I18&gt;=Нэгтгэл!$K$4,"Хангалттай эзэмшиж байна",IF(I18&gt;=Нэгтгэл!$K$5,"Ахиж байна","Хөгжиж байна")))</f>
        <v/>
      </c>
    </row>
    <row r="19" ht="16" customHeight="1">
      <c r="A19" s="12" t="n">
        <v>13</v>
      </c>
      <c r="B19" s="12">
        <f>IF(Нэгтгэл!B19="","",Нэгтгэл!B19)</f>
        <v/>
      </c>
      <c r="C19" s="4" t="n"/>
      <c r="D19" s="13" t="n">
        <v>1</v>
      </c>
      <c r="E19" s="13" t="n">
        <v>1</v>
      </c>
      <c r="F19" s="13" t="n">
        <v>1</v>
      </c>
      <c r="G19" s="13" t="n">
        <v>1</v>
      </c>
      <c r="H19" s="12">
        <f>COUNTIF(D19:G19,1)</f>
        <v/>
      </c>
      <c r="I19" s="12">
        <f>IF(COUNT(D19:G19)=0,"",ROUND(H19/4*100,1))</f>
        <v/>
      </c>
      <c r="J19" s="12">
        <f>COUNTIF(D19:G19,0)</f>
        <v/>
      </c>
      <c r="K19" s="12">
        <f>IF(COUNT(D19:G19)=0,"",ROUND(J19/4*100,1))</f>
        <v/>
      </c>
      <c r="L19" s="20">
        <f>IF(I19="","",IF(I19&gt;=Нэгтгэл!$K$4,"Хангалттай эзэмшиж байна",IF(I19&gt;=Нэгтгэл!$K$5,"Ахиж байна","Хөгжиж байна")))</f>
        <v/>
      </c>
    </row>
    <row r="20" ht="16" customHeight="1">
      <c r="A20" s="12" t="n">
        <v>14</v>
      </c>
      <c r="B20" s="12">
        <f>IF(Нэгтгэл!B20="","",Нэгтгэл!B20)</f>
        <v/>
      </c>
      <c r="C20" s="4" t="n"/>
      <c r="D20" s="13" t="n">
        <v>0</v>
      </c>
      <c r="E20" s="13" t="n">
        <v>1</v>
      </c>
      <c r="F20" s="13" t="n">
        <v>1</v>
      </c>
      <c r="G20" s="13" t="n">
        <v>1</v>
      </c>
      <c r="H20" s="12">
        <f>COUNTIF(D20:G20,1)</f>
        <v/>
      </c>
      <c r="I20" s="12">
        <f>IF(COUNT(D20:G20)=0,"",ROUND(H20/4*100,1))</f>
        <v/>
      </c>
      <c r="J20" s="12">
        <f>COUNTIF(D20:G20,0)</f>
        <v/>
      </c>
      <c r="K20" s="12">
        <f>IF(COUNT(D20:G20)=0,"",ROUND(J20/4*100,1))</f>
        <v/>
      </c>
      <c r="L20" s="20">
        <f>IF(I20="","",IF(I20&gt;=Нэгтгэл!$K$4,"Хангалттай эзэмшиж байна",IF(I20&gt;=Нэгтгэл!$K$5,"Ахиж байна","Хөгжиж байна")))</f>
        <v/>
      </c>
    </row>
    <row r="21" ht="16" customHeight="1">
      <c r="A21" s="12" t="n">
        <v>15</v>
      </c>
      <c r="B21" s="12">
        <f>IF(Нэгтгэл!B21="","",Нэгтгэл!B21)</f>
        <v/>
      </c>
      <c r="C21" s="4" t="n"/>
      <c r="D21" s="13" t="n">
        <v>1</v>
      </c>
      <c r="E21" s="13" t="n">
        <v>1</v>
      </c>
      <c r="F21" s="13" t="n">
        <v>1</v>
      </c>
      <c r="G21" s="13" t="n">
        <v>1</v>
      </c>
      <c r="H21" s="12">
        <f>COUNTIF(D21:G21,1)</f>
        <v/>
      </c>
      <c r="I21" s="12">
        <f>IF(COUNT(D21:G21)=0,"",ROUND(H21/4*100,1))</f>
        <v/>
      </c>
      <c r="J21" s="12">
        <f>COUNTIF(D21:G21,0)</f>
        <v/>
      </c>
      <c r="K21" s="12">
        <f>IF(COUNT(D21:G21)=0,"",ROUND(J21/4*100,1))</f>
        <v/>
      </c>
      <c r="L21" s="20">
        <f>IF(I21="","",IF(I21&gt;=Нэгтгэл!$K$4,"Хангалттай эзэмшиж байна",IF(I21&gt;=Нэгтгэл!$K$5,"Ахиж байна","Хөгжиж байна")))</f>
        <v/>
      </c>
    </row>
    <row r="22" ht="16" customHeight="1">
      <c r="A22" s="12" t="n">
        <v>16</v>
      </c>
      <c r="B22" s="12">
        <f>IF(Нэгтгэл!B22="","",Нэгтгэл!B22)</f>
        <v/>
      </c>
      <c r="C22" s="4" t="n"/>
      <c r="D22" s="13" t="n">
        <v>0</v>
      </c>
      <c r="E22" s="13" t="n">
        <v>1</v>
      </c>
      <c r="F22" s="13" t="n">
        <v>0</v>
      </c>
      <c r="G22" s="13" t="n">
        <v>0</v>
      </c>
      <c r="H22" s="12">
        <f>COUNTIF(D22:G22,1)</f>
        <v/>
      </c>
      <c r="I22" s="12">
        <f>IF(COUNT(D22:G22)=0,"",ROUND(H22/4*100,1))</f>
        <v/>
      </c>
      <c r="J22" s="12">
        <f>COUNTIF(D22:G22,0)</f>
        <v/>
      </c>
      <c r="K22" s="12">
        <f>IF(COUNT(D22:G22)=0,"",ROUND(J22/4*100,1))</f>
        <v/>
      </c>
      <c r="L22" s="20">
        <f>IF(I22="","",IF(I22&gt;=Нэгтгэл!$K$4,"Хангалттай эзэмшиж байна",IF(I22&gt;=Нэгтгэл!$K$5,"Ахиж байна","Хөгжиж байна")))</f>
        <v/>
      </c>
    </row>
    <row r="23" ht="16" customHeight="1">
      <c r="A23" s="12" t="n">
        <v>17</v>
      </c>
      <c r="B23" s="12">
        <f>IF(Нэгтгэл!B23="","",Нэгтгэл!B23)</f>
        <v/>
      </c>
      <c r="C23" s="4" t="n"/>
      <c r="D23" s="13" t="n">
        <v>1</v>
      </c>
      <c r="E23" s="13" t="n">
        <v>1</v>
      </c>
      <c r="F23" s="13" t="n">
        <v>1</v>
      </c>
      <c r="G23" s="13" t="n">
        <v>1</v>
      </c>
      <c r="H23" s="12">
        <f>COUNTIF(D23:G23,1)</f>
        <v/>
      </c>
      <c r="I23" s="12">
        <f>IF(COUNT(D23:G23)=0,"",ROUND(H23/4*100,1))</f>
        <v/>
      </c>
      <c r="J23" s="12">
        <f>COUNTIF(D23:G23,0)</f>
        <v/>
      </c>
      <c r="K23" s="12">
        <f>IF(COUNT(D23:G23)=0,"",ROUND(J23/4*100,1))</f>
        <v/>
      </c>
      <c r="L23" s="20">
        <f>IF(I23="","",IF(I23&gt;=Нэгтгэл!$K$4,"Хангалттай эзэмшиж байна",IF(I23&gt;=Нэгтгэл!$K$5,"Ахиж байна","Хөгжиж байна")))</f>
        <v/>
      </c>
    </row>
    <row r="24" ht="16" customHeight="1">
      <c r="A24" s="12" t="n">
        <v>18</v>
      </c>
      <c r="B24" s="12">
        <f>IF(Нэгтгэл!B24="","",Нэгтгэл!B24)</f>
        <v/>
      </c>
      <c r="C24" s="4" t="n"/>
      <c r="D24" s="13" t="n">
        <v>0</v>
      </c>
      <c r="E24" s="13" t="n">
        <v>1</v>
      </c>
      <c r="F24" s="13" t="n">
        <v>1</v>
      </c>
      <c r="G24" s="13" t="n">
        <v>1</v>
      </c>
      <c r="H24" s="12">
        <f>COUNTIF(D24:G24,1)</f>
        <v/>
      </c>
      <c r="I24" s="12">
        <f>IF(COUNT(D24:G24)=0,"",ROUND(H24/4*100,1))</f>
        <v/>
      </c>
      <c r="J24" s="12">
        <f>COUNTIF(D24:G24,0)</f>
        <v/>
      </c>
      <c r="K24" s="12">
        <f>IF(COUNT(D24:G24)=0,"",ROUND(J24/4*100,1))</f>
        <v/>
      </c>
      <c r="L24" s="20">
        <f>IF(I24="","",IF(I24&gt;=Нэгтгэл!$K$4,"Хангалттай эзэмшиж байна",IF(I24&gt;=Нэгтгэл!$K$5,"Ахиж байна","Хөгжиж байна")))</f>
        <v/>
      </c>
    </row>
    <row r="25" ht="16" customHeight="1">
      <c r="A25" s="12" t="n">
        <v>19</v>
      </c>
      <c r="B25" s="12">
        <f>IF(Нэгтгэл!B25="","",Нэгтгэл!B25)</f>
        <v/>
      </c>
      <c r="C25" s="4" t="n"/>
      <c r="D25" s="13" t="n">
        <v>1</v>
      </c>
      <c r="E25" s="13" t="n">
        <v>1</v>
      </c>
      <c r="F25" s="13" t="n">
        <v>1</v>
      </c>
      <c r="G25" s="13" t="n">
        <v>0</v>
      </c>
      <c r="H25" s="12">
        <f>COUNTIF(D25:G25,1)</f>
        <v/>
      </c>
      <c r="I25" s="12">
        <f>IF(COUNT(D25:G25)=0,"",ROUND(H25/4*100,1))</f>
        <v/>
      </c>
      <c r="J25" s="12">
        <f>COUNTIF(D25:G25,0)</f>
        <v/>
      </c>
      <c r="K25" s="12">
        <f>IF(COUNT(D25:G25)=0,"",ROUND(J25/4*100,1))</f>
        <v/>
      </c>
      <c r="L25" s="20">
        <f>IF(I25="","",IF(I25&gt;=Нэгтгэл!$K$4,"Хангалттай эзэмшиж байна",IF(I25&gt;=Нэгтгэл!$K$5,"Ахиж байна","Хөгжиж байна")))</f>
        <v/>
      </c>
    </row>
    <row r="26" ht="16" customHeight="1">
      <c r="A26" s="12" t="n">
        <v>20</v>
      </c>
      <c r="B26" s="12">
        <f>IF(Нэгтгэл!B26="","",Нэгтгэл!B26)</f>
        <v/>
      </c>
      <c r="C26" s="4" t="n"/>
      <c r="D26" s="13" t="n">
        <v>0</v>
      </c>
      <c r="E26" s="13" t="n">
        <v>1</v>
      </c>
      <c r="F26" s="13" t="n">
        <v>1</v>
      </c>
      <c r="G26" s="13" t="n">
        <v>1</v>
      </c>
      <c r="H26" s="12">
        <f>COUNTIF(D26:G26,1)</f>
        <v/>
      </c>
      <c r="I26" s="12">
        <f>IF(COUNT(D26:G26)=0,"",ROUND(H26/4*100,1))</f>
        <v/>
      </c>
      <c r="J26" s="12">
        <f>COUNTIF(D26:G26,0)</f>
        <v/>
      </c>
      <c r="K26" s="12">
        <f>IF(COUNT(D26:G26)=0,"",ROUND(J26/4*100,1))</f>
        <v/>
      </c>
      <c r="L26" s="20">
        <f>IF(I26="","",IF(I26&gt;=Нэгтгэл!$K$4,"Хангалттай эзэмшиж байна",IF(I26&gt;=Нэгтгэл!$K$5,"Ахиж байна","Хөгжиж байна")))</f>
        <v/>
      </c>
    </row>
    <row r="27" ht="16" customHeight="1">
      <c r="A27" s="12" t="n">
        <v>21</v>
      </c>
      <c r="B27" s="12">
        <f>IF(Нэгтгэл!B27="","",Нэгтгэл!B27)</f>
        <v/>
      </c>
      <c r="C27" s="4" t="n"/>
      <c r="D27" s="13" t="n">
        <v>1</v>
      </c>
      <c r="E27" s="13" t="n">
        <v>1</v>
      </c>
      <c r="F27" s="13" t="n">
        <v>1</v>
      </c>
      <c r="G27" s="13" t="n">
        <v>1</v>
      </c>
      <c r="H27" s="12">
        <f>COUNTIF(D27:G27,1)</f>
        <v/>
      </c>
      <c r="I27" s="12">
        <f>IF(COUNT(D27:G27)=0,"",ROUND(H27/4*100,1))</f>
        <v/>
      </c>
      <c r="J27" s="12">
        <f>COUNTIF(D27:G27,0)</f>
        <v/>
      </c>
      <c r="K27" s="12">
        <f>IF(COUNT(D27:G27)=0,"",ROUND(J27/4*100,1))</f>
        <v/>
      </c>
      <c r="L27" s="20">
        <f>IF(I27="","",IF(I27&gt;=Нэгтгэл!$K$4,"Хангалттай эзэмшиж байна",IF(I27&gt;=Нэгтгэл!$K$5,"Ахиж байна","Хөгжиж байна")))</f>
        <v/>
      </c>
    </row>
    <row r="28" ht="16" customHeight="1">
      <c r="A28" s="12" t="n">
        <v>22</v>
      </c>
      <c r="B28" s="12">
        <f>IF(Нэгтгэл!B28="","",Нэгтгэл!B28)</f>
        <v/>
      </c>
      <c r="C28" s="4" t="n"/>
      <c r="D28" s="13" t="n">
        <v>1</v>
      </c>
      <c r="E28" s="13" t="n">
        <v>1</v>
      </c>
      <c r="F28" s="13" t="n">
        <v>0</v>
      </c>
      <c r="G28" s="13" t="n">
        <v>0</v>
      </c>
      <c r="H28" s="12">
        <f>COUNTIF(D28:G28,1)</f>
        <v/>
      </c>
      <c r="I28" s="12">
        <f>IF(COUNT(D28:G28)=0,"",ROUND(H28/4*100,1))</f>
        <v/>
      </c>
      <c r="J28" s="12">
        <f>COUNTIF(D28:G28,0)</f>
        <v/>
      </c>
      <c r="K28" s="12">
        <f>IF(COUNT(D28:G28)=0,"",ROUND(J28/4*100,1))</f>
        <v/>
      </c>
      <c r="L28" s="20">
        <f>IF(I28="","",IF(I28&gt;=Нэгтгэл!$K$4,"Хангалттай эзэмшиж байна",IF(I28&gt;=Нэгтгэл!$K$5,"Ахиж байна","Хөгжиж байна")))</f>
        <v/>
      </c>
    </row>
    <row r="29" ht="16" customHeight="1">
      <c r="A29" s="12" t="n">
        <v>23</v>
      </c>
      <c r="B29" s="12">
        <f>IF(Нэгтгэл!B29="","",Нэгтгэл!B29)</f>
        <v/>
      </c>
      <c r="C29" s="4" t="n"/>
      <c r="D29" s="13" t="n">
        <v>0</v>
      </c>
      <c r="E29" s="13" t="n">
        <v>1</v>
      </c>
      <c r="F29" s="13" t="n">
        <v>1</v>
      </c>
      <c r="G29" s="13" t="n">
        <v>0</v>
      </c>
      <c r="H29" s="12">
        <f>COUNTIF(D29:G29,1)</f>
        <v/>
      </c>
      <c r="I29" s="12">
        <f>IF(COUNT(D29:G29)=0,"",ROUND(H29/4*100,1))</f>
        <v/>
      </c>
      <c r="J29" s="12">
        <f>COUNTIF(D29:G29,0)</f>
        <v/>
      </c>
      <c r="K29" s="12">
        <f>IF(COUNT(D29:G29)=0,"",ROUND(J29/4*100,1))</f>
        <v/>
      </c>
      <c r="L29" s="20">
        <f>IF(I29="","",IF(I29&gt;=Нэгтгэл!$K$4,"Хангалттай эзэмшиж байна",IF(I29&gt;=Нэгтгэл!$K$5,"Ахиж байна","Хөгжиж байна")))</f>
        <v/>
      </c>
    </row>
    <row r="30" ht="16" customHeight="1">
      <c r="A30" s="12" t="n">
        <v>24</v>
      </c>
      <c r="B30" s="12">
        <f>IF(Нэгтгэл!B30="","",Нэгтгэл!B30)</f>
        <v/>
      </c>
      <c r="C30" s="4" t="n"/>
      <c r="D30" s="13" t="n">
        <v>1</v>
      </c>
      <c r="E30" s="13" t="n">
        <v>1</v>
      </c>
      <c r="F30" s="13" t="n">
        <v>0</v>
      </c>
      <c r="G30" s="13" t="n">
        <v>1</v>
      </c>
      <c r="H30" s="12">
        <f>COUNTIF(D30:G30,1)</f>
        <v/>
      </c>
      <c r="I30" s="12">
        <f>IF(COUNT(D30:G30)=0,"",ROUND(H30/4*100,1))</f>
        <v/>
      </c>
      <c r="J30" s="12">
        <f>COUNTIF(D30:G30,0)</f>
        <v/>
      </c>
      <c r="K30" s="12">
        <f>IF(COUNT(D30:G30)=0,"",ROUND(J30/4*100,1))</f>
        <v/>
      </c>
      <c r="L30" s="20">
        <f>IF(I30="","",IF(I30&gt;=Нэгтгэл!$K$4,"Хангалттай эзэмшиж байна",IF(I30&gt;=Нэгтгэл!$K$5,"Ахиж байна","Хөгжиж байна")))</f>
        <v/>
      </c>
    </row>
    <row r="31" ht="16" customHeight="1">
      <c r="A31" s="12" t="n">
        <v>25</v>
      </c>
      <c r="B31" s="12">
        <f>IF(Нэгтгэл!B31="","",Нэгтгэл!B31)</f>
        <v/>
      </c>
      <c r="C31" s="4" t="n"/>
      <c r="D31" s="13" t="n">
        <v>1</v>
      </c>
      <c r="E31" s="13" t="n">
        <v>0</v>
      </c>
      <c r="F31" s="13" t="n">
        <v>1</v>
      </c>
      <c r="G31" s="13" t="n">
        <v>0</v>
      </c>
      <c r="H31" s="12">
        <f>COUNTIF(D31:G31,1)</f>
        <v/>
      </c>
      <c r="I31" s="12">
        <f>IF(COUNT(D31:G31)=0,"",ROUND(H31/4*100,1))</f>
        <v/>
      </c>
      <c r="J31" s="12">
        <f>COUNTIF(D31:G31,0)</f>
        <v/>
      </c>
      <c r="K31" s="12">
        <f>IF(COUNT(D31:G31)=0,"",ROUND(J31/4*100,1))</f>
        <v/>
      </c>
      <c r="L31" s="20">
        <f>IF(I31="","",IF(I31&gt;=Нэгтгэл!$K$4,"Хангалттай эзэмшиж байна",IF(I31&gt;=Нэгтгэл!$K$5,"Ахиж байна","Хөгжиж байна")))</f>
        <v/>
      </c>
    </row>
    <row r="32" ht="16" customHeight="1">
      <c r="A32" s="12" t="n">
        <v>26</v>
      </c>
      <c r="B32" s="12">
        <f>IF(Нэгтгэл!B32="","",Нэгтгэл!B32)</f>
        <v/>
      </c>
      <c r="C32" s="4" t="n"/>
      <c r="D32" s="13" t="n">
        <v>1</v>
      </c>
      <c r="E32" s="13" t="n">
        <v>0</v>
      </c>
      <c r="F32" s="13" t="n">
        <v>1</v>
      </c>
      <c r="G32" s="13" t="n">
        <v>0</v>
      </c>
      <c r="H32" s="12">
        <f>COUNTIF(D32:G32,1)</f>
        <v/>
      </c>
      <c r="I32" s="12">
        <f>IF(COUNT(D32:G32)=0,"",ROUND(H32/4*100,1))</f>
        <v/>
      </c>
      <c r="J32" s="12">
        <f>COUNTIF(D32:G32,0)</f>
        <v/>
      </c>
      <c r="K32" s="12">
        <f>IF(COUNT(D32:G32)=0,"",ROUND(J32/4*100,1))</f>
        <v/>
      </c>
      <c r="L32" s="20">
        <f>IF(I32="","",IF(I32&gt;=Нэгтгэл!$K$4,"Хангалттай эзэмшиж байна",IF(I32&gt;=Нэгтгэл!$K$5,"Ахиж байна","Хөгжиж байна")))</f>
        <v/>
      </c>
    </row>
    <row r="33" ht="16" customHeight="1">
      <c r="A33" s="12" t="n">
        <v>27</v>
      </c>
      <c r="B33" s="12">
        <f>IF(Нэгтгэл!B33="","",Нэгтгэл!B33)</f>
        <v/>
      </c>
      <c r="C33" s="4" t="n"/>
      <c r="D33" s="13" t="n">
        <v>1</v>
      </c>
      <c r="E33" s="13" t="n">
        <v>1</v>
      </c>
      <c r="F33" s="13" t="n">
        <v>1</v>
      </c>
      <c r="G33" s="13" t="n">
        <v>0</v>
      </c>
      <c r="H33" s="12">
        <f>COUNTIF(D33:G33,1)</f>
        <v/>
      </c>
      <c r="I33" s="12">
        <f>IF(COUNT(D33:G33)=0,"",ROUND(H33/4*100,1))</f>
        <v/>
      </c>
      <c r="J33" s="12">
        <f>COUNTIF(D33:G33,0)</f>
        <v/>
      </c>
      <c r="K33" s="12">
        <f>IF(COUNT(D33:G33)=0,"",ROUND(J33/4*100,1))</f>
        <v/>
      </c>
      <c r="L33" s="20">
        <f>IF(I33="","",IF(I33&gt;=Нэгтгэл!$K$4,"Хангалттай эзэмшиж байна",IF(I33&gt;=Нэгтгэл!$K$5,"Ахиж байна","Хөгжиж байна")))</f>
        <v/>
      </c>
    </row>
    <row r="34" ht="16" customHeight="1">
      <c r="A34" s="12" t="n">
        <v>28</v>
      </c>
      <c r="B34" s="12">
        <f>IF(Нэгтгэл!B34="","",Нэгтгэл!B34)</f>
        <v/>
      </c>
      <c r="C34" s="4" t="n"/>
      <c r="D34" s="13" t="n">
        <v>1</v>
      </c>
      <c r="E34" s="13" t="n">
        <v>1</v>
      </c>
      <c r="F34" s="13" t="n">
        <v>1</v>
      </c>
      <c r="G34" s="13" t="n">
        <v>1</v>
      </c>
      <c r="H34" s="12">
        <f>COUNTIF(D34:G34,1)</f>
        <v/>
      </c>
      <c r="I34" s="12">
        <f>IF(COUNT(D34:G34)=0,"",ROUND(H34/4*100,1))</f>
        <v/>
      </c>
      <c r="J34" s="12">
        <f>COUNTIF(D34:G34,0)</f>
        <v/>
      </c>
      <c r="K34" s="12">
        <f>IF(COUNT(D34:G34)=0,"",ROUND(J34/4*100,1))</f>
        <v/>
      </c>
      <c r="L34" s="20">
        <f>IF(I34="","",IF(I34&gt;=Нэгтгэл!$K$4,"Хангалттай эзэмшиж байна",IF(I34&gt;=Нэгтгэл!$K$5,"Ахиж байна","Хөгжиж байна")))</f>
        <v/>
      </c>
    </row>
    <row r="35" ht="16" customHeight="1">
      <c r="A35" s="12" t="n">
        <v>29</v>
      </c>
      <c r="B35" s="12">
        <f>IF(Нэгтгэл!B35="","",Нэгтгэл!B35)</f>
        <v/>
      </c>
      <c r="C35" s="4" t="n"/>
      <c r="D35" s="13" t="n">
        <v>1</v>
      </c>
      <c r="E35" s="13" t="n">
        <v>0</v>
      </c>
      <c r="F35" s="13" t="n">
        <v>1</v>
      </c>
      <c r="G35" s="13" t="n">
        <v>1</v>
      </c>
      <c r="H35" s="12">
        <f>COUNTIF(D35:G35,1)</f>
        <v/>
      </c>
      <c r="I35" s="12">
        <f>IF(COUNT(D35:G35)=0,"",ROUND(H35/4*100,1))</f>
        <v/>
      </c>
      <c r="J35" s="12">
        <f>COUNTIF(D35:G35,0)</f>
        <v/>
      </c>
      <c r="K35" s="12">
        <f>IF(COUNT(D35:G35)=0,"",ROUND(J35/4*100,1))</f>
        <v/>
      </c>
      <c r="L35" s="20">
        <f>IF(I35="","",IF(I35&gt;=Нэгтгэл!$K$4,"Хангалттай эзэмшиж байна",IF(I35&gt;=Нэгтгэл!$K$5,"Ахиж байна","Хөгжиж байна")))</f>
        <v/>
      </c>
    </row>
    <row r="36" ht="16" customHeight="1">
      <c r="A36" s="12" t="n">
        <v>30</v>
      </c>
      <c r="B36" s="12">
        <f>IF(Нэгтгэл!B36="","",Нэгтгэл!B36)</f>
        <v/>
      </c>
      <c r="C36" s="4" t="n"/>
      <c r="D36" s="13" t="n">
        <v>0</v>
      </c>
      <c r="E36" s="13" t="n">
        <v>1</v>
      </c>
      <c r="F36" s="13" t="n">
        <v>0</v>
      </c>
      <c r="G36" s="13" t="n">
        <v>0</v>
      </c>
      <c r="H36" s="12">
        <f>COUNTIF(D36:G36,1)</f>
        <v/>
      </c>
      <c r="I36" s="12">
        <f>IF(COUNT(D36:G36)=0,"",ROUND(H36/4*100,1))</f>
        <v/>
      </c>
      <c r="J36" s="12">
        <f>COUNTIF(D36:G36,0)</f>
        <v/>
      </c>
      <c r="K36" s="12">
        <f>IF(COUNT(D36:G36)=0,"",ROUND(J36/4*100,1))</f>
        <v/>
      </c>
      <c r="L36" s="20">
        <f>IF(I36="","",IF(I36&gt;=Нэгтгэл!$K$4,"Хангалттай эзэмшиж байна",IF(I36&gt;=Нэгтгэл!$K$5,"Ахиж байна","Хөгжиж байна")))</f>
        <v/>
      </c>
    </row>
    <row r="37" ht="16" customHeight="1">
      <c r="A37" s="12" t="n">
        <v>31</v>
      </c>
      <c r="B37" s="12">
        <f>IF(Нэгтгэл!B37="","",Нэгтгэл!B37)</f>
        <v/>
      </c>
      <c r="C37" s="4" t="n"/>
      <c r="D37" s="13" t="n">
        <v>1</v>
      </c>
      <c r="E37" s="13" t="n">
        <v>1</v>
      </c>
      <c r="F37" s="13" t="n">
        <v>0</v>
      </c>
      <c r="G37" s="13" t="n">
        <v>1</v>
      </c>
      <c r="H37" s="12">
        <f>COUNTIF(D37:G37,1)</f>
        <v/>
      </c>
      <c r="I37" s="12">
        <f>IF(COUNT(D37:G37)=0,"",ROUND(H37/4*100,1))</f>
        <v/>
      </c>
      <c r="J37" s="12">
        <f>COUNTIF(D37:G37,0)</f>
        <v/>
      </c>
      <c r="K37" s="12">
        <f>IF(COUNT(D37:G37)=0,"",ROUND(J37/4*100,1))</f>
        <v/>
      </c>
      <c r="L37" s="20">
        <f>IF(I37="","",IF(I37&gt;=Нэгтгэл!$K$4,"Хангалттай эзэмшиж байна",IF(I37&gt;=Нэгтгэл!$K$5,"Ахиж байна","Хөгжиж байна")))</f>
        <v/>
      </c>
    </row>
    <row r="38" ht="17" customHeight="1">
      <c r="A38" s="5" t="inlineStr">
        <is>
          <t>Чадна (1)</t>
        </is>
      </c>
      <c r="B38" s="15" t="n"/>
      <c r="C38" s="15" t="n"/>
      <c r="D38" s="5">
        <f>COUNTIF(D7:D37,1)</f>
        <v/>
      </c>
      <c r="E38" s="5">
        <f>COUNTIF(E7:E37,1)</f>
        <v/>
      </c>
      <c r="F38" s="5">
        <f>COUNTIF(F7:F37,1)</f>
        <v/>
      </c>
      <c r="G38" s="5">
        <f>COUNTIF(G7:G37,1)</f>
        <v/>
      </c>
      <c r="H38" s="21" t="inlineStr">
        <is>
          <t>Хангалттай эзэмшиж байна</t>
        </is>
      </c>
      <c r="I38" s="22" t="n"/>
      <c r="J38" s="22" t="n"/>
      <c r="K38" s="23" t="n"/>
      <c r="L38" s="5">
        <f>COUNTIF(L7:L37,"Хангалттай эзэмшиж байна")</f>
        <v/>
      </c>
    </row>
    <row r="39" ht="17" customHeight="1">
      <c r="A39" s="5" t="inlineStr">
        <is>
          <t>Хувь</t>
        </is>
      </c>
      <c r="B39" s="15" t="n"/>
      <c r="C39" s="15" t="n"/>
      <c r="D39" s="5">
        <f>IF(COUNT(D7:D37)=0,"",ROUND(COUNTIF(D7:D37,1)/COUNT(D7:D37)*100,1))</f>
        <v/>
      </c>
      <c r="E39" s="5">
        <f>IF(COUNT(E7:E37)=0,"",ROUND(COUNTIF(E7:E37,1)/COUNT(E7:E37)*100,1))</f>
        <v/>
      </c>
      <c r="F39" s="5">
        <f>IF(COUNT(F7:F37)=0,"",ROUND(COUNTIF(F7:F37,1)/COUNT(F7:F37)*100,1))</f>
        <v/>
      </c>
      <c r="G39" s="5">
        <f>IF(COUNT(G7:G37)=0,"",ROUND(COUNTIF(G7:G37,1)/COUNT(G7:G37)*100,1))</f>
        <v/>
      </c>
      <c r="H39" s="21" t="inlineStr">
        <is>
          <t>Ахиж байна</t>
        </is>
      </c>
      <c r="I39" s="22" t="n"/>
      <c r="J39" s="22" t="n"/>
      <c r="K39" s="23" t="n"/>
      <c r="L39" s="5">
        <f>COUNTIF(L7:L37,"Ахиж байна")</f>
        <v/>
      </c>
    </row>
    <row r="40" ht="17" customHeight="1">
      <c r="A40" s="5" t="inlineStr">
        <is>
          <t>Чадахгүй (0)</t>
        </is>
      </c>
      <c r="B40" s="15" t="n"/>
      <c r="C40" s="15" t="n"/>
      <c r="D40" s="5">
        <f>COUNTIF(D7:D37,0)</f>
        <v/>
      </c>
      <c r="E40" s="5">
        <f>COUNTIF(E7:E37,0)</f>
        <v/>
      </c>
      <c r="F40" s="5">
        <f>COUNTIF(F7:F37,0)</f>
        <v/>
      </c>
      <c r="G40" s="5">
        <f>COUNTIF(G7:G37,0)</f>
        <v/>
      </c>
      <c r="H40" s="21" t="inlineStr">
        <is>
          <t>Хөгжиж байна</t>
        </is>
      </c>
      <c r="I40" s="22" t="n"/>
      <c r="J40" s="22" t="n"/>
      <c r="K40" s="23" t="n"/>
      <c r="L40" s="5">
        <f>COUNTIF(L7:L37,"Хөгжиж байна")</f>
        <v/>
      </c>
    </row>
    <row r="41" ht="17" customHeight="1">
      <c r="A41" s="5" t="inlineStr">
        <is>
          <t>Хувь</t>
        </is>
      </c>
      <c r="B41" s="15" t="n"/>
      <c r="C41" s="15" t="n"/>
      <c r="D41" s="5">
        <f>IF(COUNT(D7:D37)=0,"",ROUND(COUNTIF(D7:D37,0)/COUNT(D7:D37)*100,1))</f>
        <v/>
      </c>
      <c r="E41" s="5">
        <f>IF(COUNT(E7:E37)=0,"",ROUND(COUNTIF(E7:E37,0)/COUNT(E7:E37)*100,1))</f>
        <v/>
      </c>
      <c r="F41" s="5">
        <f>IF(COUNT(F7:F37)=0,"",ROUND(COUNTIF(F7:F37,0)/COUNT(F7:F37)*100,1))</f>
        <v/>
      </c>
      <c r="G41" s="5">
        <f>IF(COUNT(G7:G37)=0,"",ROUND(COUNTIF(G7:G37,0)/COUNT(G7:G37)*100,1))</f>
        <v/>
      </c>
      <c r="H41" s="15" t="n"/>
      <c r="I41" s="15" t="n"/>
      <c r="J41" s="15" t="n"/>
      <c r="K41" s="15" t="n"/>
      <c r="L41" s="15" t="n"/>
    </row>
  </sheetData>
  <mergeCells count="48">
    <mergeCell ref="A41:C41"/>
    <mergeCell ref="B16:C16"/>
    <mergeCell ref="D3:G3"/>
    <mergeCell ref="B7:C7"/>
    <mergeCell ref="B25:C25"/>
    <mergeCell ref="L3:L6"/>
    <mergeCell ref="B22:C22"/>
    <mergeCell ref="B31:C31"/>
    <mergeCell ref="B18:C18"/>
    <mergeCell ref="B27:C27"/>
    <mergeCell ref="B12:C12"/>
    <mergeCell ref="A2:L2"/>
    <mergeCell ref="B21:C21"/>
    <mergeCell ref="B11:C11"/>
    <mergeCell ref="I3:I6"/>
    <mergeCell ref="B23:C23"/>
    <mergeCell ref="A3:A6"/>
    <mergeCell ref="H38:K38"/>
    <mergeCell ref="B14:C14"/>
    <mergeCell ref="B17:C17"/>
    <mergeCell ref="B8:C8"/>
    <mergeCell ref="A38:C38"/>
    <mergeCell ref="B13:C13"/>
    <mergeCell ref="B29:C29"/>
    <mergeCell ref="H40:K40"/>
    <mergeCell ref="B19:C19"/>
    <mergeCell ref="B34:C34"/>
    <mergeCell ref="B37:C37"/>
    <mergeCell ref="B10:C10"/>
    <mergeCell ref="B28:C28"/>
    <mergeCell ref="A40:C40"/>
    <mergeCell ref="H39:K39"/>
    <mergeCell ref="A39:C39"/>
    <mergeCell ref="B9:C9"/>
    <mergeCell ref="B3:C6"/>
    <mergeCell ref="B24:C24"/>
    <mergeCell ref="B30:C30"/>
    <mergeCell ref="B15:C15"/>
    <mergeCell ref="H3:H6"/>
    <mergeCell ref="B33:C33"/>
    <mergeCell ref="J3:J6"/>
    <mergeCell ref="B20:C20"/>
    <mergeCell ref="A1:L1"/>
    <mergeCell ref="K3:K6"/>
    <mergeCell ref="B36:C36"/>
    <mergeCell ref="B32:C32"/>
    <mergeCell ref="B26:C26"/>
    <mergeCell ref="B35:C35"/>
  </mergeCells>
  <conditionalFormatting sqref="D7:G37">
    <cfRule type="cellIs" priority="1" operator="equal" dxfId="0">
      <formula>0</formula>
    </cfRule>
  </conditionalFormatting>
  <dataValidations count="1">
    <dataValidation sqref="D7 D8 D9 D10 D11 D12 D13 D14 D15 D16 D17 D18 D19 D20 D21 D22 D23 D24 D25 D26 D27 D28 D29 D30 D31 D32 D33 D34 D35 D36 D37 E7 E8 E9 E10 E11 E12 E13 E14 E15 E16 E17 E18 E19 E20 E21 E22 E23 E24 E25 E26 E27 E28 E29 E30 E31 E32 E33 E34 E35 E36 E37 F7 F8 F9 F10 F11 F12 F13 F14 F15 F16 F17 F18 F19 F20 F21 F22 F23 F24 F25 F26 F27 F28 F29 F30 F31 F32 F33 F34 F35 F36 F37 G7 G8 G9 G10 G11 G12 G13 G14 G15 G16 G17 G18 G19 G20 G21 G22 G23 G24 G25 G26 G27 G28 G29 G30 G31 G32 G33 G34 G35 G36 G37" showDropDown="0" showInputMessage="1" showErrorMessage="1" allowBlank="1" errorTitle="1 эсвэл 0" error="Чадна бол 1, чадахгүй бол 0 гэж бичнэ." promptTitle="Тэмдэглэх" prompt="Чадна = 1, Чадахгүй = 0" type="list">
      <formula1>"1,0"</formula1>
    </dataValidation>
  </dataValidations>
  <printOptions horizontalCentered="1"/>
  <pageMargins left="0.5905511811023622" right="0.1968503937007874" top="0.5905511811023622" bottom="0.5905511811023622" header="0.3149606299212598" footer="0.3149606299212598"/>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2026-10-11T17:02:40Z</dcterms:created>
  <dcterms:modified xmlns:dcterms="http://purl.org/dc/terms/" xmlns:xsi="http://www.w3.org/2001/XMLSchema-instance" xsi:type="dcterms:W3CDTF">2026-10-11T17:02:41Z</dcterms:modified>
</cp:coreProperties>
</file>
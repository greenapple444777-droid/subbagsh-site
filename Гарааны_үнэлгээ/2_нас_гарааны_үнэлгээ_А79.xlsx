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авар, журмын шаардлага" sheetId="1" state="visible" r:id="rId1"/>
    <sheet xmlns:r="http://schemas.openxmlformats.org/officeDocument/2006/relationships" name="Нэгтгэл" sheetId="2" state="visible" r:id="rId2"/>
    <sheet xmlns:r="http://schemas.openxmlformats.org/officeDocument/2006/relationships" name="Бие бялдар" sheetId="3" state="visible" r:id="rId3"/>
    <sheet xmlns:r="http://schemas.openxmlformats.org/officeDocument/2006/relationships" name="Танин мэдэхүй" sheetId="4" state="visible" r:id="rId4"/>
    <sheet xmlns:r="http://schemas.openxmlformats.org/officeDocument/2006/relationships" name="Нийгэмшил" sheetId="5" state="visible" r:id="rId5"/>
  </sheets>
  <definedNames>
    <definedName name="_xlnm.Print_Titles" localSheetId="0">'Заавар, журмын шаардлага'!$3:$3</definedName>
    <definedName name="_xlnm.Print_Titles" localSheetId="1">'Нэгтгэл'!$3:$6</definedName>
    <definedName name="_xlnm.Print_Titles" localSheetId="2">'Бие бялдар'!$3:$9</definedName>
    <definedName name="_xlnm.Print_Area" localSheetId="2">'Бие бялдар'!$A$1:$Z$43</definedName>
    <definedName name="_xlnm.Print_Titles" localSheetId="3">'Танин мэдэхүй'!$3:$9</definedName>
    <definedName name="_xlnm.Print_Area" localSheetId="3">'Танин мэдэхүй'!$A$1:$AT$43</definedName>
    <definedName name="_xlnm.Print_Titles" localSheetId="4">'Нийгэмшил'!$3:$9</definedName>
    <definedName name="_xlnm.Print_Area" localSheetId="4">'Нийгэмшил'!$A$1:$Z$43</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sz val="12"/>
    </font>
    <font>
      <name val="Arial"/>
      <b val="1"/>
      <sz val="11"/>
    </font>
    <font>
      <name val="Arial"/>
      <sz val="11"/>
    </font>
    <font>
      <name val="Arial"/>
      <b val="1"/>
      <sz val="10"/>
    </font>
    <font>
      <name val="Arial"/>
      <b val="1"/>
      <sz val="9"/>
    </font>
    <font>
      <name val="Arial"/>
      <sz val="8"/>
    </font>
    <font>
      <name val="Arial"/>
      <b val="1"/>
      <i val="1"/>
      <sz val="8"/>
    </font>
    <font>
      <name val="Arial"/>
      <i val="1"/>
      <sz val="9"/>
    </font>
    <font>
      <name val="Arial"/>
      <b val="1"/>
      <sz val="8"/>
    </font>
    <font>
      <name val="Arial"/>
      <sz val="10"/>
    </font>
    <font>
      <name val="Arial"/>
      <sz val="9"/>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2CC"/>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0" fillId="0" borderId="1" pivotButton="0" quotePrefix="0" xfId="0"/>
    <xf numFmtId="0" fontId="4" fillId="3" borderId="1" applyAlignment="1" pivotButton="0" quotePrefix="0" xfId="0">
      <alignment horizontal="center" vertical="center" wrapText="1"/>
    </xf>
    <xf numFmtId="0" fontId="5"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164"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0" fillId="3" borderId="1" pivotButton="0" quotePrefix="0" xfId="0"/>
    <xf numFmtId="0" fontId="1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2" borderId="1" pivotButton="0" quotePrefix="0" xfId="0"/>
    <xf numFmtId="0" fontId="6" fillId="4" borderId="1" applyAlignment="1" pivotButton="0" quotePrefix="0" xfId="0">
      <alignment horizontal="left" vertical="center" wrapText="1"/>
    </xf>
    <xf numFmtId="0" fontId="0" fillId="4" borderId="1" pivotButton="0" quotePrefix="0" xfId="0"/>
    <xf numFmtId="0" fontId="7" fillId="5" borderId="1" applyAlignment="1" pivotButton="0" quotePrefix="0" xfId="0">
      <alignment horizontal="center" vertical="center" wrapText="1"/>
    </xf>
    <xf numFmtId="0" fontId="0" fillId="5" borderId="1" pivotButton="0" quotePrefix="0" xfId="0"/>
    <xf numFmtId="0" fontId="8" fillId="5" borderId="1" applyAlignment="1" pivotButton="0" quotePrefix="0" xfId="0">
      <alignment horizontal="center" vertical="center" wrapText="1"/>
    </xf>
    <xf numFmtId="0" fontId="6" fillId="0" borderId="1" applyAlignment="1" pivotButton="0" quotePrefix="0" xfId="0">
      <alignment horizontal="center" vertical="center" wrapText="1"/>
    </xf>
    <xf numFmtId="0" fontId="9"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0"/>
  <sheetViews>
    <sheetView workbookViewId="0">
      <selection activeCell="A1" sqref="A1"/>
    </sheetView>
  </sheetViews>
  <sheetFormatPr baseColWidth="8" defaultRowHeight="15"/>
  <cols>
    <col width="5" customWidth="1" min="1" max="1"/>
    <col width="30" customWidth="1" min="2" max="2"/>
    <col width="80" customWidth="1" min="3" max="3"/>
    <col width="36" customWidth="1" min="4" max="4"/>
  </cols>
  <sheetData>
    <row r="1">
      <c r="A1" s="1" t="inlineStr">
        <is>
          <t>2 НАСТАЙ (БАГА БҮЛГИЙН) ХҮҮХДИЙН ГАРААНЫ (ОНОШЛОХ) ҮНЭЛГЭЭ: ЖУРМЫН ШААРДЛАГА</t>
        </is>
      </c>
    </row>
    <row r="3">
      <c r="A3" s="2" t="inlineStr">
        <is>
          <t>№</t>
        </is>
      </c>
      <c r="B3" s="2" t="inlineStr">
        <is>
          <t>Шаардлага</t>
        </is>
      </c>
      <c r="C3" s="2" t="inlineStr">
        <is>
          <t>Агуулга</t>
        </is>
      </c>
      <c r="D3" s="2" t="inlineStr">
        <is>
          <t>Эх сурвалж</t>
        </is>
      </c>
    </row>
    <row r="4" ht="64" customHeight="1">
      <c r="A4" s="3" t="n">
        <v>1</v>
      </c>
      <c r="B4" s="4" t="inlineStr">
        <is>
          <t>Мөрдөх журам</t>
        </is>
      </c>
      <c r="C4" s="5" t="inlineStr">
        <is>
          <t>Боловсролын сайдын 2026.03.11-ний А/79 тушаалаар батлагдсан «Сургуулийн өмнөх боловсролын үйлчилгээнд хамрагдаж байгаа суралцагчийн хөгжил болон сургуульд бэлтгэгдсэн байдлыг үнэлэх журам». 2020 оны А/280 тушаал хүчингүй болсон.</t>
        </is>
      </c>
      <c r="D4" s="5" t="inlineStr">
        <is>
          <t>А/79 тушаал, 1–4-р заалт</t>
        </is>
      </c>
    </row>
    <row r="5" ht="36" customHeight="1">
      <c r="A5" s="3" t="n">
        <v>2</v>
      </c>
      <c r="B5" s="4" t="inlineStr">
        <is>
          <t>Үнэлгээний төрөл</t>
        </is>
      </c>
      <c r="C5" s="5" t="inlineStr">
        <is>
          <t>Суралцагчийн хөгжлийн үнэлгээ нь гараа (оношлох)-ны, явцын, үр дүнгийн гэсэн гурван төрөлтэй.</t>
        </is>
      </c>
      <c r="D5" s="5" t="inlineStr">
        <is>
          <t>А/79 журам 2.2</t>
        </is>
      </c>
    </row>
    <row r="6" ht="50" customHeight="1">
      <c r="A6" s="3" t="n">
        <v>3</v>
      </c>
      <c r="B6" s="4" t="inlineStr">
        <is>
          <t>Хэн, хэзээ хийх</t>
        </is>
      </c>
      <c r="C6" s="5" t="inlineStr">
        <is>
          <t>Суралцагчийн хөгжлийн түвшин, ялгаатай хэрэгцээг тодорхойлж, сургалт, үйл ажиллагааг төлөвлөх зорилгоор гарааны үнэлгээг багш хичээлийн жилийн эхэнд хийнэ.</t>
        </is>
      </c>
      <c r="D6" s="5" t="inlineStr">
        <is>
          <t>А/79 журам 2.3</t>
        </is>
      </c>
    </row>
    <row r="7" ht="78" customHeight="1">
      <c r="A7" s="3" t="n">
        <v>4</v>
      </c>
      <c r="B7" s="4" t="inlineStr">
        <is>
          <t>Бага бүлэгт баримтлах хөтөлбөр</t>
        </is>
      </c>
      <c r="C7" s="5" t="inlineStr">
        <is>
          <t>Бага бүлгийн суралцагчийн гарааны үнэлгээнд Сургуулийн өмнөх болон ерөнхий боловсролын тухай хуулийн 10.5-д заасан хөтөлбөр буюу «Гурав хүртэлх насны хүүхдийн цогц хөгжлийг дэмжих хөтөлбөр» (эрүүл мэнд, өсөлт, хэл яриа, танин мэдэхүйн хөгжлийг дэмжих баримт бичиг)-ийг баримтална. Дунд, ахлах, бэлтгэл бүлэгт өмнөх жилийн үр дүнгийн үнэлгээг ашиглана.</t>
        </is>
      </c>
      <c r="D7" s="5" t="inlineStr">
        <is>
          <t>А/79 журам 2.4, 2.5; Хуулийн 10.5</t>
        </is>
      </c>
    </row>
    <row r="8" ht="78" customHeight="1">
      <c r="A8" s="3" t="n">
        <v>5</v>
      </c>
      <c r="B8" s="4" t="inlineStr">
        <is>
          <t>Шалгуур</t>
        </is>
      </c>
      <c r="C8" s="5" t="inlineStr">
        <is>
          <t>Энэ файлд А/79 журмын хавсралт «Суралцагчийн хөгжлийн үнэлгээний шалгуур»-ын I түвшний 37 шалгуурыг үг үсэг өөрчлөхгүй авсан: Мэдлэг 11, Чадвар 22, Төлөвшил 4. Журмын 1.2-т заасан бие бялдар, танин мэдэхүй, нийгэмшлийн хөгжлөөр шийтэд хуваасан (Бие бялдар 9, Танин мэдэхүй 19, Нийгэмшил 9). Шалгуурын №-ыг журмын хавсралтынхаар хадгалсан.</t>
        </is>
      </c>
      <c r="D8" s="5" t="inlineStr">
        <is>
          <t>А/79 журмын хавсралт, I түвшин; журам 1.2</t>
        </is>
      </c>
    </row>
    <row r="9" ht="64" customHeight="1">
      <c r="A9" s="3" t="n">
        <v>6</v>
      </c>
      <c r="B9" s="4" t="inlineStr">
        <is>
          <t>СҮД-тэй уялдуулах</t>
        </is>
      </c>
      <c r="C9" s="5" t="inlineStr">
        <is>
          <t>Шалгуур бүрийн доор СӨБ-ын сургалтын хөтөлбөр (2025)-ийн I түвшний холбогдох суралцахуйн үр дүн (СҮД)-ийг код, эх бичвэрээр нь, түүний доор «Хүүхдийн хийх үйл» гэсэн ажиглах жишээ үйлийг нэг мөрөөр оруулсан. Хүүхдийн хийх үйлийн мөрийг багш бүлгийнхээ онцлогт тааруулан өөрчилж болно.</t>
        </is>
      </c>
      <c r="D9" s="5" t="inlineStr">
        <is>
          <t>СӨБ-ын сургалтын хөтөлбөр (2025)</t>
        </is>
      </c>
    </row>
    <row r="10" ht="64" customHeight="1">
      <c r="A10" s="3" t="n">
        <v>7</v>
      </c>
      <c r="B10" s="4" t="inlineStr">
        <is>
          <t>Баримт нотолгоо</t>
        </is>
      </c>
      <c r="C10" s="5" t="inlineStr">
        <is>
          <t>Багш суралцагчийн суралцах үйл явцыг ажиглаж тэмдэглэл хөтөлнө; шаардлагатай үед ярилцлага хийж тэмдэглэнэ; баримт нотолгоо цуглуулж хувийн хавтас бүрдүүлнэ; суралцахуйн үр дүнд тулгуурласан «ажиглалтын хуудас»-ыг боловсруулж, мэргэжлийн багш нарын бүлгээр хэлэлцүүлэн сайжруулна.</t>
        </is>
      </c>
      <c r="D10" s="5" t="inlineStr">
        <is>
          <t>А/79 журам 2.8.1–2.8.5</t>
        </is>
      </c>
    </row>
    <row r="11" ht="50" customHeight="1">
      <c r="A11" s="3" t="n">
        <v>8</v>
      </c>
      <c r="B11" s="4" t="inlineStr">
        <is>
          <t>Түвшин тогтоох</t>
        </is>
      </c>
      <c r="C11" s="5" t="inlineStr">
        <is>
          <t>Шалгуур хангасан хувиар: 80.0 ба түүнээс дээш «Хангалттай эзэмшиж байна»; 50.0–79.0 «Ахиж байна»; 49.0 ба түүнээс доош «Хөгжиж байна». Мэдлэг, чадвар, төлөвшлийн түвшнийг тус тусад нь тодорхойлно (Нэгтгэл шийтэд бодогдоно).</t>
        </is>
      </c>
      <c r="D11" s="5" t="inlineStr">
        <is>
          <t>А/79 журам 2.10</t>
        </is>
      </c>
    </row>
    <row r="12" ht="64" customHeight="1">
      <c r="A12" s="3" t="n">
        <v>9</v>
      </c>
      <c r="B12" s="4" t="inlineStr">
        <is>
          <t>Зарчим</t>
        </is>
      </c>
      <c r="C12" s="5" t="inlineStr">
        <is>
          <t>Нас, хөгжлийн онцлог, ялгаатай хэрэгцээг харгалзсан, хүүхдийн хөгжлийг дэмжсэн, нотолгоонд суурилсан, оролцоог тэгш хангасан, ялгаварлан гадуурхалт, хөндлөнгийн нөлөөллөөс ангид байна. Хөгжлийн бэрхшээлтэй суралцагчид холбогдох журам, аргачлалыг баримтална.</t>
        </is>
      </c>
      <c r="D12" s="5" t="inlineStr">
        <is>
          <t>А/79 журам 1.3, 1.5</t>
        </is>
      </c>
    </row>
    <row r="13" ht="64" customHeight="1">
      <c r="A13" s="3" t="n">
        <v>10</v>
      </c>
      <c r="B13" s="4" t="inlineStr">
        <is>
          <t>Ашиглах, мэдээлэх</t>
        </is>
      </c>
      <c r="C13" s="5" t="inlineStr">
        <is>
          <t>Үнэлгээний үр дүнг сургалт, үйл ажиллагааг төлөвлөх үндэслэл болгоно. Багш ахиц, хүрсэн үр дүнг эцэг эх, асран хамгаалагчид танилцуулж, зөвлөгөө өгч, хамтран ажиллана. Хувийн хавтсыг цэцэрлэгээс шилжих үед эцэг эхэд хүлээлгэн өгнө.</t>
        </is>
      </c>
      <c r="D13" s="5" t="inlineStr">
        <is>
          <t>А/79 журам 1.4, 2.14, 5.1</t>
        </is>
      </c>
    </row>
    <row r="14" ht="50" customHeight="1">
      <c r="A14" s="3" t="n">
        <v>11</v>
      </c>
      <c r="B14" s="4" t="inlineStr">
        <is>
          <t>Хориглох зүйл</t>
        </is>
      </c>
      <c r="C14" s="5" t="inlineStr">
        <is>
          <t>Боловсролын эрдэм шинжилгээ, арга зүйн байгууллагын зөвшөөрөлгүйгээр суралцагчийн хөгжлийн түвшинг үнэлэх аливаа шалгалт, судалгаа авахыг хориглоно. Багш суралцагчийн үнэлгээг бусдад задруулахыг хориглоно.</t>
        </is>
      </c>
      <c r="D14" s="5" t="inlineStr">
        <is>
          <t>А/79 журам 5.3; Хуулийн 15.5</t>
        </is>
      </c>
    </row>
    <row r="15" ht="106" customHeight="1">
      <c r="A15" s="3" t="n">
        <v>13</v>
      </c>
      <c r="B15" s="4" t="inlineStr">
        <is>
          <t>Цэцэрлэгийн үлгэрчилсэн дүрэм</t>
        </is>
      </c>
      <c r="C15" s="5" t="inlineStr">
        <is>
          <t>Цэцэрлэг 2–5 насны хүүхдийг хамруулж, бие бялдар, танин мэдэхүй, нийгэмшлийн хөгжлийг дэмжинэ (1.4, 1.5). Цэцэрлэг нь СӨБ-ын сургалтын хөтөлбөр болон хуулийн 10.5-д заасан гурав хүртэлх насны хүүхдийн цогц хөгжлийг дэмжих хөтөлбөрийг хэрэгжүүлнэ (7.6). Мэргэжлийн багш нарын бүлэг хүүхдийн хөгжлийн ахиц өөрчлөлтийг илрүүлэх, үнэлэх, дэмжлэг үзүүлэх асуудлыг хамтран хэлэлцэнэ (3.3.3.2) — А/79-ийн 2.8.4-ийн ажиглалтын хуудсыг энэ бүлгээр хэлэлцүүлнэ. Бага бүлэг 20 хүүхэдтэй (7.4.2).</t>
        </is>
      </c>
      <c r="D15" s="5" t="inlineStr">
        <is>
          <t>БШУ-ны сайдын 2023.12.25-ны А/569 «Хүүхдийн цэцэрлэгийн үлгэрчилсэн дүрэм»</t>
        </is>
      </c>
    </row>
    <row r="16" ht="92" customHeight="1">
      <c r="A16" s="3" t="n">
        <v>14</v>
      </c>
      <c r="B16" s="4" t="inlineStr">
        <is>
          <t>Хөгжлийн бэрхшээлтэй хүүхдийн оношлох үнэлгээ</t>
        </is>
      </c>
      <c r="C16" s="5" t="inlineStr">
        <is>
          <t>Ганцаарчилсан сургалтын төлөвлөгөөгөөр хичээллэх суралцагчийн ахицыг оношлох, явцын, үр дүнгийн үнэлгээгээр үнэлнэ. Оношлох үнэлгээ нь хөгжлийн түвшин, онцлог, хэрэгцээг тогтоох бодит байдлын үнэлгээ бөгөөд ганцаарчилсан сургалтын төлөвлөгөөний зорилтыг тодорхойлно (4.1.1). Үр дүнгийн түвшнийг хуулийн 27.7-д заасан журам (А/79)-аар дүйцүүлнэ (4.3). Цэцэрлэгийн «Дэмжлэгийн баг»-т арга зүйч, эмч, багш, эцэг эх, нийгмийн ажилтан орно (5.1).</t>
        </is>
      </c>
      <c r="D16" s="5" t="inlineStr">
        <is>
          <t>Боловсролын сайдын 2024.09.10-ны А/81, 1-р хавсралт; А/79 журам 1.5</t>
        </is>
      </c>
    </row>
    <row r="17" ht="78" customHeight="1">
      <c r="A17" s="3" t="n">
        <v>15</v>
      </c>
      <c r="B17" s="4" t="inlineStr">
        <is>
          <t>2026–2027 оны хичээлийн жилийн зорилт</t>
        </is>
      </c>
      <c r="C17" s="5" t="inlineStr">
        <is>
          <t>Суралцагч бүрийн мэдлэг, чадварын хоцрогдлыг оношлон тодорхойлж, нөхөн эзэмшүүлэх зорилтот сургалт, дэмжлэгийг хэрэгжүүлэх (зорилт 1); суралцагчийн ахицыг тогтмол хянаж, үр дүнд үндэслэн хариу арга хэмжээ авах (зорилт 7); цэцэрлэгт суурилсан эрүүл мэндийн эрт илрүүлэх үзлэгийг хамтран зохион байгуулах (зорилт 11).</t>
        </is>
      </c>
      <c r="D17" s="5" t="inlineStr">
        <is>
          <t>Боловсролын сайдын 2026.08.19-ний «СӨ болон ЕБ-ын салбарын 2026–2027 оны хичээлийн жилийн зорилго, зорилт» (тушаалын дугаарыг нийтэд олдоогүй)</t>
        </is>
      </c>
    </row>
    <row r="18" ht="134" customHeight="1">
      <c r="A18" s="3" t="n">
        <v>16</v>
      </c>
      <c r="B18" s="4" t="inlineStr">
        <is>
          <t>Багш, цэцэрлэгийн гүйцэтгэлийн үнэлгээ (А/27)</t>
        </is>
      </c>
      <c r="C18" s="5" t="inlineStr">
        <is>
          <t>Хүүхдийн цэцэрлэгийн бага, дунд бүлгийн багшийн гүйцэтгэлийн «1.1. Сургалт, үйл ажиллагааны үр дүн» үзүүлэлтийг багшийн сургалт, үйл ажиллагааны явцад бүрдүүлсэн баримт нотолгоонд үндэслэн тооцно (журам 2.10). Иймд гарааны үнэлгээний ажиглалт, тэмдэглэл, хувийн хавтас нь багшийн гүйцэтгэлийн нотолгоо болно. Цэцэрлэгийн гүйцэтгэлийн 3-р шалгуур «Суралцагчийн хөгжил хамгаалал» (20 оноо)-д «хүүхдийн хөгжлийн ахиц өөрчлөлтийг бодитой үнэлж, баримт нотолгоо бүрдүүлж буй байдал» багтана (2-р хавсралт). Үнэлгээний баг баримт нотолгоог хуурамчаар үйлдсэн бол үнэлгээг хүчингүйд тооцно (2.12). Үр дүнгийн мэдээллийг журамд заасныг бусад зорилгоор ашиглахыг хориглоно (4.2).</t>
        </is>
      </c>
      <c r="D18" s="5" t="inlineStr">
        <is>
          <t>Боловсролын сайдын 2026.04.27-ны А/27 «СӨ болон ЕБ-ын сургалтын байгууллага, багшийн ажлын гүйцэтгэлийн үнэлгээ зохион байгуулах журам», 2-р хавсралт (А/115-ыг хүчингүй болгосон)</t>
        </is>
      </c>
    </row>
    <row r="19" ht="120" customHeight="1">
      <c r="A19" s="3" t="n">
        <v>17</v>
      </c>
      <c r="B19" s="4" t="inlineStr">
        <is>
          <t>Хуулийн 10.5-ын 4 чиглэл</t>
        </is>
      </c>
      <c r="C19" s="5" t="inlineStr">
        <is>
          <t>Хуулийн тайлбараар гурав хүртэлх насны хүүхдийн цогц хөгжлийг дэмжих хөтөлбөр нь эрүүл мэнд, өсөлт, хэл яриа, танин мэдэхүйн хөгжлийг дэмжинэ. Хөтөлбөрийн бичвэр нийтэд олдоогүй тул А/79-ийн 37 шалгуурыг энэ файлд эдгээр 4 чиглэлд урьдчилан хуваарилсан, багш шалгаж засаж болно (шалгуурын толгойд «10.5: ...» гэж заасан): Эрүүл мэнд — 1, 2, 17, 18, 35, 36, 37; Өсөлт (бие бялдар, их ба нарийн хөдөлгөөн) — 12–16, 26, 28–30; Хэл яриа — 3, 11, 19–22, 31; Танин мэдэхүй — үлдсэн 14 шалгуур. Нэгтгэл шийтэд 4 чиглэл тус бүрийн хувь бодогдоно. Хөтөлбөр батлагдаж нийтлэгдвэл хуваарилалтыг тулгаж засна.</t>
        </is>
      </c>
      <c r="D19" s="5" t="inlineStr">
        <is>
          <t>Сургуулийн өмнөх болон ерөнхий боловсролын тухай хуулийн 10.5 ба түүний тайлбар; А/79 журам 2.4</t>
        </is>
      </c>
    </row>
    <row r="20" ht="64" customHeight="1">
      <c r="A20" s="3" t="n">
        <v>18</v>
      </c>
      <c r="B20" s="4" t="inlineStr">
        <is>
          <t>Бөглөх заавар</t>
        </is>
      </c>
      <c r="C20" s="5" t="inlineStr">
        <is>
          <t>1) «Нэгтгэл» шийтийн B баганад хүүхдийн нэрийг нэг удаа бичнэ; бусад шийтэд автоматаар гарна. 2) Шалгуур бүрийн «Чадна» эсвэл «Чадахгүй» нүдэнд 1 гэж бичнэ. 3) Тоо, хувь, түвшин, мэдлэг/чадвар/төлөвшлийн хувь автоматаар бодогдоно. 4) Шийт бүр A4-д хэвлэхэд тааруулсан.</t>
        </is>
      </c>
      <c r="D20" s="5" t="inlineStr"/>
    </row>
  </sheetData>
  <mergeCells count="1">
    <mergeCell ref="A1:D1"/>
  </mergeCells>
  <printOptions horizontalCentered="1"/>
  <pageMargins left="0.5905511811023622" right="0.1968503937007874" top="0.5905511811023622" bottom="0.5905511811023622" header="0.3149606299212598" footer="0.3149606299212598"/>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O40"/>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1" customWidth="1" min="13" max="13"/>
    <col width="9" customWidth="1" min="14" max="14"/>
    <col width="18" customWidth="1" min="15" max="15"/>
  </cols>
  <sheetData>
    <row r="1">
      <c r="A1" s="1" t="inlineStr">
        <is>
          <t>................ ЦЭЦЭРЛЭГИЙН БАГА БҮЛГИЙН (2 НАС) ГАРААНЫ (ОНОШЛОХ) ҮНЭЛГЭЭНИЙ НЭГТГЭЛ</t>
        </is>
      </c>
    </row>
    <row r="2">
      <c r="A2" s="6" t="inlineStr">
        <is>
          <t>Огноо: 20.... оны .... сар          Багш: ................................          Хүүхдийн нэрийг энэ шийтийн B баганад бичнэ.</t>
        </is>
      </c>
    </row>
    <row r="3">
      <c r="A3" s="7" t="inlineStr">
        <is>
          <t>№</t>
        </is>
      </c>
      <c r="B3" s="7" t="inlineStr">
        <is>
          <t>Хүүхдийн нэр</t>
        </is>
      </c>
      <c r="C3" s="7" t="inlineStr">
        <is>
          <t>«Чадна» хувь (%) ба түвшин (А/79 журам 2.10)</t>
        </is>
      </c>
      <c r="D3" s="8" t="n"/>
      <c r="E3" s="8" t="n"/>
      <c r="F3" s="8" t="n"/>
      <c r="G3" s="8" t="n"/>
      <c r="H3" s="8" t="n"/>
      <c r="I3" s="8" t="n"/>
      <c r="J3" s="8" t="n"/>
      <c r="K3" s="8" t="n"/>
      <c r="L3" s="8" t="n"/>
      <c r="M3" s="9" t="inlineStr">
        <is>
          <t>Нийт чадна (37-аас)</t>
        </is>
      </c>
      <c r="N3" s="9" t="inlineStr">
        <is>
          <t>Нийт хувь</t>
        </is>
      </c>
      <c r="O3" s="9" t="inlineStr">
        <is>
          <t>Түвшин</t>
        </is>
      </c>
    </row>
    <row r="4">
      <c r="A4" s="8" t="n"/>
      <c r="B4" s="8" t="n"/>
      <c r="C4" s="10" t="inlineStr">
        <is>
          <t>Хөгжлийн чиглэл (%)</t>
        </is>
      </c>
      <c r="D4" s="8" t="n"/>
      <c r="E4" s="8" t="n"/>
      <c r="F4" s="10" t="inlineStr">
        <is>
          <t>Үнэлгээний хүрээ (%)</t>
        </is>
      </c>
      <c r="G4" s="8" t="n"/>
      <c r="H4" s="8" t="n"/>
      <c r="I4" s="10" t="inlineStr">
        <is>
          <t>Хуулийн 10.5-ын чиглэл (%)</t>
        </is>
      </c>
      <c r="J4" s="8" t="n"/>
      <c r="K4" s="8" t="n"/>
      <c r="L4" s="8" t="n"/>
      <c r="M4" s="8" t="n"/>
      <c r="N4" s="8" t="n"/>
      <c r="O4" s="8" t="n"/>
    </row>
    <row r="5" ht="30" customHeight="1">
      <c r="A5" s="8" t="n"/>
      <c r="B5" s="8" t="n"/>
      <c r="C5" s="10" t="inlineStr">
        <is>
          <t>Бие бялдар</t>
        </is>
      </c>
      <c r="D5" s="10" t="inlineStr">
        <is>
          <t>Танин мэдэхүй</t>
        </is>
      </c>
      <c r="E5" s="10" t="inlineStr">
        <is>
          <t>Нийгэмшил</t>
        </is>
      </c>
      <c r="F5" s="10" t="inlineStr">
        <is>
          <t>Мэдлэг</t>
        </is>
      </c>
      <c r="G5" s="10" t="inlineStr">
        <is>
          <t>Чадвар</t>
        </is>
      </c>
      <c r="H5" s="10" t="inlineStr">
        <is>
          <t>Төлөвшил</t>
        </is>
      </c>
      <c r="I5" s="10" t="inlineStr">
        <is>
          <t>Эрүүл мэнд</t>
        </is>
      </c>
      <c r="J5" s="10" t="inlineStr">
        <is>
          <t>Өсөлт</t>
        </is>
      </c>
      <c r="K5" s="10" t="inlineStr">
        <is>
          <t>Хэл яриа</t>
        </is>
      </c>
      <c r="L5" s="10" t="inlineStr">
        <is>
          <t>Танин мэдэхүй</t>
        </is>
      </c>
      <c r="M5" s="8" t="n"/>
      <c r="N5" s="8" t="n"/>
      <c r="O5" s="8" t="n"/>
    </row>
    <row r="6">
      <c r="A6" s="8" t="n"/>
      <c r="B6" s="8" t="n"/>
      <c r="C6" s="11" t="inlineStr">
        <is>
          <t>9 шалгуур</t>
        </is>
      </c>
      <c r="D6" s="11" t="inlineStr">
        <is>
          <t>19 шалгуур</t>
        </is>
      </c>
      <c r="E6" s="11" t="inlineStr">
        <is>
          <t>9 шалгуур</t>
        </is>
      </c>
      <c r="F6" s="11" t="inlineStr">
        <is>
          <t>11 шалгуур</t>
        </is>
      </c>
      <c r="G6" s="11" t="inlineStr">
        <is>
          <t>22 шалгуур</t>
        </is>
      </c>
      <c r="H6" s="11" t="inlineStr">
        <is>
          <t>4 шалгуур</t>
        </is>
      </c>
      <c r="I6" s="11" t="inlineStr">
        <is>
          <t>7 шалгуур</t>
        </is>
      </c>
      <c r="J6" s="11" t="inlineStr">
        <is>
          <t>9 шалгуур</t>
        </is>
      </c>
      <c r="K6" s="11" t="inlineStr">
        <is>
          <t>7 шалгуур</t>
        </is>
      </c>
      <c r="L6" s="11" t="inlineStr">
        <is>
          <t>14 шалгуур</t>
        </is>
      </c>
      <c r="M6" s="8" t="n"/>
      <c r="N6" s="8" t="n"/>
      <c r="O6" s="8" t="n"/>
    </row>
    <row r="7" ht="17" customHeight="1">
      <c r="A7" s="12" t="n">
        <v>1</v>
      </c>
      <c r="B7" s="13" t="n"/>
      <c r="C7" s="12">
        <f>IF(('Бие бялдар'!V10+'Бие бялдар'!X10+'Танин мэдэхүй'!AP10+'Танин мэдэхүй'!AR10+'Нийгэмшил'!V10+'Нийгэмшил'!X10)=0,"",ROUND(('Бие бялдар'!V10)/9*100,1))</f>
        <v/>
      </c>
      <c r="D7" s="12">
        <f>IF(('Бие бялдар'!V10+'Бие бялдар'!X10+'Танин мэдэхүй'!AP10+'Танин мэдэхүй'!AR10+'Нийгэмшил'!V10+'Нийгэмшил'!X10)=0,"",ROUND(('Танин мэдэхүй'!AP10)/19*100,1))</f>
        <v/>
      </c>
      <c r="E7" s="12">
        <f>IF(('Бие бялдар'!V10+'Бие бялдар'!X10+'Танин мэдэхүй'!AP10+'Танин мэдэхүй'!AR10+'Нийгэмшил'!V10+'Нийгэмшил'!X10)=0,"",ROUND(('Нийгэмшил'!V10)/9*100,1))</f>
        <v/>
      </c>
      <c r="F7" s="12">
        <f>IF(('Бие бялдар'!V10+'Бие бялдар'!X10+'Танин мэдэхүй'!AP10+'Танин мэдэхүй'!AR10+'Нийгэмшил'!V10+'Нийгэмшил'!X10)=0,"",ROUND((N('Бие бялдар'!D10)+N('Бие бялдар'!F10)+N('Танин мэдэхүй'!D10)+N('Танин мэдэхүй'!F10)+N('Танин мэдэхүй'!H10)+N('Танин мэдэхүй'!J10)+N('Нийгэмшил'!D10)+N('Танин мэдэхүй'!L10)+N('Танин мэдэхүй'!N10)+N('Нийгэмшил'!F10)+N('Нийгэмшил'!H10))/11*100,1))</f>
        <v/>
      </c>
      <c r="G7" s="12">
        <f>IF(('Бие бялдар'!V10+'Бие бялдар'!X10+'Танин мэдэхүй'!AP10+'Танин мэдэхүй'!AR10+'Нийгэмшил'!V10+'Нийгэмшил'!X10)=0,"",ROUND((N('Бие бялдар'!H10)+N('Бие бялдар'!J10)+N('Бие бялдар'!L10)+N('Бие бялдар'!N10)+N('Бие бялдар'!P10)+N('Бие бялдар'!R10)+N('Бие бялдар'!T10)+N('Танин мэдэхүй'!P10)+N('Танин мэдэхүй'!R10)+N('Танин мэдэхүй'!T10)+N('Танин мэдэхүй'!V10)+N('Танин мэдэхүй'!X10)+N('Танин мэдэхүй'!Z10)+N('Танин мэдэхүй'!AB10)+N('Танин мэдэхүй'!AD10)+N('Нийгэмшил'!J10)+N('Танин мэдэхүй'!AF10)+N('Танин мэдэхүй'!AH10)+N('Танин мэдэхүй'!AJ10)+N('Нийгэмшил'!L10)+N('Танин мэдэхүй'!AL10)+N('Танин мэдэхүй'!AN10))/22*100,1))</f>
        <v/>
      </c>
      <c r="H7" s="12">
        <f>IF(('Бие бялдар'!V10+'Бие бялдар'!X10+'Танин мэдэхүй'!AP10+'Танин мэдэхүй'!AR10+'Нийгэмшил'!V10+'Нийгэмшил'!X10)=0,"",ROUND((N('Нийгэмшил'!N10)+N('Нийгэмшил'!P10)+N('Нийгэмшил'!R10)+N('Нийгэмшил'!T10))/4*100,1))</f>
        <v/>
      </c>
      <c r="I7" s="12">
        <f>IF(('Бие бялдар'!V10+'Бие бялдар'!X10+'Танин мэдэхүй'!AP10+'Танин мэдэхүй'!AR10+'Нийгэмшил'!V10+'Нийгэмшил'!X10)=0,"",ROUND((N('Бие бялдар'!D10)+N('Бие бялдар'!F10)+N('Бие бялдар'!R10)+N('Бие бялдар'!T10)+N('Нийгэмшил'!P10)+N('Нийгэмшил'!R10)+N('Нийгэмшил'!T10))/7*100,1))</f>
        <v/>
      </c>
      <c r="J7" s="12">
        <f>IF(('Бие бялдар'!V10+'Бие бялдар'!X10+'Танин мэдэхүй'!AP10+'Танин мэдэхүй'!AR10+'Нийгэмшил'!V10+'Нийгэмшил'!X10)=0,"",ROUND((N('Бие бялдар'!H10)+N('Бие бялдар'!J10)+N('Бие бялдар'!L10)+N('Бие бялдар'!N10)+N('Бие бялдар'!P10)+N('Танин мэдэхүй'!AD10)+N('Танин мэдэхүй'!AF10)+N('Танин мэдэхүй'!AH10)+N('Танин мэдэхүй'!AJ10))/9*100,1))</f>
        <v/>
      </c>
      <c r="K7" s="12">
        <f>IF(('Бие бялдар'!V10+'Бие бялдар'!X10+'Танин мэдэхүй'!AP10+'Танин мэдэхүй'!AR10+'Нийгэмшил'!V10+'Нийгэмшил'!X10)=0,"",ROUND((N('Танин мэдэхүй'!D10)+N('Нийгэмшил'!H10)+N('Танин мэдэхүй'!P10)+N('Танин мэдэхүй'!R10)+N('Танин мэдэхүй'!T10)+N('Танин мэдэхүй'!V10)+N('Нийгэмшил'!L10))/7*100,1))</f>
        <v/>
      </c>
      <c r="L7" s="12">
        <f>IF(('Бие бялдар'!V10+'Бие бялдар'!X10+'Танин мэдэхүй'!AP10+'Танин мэдэхүй'!AR10+'Нийгэмшил'!V10+'Нийгэмшил'!X10)=0,"",ROUND((N('Танин мэдэхүй'!F10)+N('Танин мэдэхүй'!H10)+N('Танин мэдэхүй'!J10)+N('Нийгэмшил'!D10)+N('Танин мэдэхүй'!L10)+N('Танин мэдэхүй'!N10)+N('Нийгэмшил'!F10)+N('Танин мэдэхүй'!X10)+N('Танин мэдэхүй'!Z10)+N('Танин мэдэхүй'!AB10)+N('Нийгэмшил'!J10)+N('Танин мэдэхүй'!AL10)+N('Танин мэдэхүй'!AN10)+N('Нийгэмшил'!N10))/14*100,1))</f>
        <v/>
      </c>
      <c r="M7" s="14">
        <f>'Бие бялдар'!V10+'Танин мэдэхүй'!AP10+'Нийгэмшил'!V10</f>
        <v/>
      </c>
      <c r="N7" s="12">
        <f>IF(('Бие бялдар'!V10+'Бие бялдар'!X10+'Танин мэдэхүй'!AP10+'Танин мэдэхүй'!AR10+'Нийгэмшил'!V10+'Нийгэмшил'!X10)=0,"",ROUND(M7/37*100,1))</f>
        <v/>
      </c>
      <c r="O7" s="15">
        <f>IF(N7="","",IF(N7&gt;=80,"Хангалттай эзэмшиж байна",IF(N7&gt;=50,"Ахиж байна","Хөгжиж байна")))</f>
        <v/>
      </c>
    </row>
    <row r="8" ht="17" customHeight="1">
      <c r="A8" s="12" t="n">
        <v>2</v>
      </c>
      <c r="B8" s="13" t="n"/>
      <c r="C8" s="12">
        <f>IF(('Бие бялдар'!V11+'Бие бялдар'!X11+'Танин мэдэхүй'!AP11+'Танин мэдэхүй'!AR11+'Нийгэмшил'!V11+'Нийгэмшил'!X11)=0,"",ROUND(('Бие бялдар'!V11)/9*100,1))</f>
        <v/>
      </c>
      <c r="D8" s="12">
        <f>IF(('Бие бялдар'!V11+'Бие бялдар'!X11+'Танин мэдэхүй'!AP11+'Танин мэдэхүй'!AR11+'Нийгэмшил'!V11+'Нийгэмшил'!X11)=0,"",ROUND(('Танин мэдэхүй'!AP11)/19*100,1))</f>
        <v/>
      </c>
      <c r="E8" s="12">
        <f>IF(('Бие бялдар'!V11+'Бие бялдар'!X11+'Танин мэдэхүй'!AP11+'Танин мэдэхүй'!AR11+'Нийгэмшил'!V11+'Нийгэмшил'!X11)=0,"",ROUND(('Нийгэмшил'!V11)/9*100,1))</f>
        <v/>
      </c>
      <c r="F8" s="12">
        <f>IF(('Бие бялдар'!V11+'Бие бялдар'!X11+'Танин мэдэхүй'!AP11+'Танин мэдэхүй'!AR11+'Нийгэмшил'!V11+'Нийгэмшил'!X11)=0,"",ROUND((N('Бие бялдар'!D11)+N('Бие бялдар'!F11)+N('Танин мэдэхүй'!D11)+N('Танин мэдэхүй'!F11)+N('Танин мэдэхүй'!H11)+N('Танин мэдэхүй'!J11)+N('Нийгэмшил'!D11)+N('Танин мэдэхүй'!L11)+N('Танин мэдэхүй'!N11)+N('Нийгэмшил'!F11)+N('Нийгэмшил'!H11))/11*100,1))</f>
        <v/>
      </c>
      <c r="G8" s="12">
        <f>IF(('Бие бялдар'!V11+'Бие бялдар'!X11+'Танин мэдэхүй'!AP11+'Танин мэдэхүй'!AR11+'Нийгэмшил'!V11+'Нийгэмшил'!X11)=0,"",ROUND((N('Бие бялдар'!H11)+N('Бие бялдар'!J11)+N('Бие бялдар'!L11)+N('Бие бялдар'!N11)+N('Бие бялдар'!P11)+N('Бие бялдар'!R11)+N('Бие бялдар'!T11)+N('Танин мэдэхүй'!P11)+N('Танин мэдэхүй'!R11)+N('Танин мэдэхүй'!T11)+N('Танин мэдэхүй'!V11)+N('Танин мэдэхүй'!X11)+N('Танин мэдэхүй'!Z11)+N('Танин мэдэхүй'!AB11)+N('Танин мэдэхүй'!AD11)+N('Нийгэмшил'!J11)+N('Танин мэдэхүй'!AF11)+N('Танин мэдэхүй'!AH11)+N('Танин мэдэхүй'!AJ11)+N('Нийгэмшил'!L11)+N('Танин мэдэхүй'!AL11)+N('Танин мэдэхүй'!AN11))/22*100,1))</f>
        <v/>
      </c>
      <c r="H8" s="12">
        <f>IF(('Бие бялдар'!V11+'Бие бялдар'!X11+'Танин мэдэхүй'!AP11+'Танин мэдэхүй'!AR11+'Нийгэмшил'!V11+'Нийгэмшил'!X11)=0,"",ROUND((N('Нийгэмшил'!N11)+N('Нийгэмшил'!P11)+N('Нийгэмшил'!R11)+N('Нийгэмшил'!T11))/4*100,1))</f>
        <v/>
      </c>
      <c r="I8" s="12">
        <f>IF(('Бие бялдар'!V11+'Бие бялдар'!X11+'Танин мэдэхүй'!AP11+'Танин мэдэхүй'!AR11+'Нийгэмшил'!V11+'Нийгэмшил'!X11)=0,"",ROUND((N('Бие бялдар'!D11)+N('Бие бялдар'!F11)+N('Бие бялдар'!R11)+N('Бие бялдар'!T11)+N('Нийгэмшил'!P11)+N('Нийгэмшил'!R11)+N('Нийгэмшил'!T11))/7*100,1))</f>
        <v/>
      </c>
      <c r="J8" s="12">
        <f>IF(('Бие бялдар'!V11+'Бие бялдар'!X11+'Танин мэдэхүй'!AP11+'Танин мэдэхүй'!AR11+'Нийгэмшил'!V11+'Нийгэмшил'!X11)=0,"",ROUND((N('Бие бялдар'!H11)+N('Бие бялдар'!J11)+N('Бие бялдар'!L11)+N('Бие бялдар'!N11)+N('Бие бялдар'!P11)+N('Танин мэдэхүй'!AD11)+N('Танин мэдэхүй'!AF11)+N('Танин мэдэхүй'!AH11)+N('Танин мэдэхүй'!AJ11))/9*100,1))</f>
        <v/>
      </c>
      <c r="K8" s="12">
        <f>IF(('Бие бялдар'!V11+'Бие бялдар'!X11+'Танин мэдэхүй'!AP11+'Танин мэдэхүй'!AR11+'Нийгэмшил'!V11+'Нийгэмшил'!X11)=0,"",ROUND((N('Танин мэдэхүй'!D11)+N('Нийгэмшил'!H11)+N('Танин мэдэхүй'!P11)+N('Танин мэдэхүй'!R11)+N('Танин мэдэхүй'!T11)+N('Танин мэдэхүй'!V11)+N('Нийгэмшил'!L11))/7*100,1))</f>
        <v/>
      </c>
      <c r="L8" s="12">
        <f>IF(('Бие бялдар'!V11+'Бие бялдар'!X11+'Танин мэдэхүй'!AP11+'Танин мэдэхүй'!AR11+'Нийгэмшил'!V11+'Нийгэмшил'!X11)=0,"",ROUND((N('Танин мэдэхүй'!F11)+N('Танин мэдэхүй'!H11)+N('Танин мэдэхүй'!J11)+N('Нийгэмшил'!D11)+N('Танин мэдэхүй'!L11)+N('Танин мэдэхүй'!N11)+N('Нийгэмшил'!F11)+N('Танин мэдэхүй'!X11)+N('Танин мэдэхүй'!Z11)+N('Танин мэдэхүй'!AB11)+N('Нийгэмшил'!J11)+N('Танин мэдэхүй'!AL11)+N('Танин мэдэхүй'!AN11)+N('Нийгэмшил'!N11))/14*100,1))</f>
        <v/>
      </c>
      <c r="M8" s="14">
        <f>'Бие бялдар'!V11+'Танин мэдэхүй'!AP11+'Нийгэмшил'!V11</f>
        <v/>
      </c>
      <c r="N8" s="12">
        <f>IF(('Бие бялдар'!V11+'Бие бялдар'!X11+'Танин мэдэхүй'!AP11+'Танин мэдэхүй'!AR11+'Нийгэмшил'!V11+'Нийгэмшил'!X11)=0,"",ROUND(M8/37*100,1))</f>
        <v/>
      </c>
      <c r="O8" s="15">
        <f>IF(N8="","",IF(N8&gt;=80,"Хангалттай эзэмшиж байна",IF(N8&gt;=50,"Ахиж байна","Хөгжиж байна")))</f>
        <v/>
      </c>
    </row>
    <row r="9" ht="17" customHeight="1">
      <c r="A9" s="12" t="n">
        <v>3</v>
      </c>
      <c r="B9" s="13" t="n"/>
      <c r="C9" s="12">
        <f>IF(('Бие бялдар'!V12+'Бие бялдар'!X12+'Танин мэдэхүй'!AP12+'Танин мэдэхүй'!AR12+'Нийгэмшил'!V12+'Нийгэмшил'!X12)=0,"",ROUND(('Бие бялдар'!V12)/9*100,1))</f>
        <v/>
      </c>
      <c r="D9" s="12">
        <f>IF(('Бие бялдар'!V12+'Бие бялдар'!X12+'Танин мэдэхүй'!AP12+'Танин мэдэхүй'!AR12+'Нийгэмшил'!V12+'Нийгэмшил'!X12)=0,"",ROUND(('Танин мэдэхүй'!AP12)/19*100,1))</f>
        <v/>
      </c>
      <c r="E9" s="12">
        <f>IF(('Бие бялдар'!V12+'Бие бялдар'!X12+'Танин мэдэхүй'!AP12+'Танин мэдэхүй'!AR12+'Нийгэмшил'!V12+'Нийгэмшил'!X12)=0,"",ROUND(('Нийгэмшил'!V12)/9*100,1))</f>
        <v/>
      </c>
      <c r="F9" s="12">
        <f>IF(('Бие бялдар'!V12+'Бие бялдар'!X12+'Танин мэдэхүй'!AP12+'Танин мэдэхүй'!AR12+'Нийгэмшил'!V12+'Нийгэмшил'!X12)=0,"",ROUND((N('Бие бялдар'!D12)+N('Бие бялдар'!F12)+N('Танин мэдэхүй'!D12)+N('Танин мэдэхүй'!F12)+N('Танин мэдэхүй'!H12)+N('Танин мэдэхүй'!J12)+N('Нийгэмшил'!D12)+N('Танин мэдэхүй'!L12)+N('Танин мэдэхүй'!N12)+N('Нийгэмшил'!F12)+N('Нийгэмшил'!H12))/11*100,1))</f>
        <v/>
      </c>
      <c r="G9" s="12">
        <f>IF(('Бие бялдар'!V12+'Бие бялдар'!X12+'Танин мэдэхүй'!AP12+'Танин мэдэхүй'!AR12+'Нийгэмшил'!V12+'Нийгэмшил'!X12)=0,"",ROUND((N('Бие бялдар'!H12)+N('Бие бялдар'!J12)+N('Бие бялдар'!L12)+N('Бие бялдар'!N12)+N('Бие бялдар'!P12)+N('Бие бялдар'!R12)+N('Бие бялдар'!T12)+N('Танин мэдэхүй'!P12)+N('Танин мэдэхүй'!R12)+N('Танин мэдэхүй'!T12)+N('Танин мэдэхүй'!V12)+N('Танин мэдэхүй'!X12)+N('Танин мэдэхүй'!Z12)+N('Танин мэдэхүй'!AB12)+N('Танин мэдэхүй'!AD12)+N('Нийгэмшил'!J12)+N('Танин мэдэхүй'!AF12)+N('Танин мэдэхүй'!AH12)+N('Танин мэдэхүй'!AJ12)+N('Нийгэмшил'!L12)+N('Танин мэдэхүй'!AL12)+N('Танин мэдэхүй'!AN12))/22*100,1))</f>
        <v/>
      </c>
      <c r="H9" s="12">
        <f>IF(('Бие бялдар'!V12+'Бие бялдар'!X12+'Танин мэдэхүй'!AP12+'Танин мэдэхүй'!AR12+'Нийгэмшил'!V12+'Нийгэмшил'!X12)=0,"",ROUND((N('Нийгэмшил'!N12)+N('Нийгэмшил'!P12)+N('Нийгэмшил'!R12)+N('Нийгэмшил'!T12))/4*100,1))</f>
        <v/>
      </c>
      <c r="I9" s="12">
        <f>IF(('Бие бялдар'!V12+'Бие бялдар'!X12+'Танин мэдэхүй'!AP12+'Танин мэдэхүй'!AR12+'Нийгэмшил'!V12+'Нийгэмшил'!X12)=0,"",ROUND((N('Бие бялдар'!D12)+N('Бие бялдар'!F12)+N('Бие бялдар'!R12)+N('Бие бялдар'!T12)+N('Нийгэмшил'!P12)+N('Нийгэмшил'!R12)+N('Нийгэмшил'!T12))/7*100,1))</f>
        <v/>
      </c>
      <c r="J9" s="12">
        <f>IF(('Бие бялдар'!V12+'Бие бялдар'!X12+'Танин мэдэхүй'!AP12+'Танин мэдэхүй'!AR12+'Нийгэмшил'!V12+'Нийгэмшил'!X12)=0,"",ROUND((N('Бие бялдар'!H12)+N('Бие бялдар'!J12)+N('Бие бялдар'!L12)+N('Бие бялдар'!N12)+N('Бие бялдар'!P12)+N('Танин мэдэхүй'!AD12)+N('Танин мэдэхүй'!AF12)+N('Танин мэдэхүй'!AH12)+N('Танин мэдэхүй'!AJ12))/9*100,1))</f>
        <v/>
      </c>
      <c r="K9" s="12">
        <f>IF(('Бие бялдар'!V12+'Бие бялдар'!X12+'Танин мэдэхүй'!AP12+'Танин мэдэхүй'!AR12+'Нийгэмшил'!V12+'Нийгэмшил'!X12)=0,"",ROUND((N('Танин мэдэхүй'!D12)+N('Нийгэмшил'!H12)+N('Танин мэдэхүй'!P12)+N('Танин мэдэхүй'!R12)+N('Танин мэдэхүй'!T12)+N('Танин мэдэхүй'!V12)+N('Нийгэмшил'!L12))/7*100,1))</f>
        <v/>
      </c>
      <c r="L9" s="12">
        <f>IF(('Бие бялдар'!V12+'Бие бялдар'!X12+'Танин мэдэхүй'!AP12+'Танин мэдэхүй'!AR12+'Нийгэмшил'!V12+'Нийгэмшил'!X12)=0,"",ROUND((N('Танин мэдэхүй'!F12)+N('Танин мэдэхүй'!H12)+N('Танин мэдэхүй'!J12)+N('Нийгэмшил'!D12)+N('Танин мэдэхүй'!L12)+N('Танин мэдэхүй'!N12)+N('Нийгэмшил'!F12)+N('Танин мэдэхүй'!X12)+N('Танин мэдэхүй'!Z12)+N('Танин мэдэхүй'!AB12)+N('Нийгэмшил'!J12)+N('Танин мэдэхүй'!AL12)+N('Танин мэдэхүй'!AN12)+N('Нийгэмшил'!N12))/14*100,1))</f>
        <v/>
      </c>
      <c r="M9" s="14">
        <f>'Бие бялдар'!V12+'Танин мэдэхүй'!AP12+'Нийгэмшил'!V12</f>
        <v/>
      </c>
      <c r="N9" s="12">
        <f>IF(('Бие бялдар'!V12+'Бие бялдар'!X12+'Танин мэдэхүй'!AP12+'Танин мэдэхүй'!AR12+'Нийгэмшил'!V12+'Нийгэмшил'!X12)=0,"",ROUND(M9/37*100,1))</f>
        <v/>
      </c>
      <c r="O9" s="15">
        <f>IF(N9="","",IF(N9&gt;=80,"Хангалттай эзэмшиж байна",IF(N9&gt;=50,"Ахиж байна","Хөгжиж байна")))</f>
        <v/>
      </c>
    </row>
    <row r="10" ht="17" customHeight="1">
      <c r="A10" s="12" t="n">
        <v>4</v>
      </c>
      <c r="B10" s="13" t="n"/>
      <c r="C10" s="12">
        <f>IF(('Бие бялдар'!V13+'Бие бялдар'!X13+'Танин мэдэхүй'!AP13+'Танин мэдэхүй'!AR13+'Нийгэмшил'!V13+'Нийгэмшил'!X13)=0,"",ROUND(('Бие бялдар'!V13)/9*100,1))</f>
        <v/>
      </c>
      <c r="D10" s="12">
        <f>IF(('Бие бялдар'!V13+'Бие бялдар'!X13+'Танин мэдэхүй'!AP13+'Танин мэдэхүй'!AR13+'Нийгэмшил'!V13+'Нийгэмшил'!X13)=0,"",ROUND(('Танин мэдэхүй'!AP13)/19*100,1))</f>
        <v/>
      </c>
      <c r="E10" s="12">
        <f>IF(('Бие бялдар'!V13+'Бие бялдар'!X13+'Танин мэдэхүй'!AP13+'Танин мэдэхүй'!AR13+'Нийгэмшил'!V13+'Нийгэмшил'!X13)=0,"",ROUND(('Нийгэмшил'!V13)/9*100,1))</f>
        <v/>
      </c>
      <c r="F10" s="12">
        <f>IF(('Бие бялдар'!V13+'Бие бялдар'!X13+'Танин мэдэхүй'!AP13+'Танин мэдэхүй'!AR13+'Нийгэмшил'!V13+'Нийгэмшил'!X13)=0,"",ROUND((N('Бие бялдар'!D13)+N('Бие бялдар'!F13)+N('Танин мэдэхүй'!D13)+N('Танин мэдэхүй'!F13)+N('Танин мэдэхүй'!H13)+N('Танин мэдэхүй'!J13)+N('Нийгэмшил'!D13)+N('Танин мэдэхүй'!L13)+N('Танин мэдэхүй'!N13)+N('Нийгэмшил'!F13)+N('Нийгэмшил'!H13))/11*100,1))</f>
        <v/>
      </c>
      <c r="G10" s="12">
        <f>IF(('Бие бялдар'!V13+'Бие бялдар'!X13+'Танин мэдэхүй'!AP13+'Танин мэдэхүй'!AR13+'Нийгэмшил'!V13+'Нийгэмшил'!X13)=0,"",ROUND((N('Бие бялдар'!H13)+N('Бие бялдар'!J13)+N('Бие бялдар'!L13)+N('Бие бялдар'!N13)+N('Бие бялдар'!P13)+N('Бие бялдар'!R13)+N('Бие бялдар'!T13)+N('Танин мэдэхүй'!P13)+N('Танин мэдэхүй'!R13)+N('Танин мэдэхүй'!T13)+N('Танин мэдэхүй'!V13)+N('Танин мэдэхүй'!X13)+N('Танин мэдэхүй'!Z13)+N('Танин мэдэхүй'!AB13)+N('Танин мэдэхүй'!AD13)+N('Нийгэмшил'!J13)+N('Танин мэдэхүй'!AF13)+N('Танин мэдэхүй'!AH13)+N('Танин мэдэхүй'!AJ13)+N('Нийгэмшил'!L13)+N('Танин мэдэхүй'!AL13)+N('Танин мэдэхүй'!AN13))/22*100,1))</f>
        <v/>
      </c>
      <c r="H10" s="12">
        <f>IF(('Бие бялдар'!V13+'Бие бялдар'!X13+'Танин мэдэхүй'!AP13+'Танин мэдэхүй'!AR13+'Нийгэмшил'!V13+'Нийгэмшил'!X13)=0,"",ROUND((N('Нийгэмшил'!N13)+N('Нийгэмшил'!P13)+N('Нийгэмшил'!R13)+N('Нийгэмшил'!T13))/4*100,1))</f>
        <v/>
      </c>
      <c r="I10" s="12">
        <f>IF(('Бие бялдар'!V13+'Бие бялдар'!X13+'Танин мэдэхүй'!AP13+'Танин мэдэхүй'!AR13+'Нийгэмшил'!V13+'Нийгэмшил'!X13)=0,"",ROUND((N('Бие бялдар'!D13)+N('Бие бялдар'!F13)+N('Бие бялдар'!R13)+N('Бие бялдар'!T13)+N('Нийгэмшил'!P13)+N('Нийгэмшил'!R13)+N('Нийгэмшил'!T13))/7*100,1))</f>
        <v/>
      </c>
      <c r="J10" s="12">
        <f>IF(('Бие бялдар'!V13+'Бие бялдар'!X13+'Танин мэдэхүй'!AP13+'Танин мэдэхүй'!AR13+'Нийгэмшил'!V13+'Нийгэмшил'!X13)=0,"",ROUND((N('Бие бялдар'!H13)+N('Бие бялдар'!J13)+N('Бие бялдар'!L13)+N('Бие бялдар'!N13)+N('Бие бялдар'!P13)+N('Танин мэдэхүй'!AD13)+N('Танин мэдэхүй'!AF13)+N('Танин мэдэхүй'!AH13)+N('Танин мэдэхүй'!AJ13))/9*100,1))</f>
        <v/>
      </c>
      <c r="K10" s="12">
        <f>IF(('Бие бялдар'!V13+'Бие бялдар'!X13+'Танин мэдэхүй'!AP13+'Танин мэдэхүй'!AR13+'Нийгэмшил'!V13+'Нийгэмшил'!X13)=0,"",ROUND((N('Танин мэдэхүй'!D13)+N('Нийгэмшил'!H13)+N('Танин мэдэхүй'!P13)+N('Танин мэдэхүй'!R13)+N('Танин мэдэхүй'!T13)+N('Танин мэдэхүй'!V13)+N('Нийгэмшил'!L13))/7*100,1))</f>
        <v/>
      </c>
      <c r="L10" s="12">
        <f>IF(('Бие бялдар'!V13+'Бие бялдар'!X13+'Танин мэдэхүй'!AP13+'Танин мэдэхүй'!AR13+'Нийгэмшил'!V13+'Нийгэмшил'!X13)=0,"",ROUND((N('Танин мэдэхүй'!F13)+N('Танин мэдэхүй'!H13)+N('Танин мэдэхүй'!J13)+N('Нийгэмшил'!D13)+N('Танин мэдэхүй'!L13)+N('Танин мэдэхүй'!N13)+N('Нийгэмшил'!F13)+N('Танин мэдэхүй'!X13)+N('Танин мэдэхүй'!Z13)+N('Танин мэдэхүй'!AB13)+N('Нийгэмшил'!J13)+N('Танин мэдэхүй'!AL13)+N('Танин мэдэхүй'!AN13)+N('Нийгэмшил'!N13))/14*100,1))</f>
        <v/>
      </c>
      <c r="M10" s="14">
        <f>'Бие бялдар'!V13+'Танин мэдэхүй'!AP13+'Нийгэмшил'!V13</f>
        <v/>
      </c>
      <c r="N10" s="12">
        <f>IF(('Бие бялдар'!V13+'Бие бялдар'!X13+'Танин мэдэхүй'!AP13+'Танин мэдэхүй'!AR13+'Нийгэмшил'!V13+'Нийгэмшил'!X13)=0,"",ROUND(M10/37*100,1))</f>
        <v/>
      </c>
      <c r="O10" s="15">
        <f>IF(N10="","",IF(N10&gt;=80,"Хангалттай эзэмшиж байна",IF(N10&gt;=50,"Ахиж байна","Хөгжиж байна")))</f>
        <v/>
      </c>
    </row>
    <row r="11" ht="17" customHeight="1">
      <c r="A11" s="12" t="n">
        <v>5</v>
      </c>
      <c r="B11" s="13" t="n"/>
      <c r="C11" s="12">
        <f>IF(('Бие бялдар'!V14+'Бие бялдар'!X14+'Танин мэдэхүй'!AP14+'Танин мэдэхүй'!AR14+'Нийгэмшил'!V14+'Нийгэмшил'!X14)=0,"",ROUND(('Бие бялдар'!V14)/9*100,1))</f>
        <v/>
      </c>
      <c r="D11" s="12">
        <f>IF(('Бие бялдар'!V14+'Бие бялдар'!X14+'Танин мэдэхүй'!AP14+'Танин мэдэхүй'!AR14+'Нийгэмшил'!V14+'Нийгэмшил'!X14)=0,"",ROUND(('Танин мэдэхүй'!AP14)/19*100,1))</f>
        <v/>
      </c>
      <c r="E11" s="12">
        <f>IF(('Бие бялдар'!V14+'Бие бялдар'!X14+'Танин мэдэхүй'!AP14+'Танин мэдэхүй'!AR14+'Нийгэмшил'!V14+'Нийгэмшил'!X14)=0,"",ROUND(('Нийгэмшил'!V14)/9*100,1))</f>
        <v/>
      </c>
      <c r="F11" s="12">
        <f>IF(('Бие бялдар'!V14+'Бие бялдар'!X14+'Танин мэдэхүй'!AP14+'Танин мэдэхүй'!AR14+'Нийгэмшил'!V14+'Нийгэмшил'!X14)=0,"",ROUND((N('Бие бялдар'!D14)+N('Бие бялдар'!F14)+N('Танин мэдэхүй'!D14)+N('Танин мэдэхүй'!F14)+N('Танин мэдэхүй'!H14)+N('Танин мэдэхүй'!J14)+N('Нийгэмшил'!D14)+N('Танин мэдэхүй'!L14)+N('Танин мэдэхүй'!N14)+N('Нийгэмшил'!F14)+N('Нийгэмшил'!H14))/11*100,1))</f>
        <v/>
      </c>
      <c r="G11" s="12">
        <f>IF(('Бие бялдар'!V14+'Бие бялдар'!X14+'Танин мэдэхүй'!AP14+'Танин мэдэхүй'!AR14+'Нийгэмшил'!V14+'Нийгэмшил'!X14)=0,"",ROUND((N('Бие бялдар'!H14)+N('Бие бялдар'!J14)+N('Бие бялдар'!L14)+N('Бие бялдар'!N14)+N('Бие бялдар'!P14)+N('Бие бялдар'!R14)+N('Бие бялдар'!T14)+N('Танин мэдэхүй'!P14)+N('Танин мэдэхүй'!R14)+N('Танин мэдэхүй'!T14)+N('Танин мэдэхүй'!V14)+N('Танин мэдэхүй'!X14)+N('Танин мэдэхүй'!Z14)+N('Танин мэдэхүй'!AB14)+N('Танин мэдэхүй'!AD14)+N('Нийгэмшил'!J14)+N('Танин мэдэхүй'!AF14)+N('Танин мэдэхүй'!AH14)+N('Танин мэдэхүй'!AJ14)+N('Нийгэмшил'!L14)+N('Танин мэдэхүй'!AL14)+N('Танин мэдэхүй'!AN14))/22*100,1))</f>
        <v/>
      </c>
      <c r="H11" s="12">
        <f>IF(('Бие бялдар'!V14+'Бие бялдар'!X14+'Танин мэдэхүй'!AP14+'Танин мэдэхүй'!AR14+'Нийгэмшил'!V14+'Нийгэмшил'!X14)=0,"",ROUND((N('Нийгэмшил'!N14)+N('Нийгэмшил'!P14)+N('Нийгэмшил'!R14)+N('Нийгэмшил'!T14))/4*100,1))</f>
        <v/>
      </c>
      <c r="I11" s="12">
        <f>IF(('Бие бялдар'!V14+'Бие бялдар'!X14+'Танин мэдэхүй'!AP14+'Танин мэдэхүй'!AR14+'Нийгэмшил'!V14+'Нийгэмшил'!X14)=0,"",ROUND((N('Бие бялдар'!D14)+N('Бие бялдар'!F14)+N('Бие бялдар'!R14)+N('Бие бялдар'!T14)+N('Нийгэмшил'!P14)+N('Нийгэмшил'!R14)+N('Нийгэмшил'!T14))/7*100,1))</f>
        <v/>
      </c>
      <c r="J11" s="12">
        <f>IF(('Бие бялдар'!V14+'Бие бялдар'!X14+'Танин мэдэхүй'!AP14+'Танин мэдэхүй'!AR14+'Нийгэмшил'!V14+'Нийгэмшил'!X14)=0,"",ROUND((N('Бие бялдар'!H14)+N('Бие бялдар'!J14)+N('Бие бялдар'!L14)+N('Бие бялдар'!N14)+N('Бие бялдар'!P14)+N('Танин мэдэхүй'!AD14)+N('Танин мэдэхүй'!AF14)+N('Танин мэдэхүй'!AH14)+N('Танин мэдэхүй'!AJ14))/9*100,1))</f>
        <v/>
      </c>
      <c r="K11" s="12">
        <f>IF(('Бие бялдар'!V14+'Бие бялдар'!X14+'Танин мэдэхүй'!AP14+'Танин мэдэхүй'!AR14+'Нийгэмшил'!V14+'Нийгэмшил'!X14)=0,"",ROUND((N('Танин мэдэхүй'!D14)+N('Нийгэмшил'!H14)+N('Танин мэдэхүй'!P14)+N('Танин мэдэхүй'!R14)+N('Танин мэдэхүй'!T14)+N('Танин мэдэхүй'!V14)+N('Нийгэмшил'!L14))/7*100,1))</f>
        <v/>
      </c>
      <c r="L11" s="12">
        <f>IF(('Бие бялдар'!V14+'Бие бялдар'!X14+'Танин мэдэхүй'!AP14+'Танин мэдэхүй'!AR14+'Нийгэмшил'!V14+'Нийгэмшил'!X14)=0,"",ROUND((N('Танин мэдэхүй'!F14)+N('Танин мэдэхүй'!H14)+N('Танин мэдэхүй'!J14)+N('Нийгэмшил'!D14)+N('Танин мэдэхүй'!L14)+N('Танин мэдэхүй'!N14)+N('Нийгэмшил'!F14)+N('Танин мэдэхүй'!X14)+N('Танин мэдэхүй'!Z14)+N('Танин мэдэхүй'!AB14)+N('Нийгэмшил'!J14)+N('Танин мэдэхүй'!AL14)+N('Танин мэдэхүй'!AN14)+N('Нийгэмшил'!N14))/14*100,1))</f>
        <v/>
      </c>
      <c r="M11" s="14">
        <f>'Бие бялдар'!V14+'Танин мэдэхүй'!AP14+'Нийгэмшил'!V14</f>
        <v/>
      </c>
      <c r="N11" s="12">
        <f>IF(('Бие бялдар'!V14+'Бие бялдар'!X14+'Танин мэдэхүй'!AP14+'Танин мэдэхүй'!AR14+'Нийгэмшил'!V14+'Нийгэмшил'!X14)=0,"",ROUND(M11/37*100,1))</f>
        <v/>
      </c>
      <c r="O11" s="15">
        <f>IF(N11="","",IF(N11&gt;=80,"Хангалттай эзэмшиж байна",IF(N11&gt;=50,"Ахиж байна","Хөгжиж байна")))</f>
        <v/>
      </c>
    </row>
    <row r="12" ht="17" customHeight="1">
      <c r="A12" s="12" t="n">
        <v>6</v>
      </c>
      <c r="B12" s="13" t="n"/>
      <c r="C12" s="12">
        <f>IF(('Бие бялдар'!V15+'Бие бялдар'!X15+'Танин мэдэхүй'!AP15+'Танин мэдэхүй'!AR15+'Нийгэмшил'!V15+'Нийгэмшил'!X15)=0,"",ROUND(('Бие бялдар'!V15)/9*100,1))</f>
        <v/>
      </c>
      <c r="D12" s="12">
        <f>IF(('Бие бялдар'!V15+'Бие бялдар'!X15+'Танин мэдэхүй'!AP15+'Танин мэдэхүй'!AR15+'Нийгэмшил'!V15+'Нийгэмшил'!X15)=0,"",ROUND(('Танин мэдэхүй'!AP15)/19*100,1))</f>
        <v/>
      </c>
      <c r="E12" s="12">
        <f>IF(('Бие бялдар'!V15+'Бие бялдар'!X15+'Танин мэдэхүй'!AP15+'Танин мэдэхүй'!AR15+'Нийгэмшил'!V15+'Нийгэмшил'!X15)=0,"",ROUND(('Нийгэмшил'!V15)/9*100,1))</f>
        <v/>
      </c>
      <c r="F12" s="12">
        <f>IF(('Бие бялдар'!V15+'Бие бялдар'!X15+'Танин мэдэхүй'!AP15+'Танин мэдэхүй'!AR15+'Нийгэмшил'!V15+'Нийгэмшил'!X15)=0,"",ROUND((N('Бие бялдар'!D15)+N('Бие бялдар'!F15)+N('Танин мэдэхүй'!D15)+N('Танин мэдэхүй'!F15)+N('Танин мэдэхүй'!H15)+N('Танин мэдэхүй'!J15)+N('Нийгэмшил'!D15)+N('Танин мэдэхүй'!L15)+N('Танин мэдэхүй'!N15)+N('Нийгэмшил'!F15)+N('Нийгэмшил'!H15))/11*100,1))</f>
        <v/>
      </c>
      <c r="G12" s="12">
        <f>IF(('Бие бялдар'!V15+'Бие бялдар'!X15+'Танин мэдэхүй'!AP15+'Танин мэдэхүй'!AR15+'Нийгэмшил'!V15+'Нийгэмшил'!X15)=0,"",ROUND((N('Бие бялдар'!H15)+N('Бие бялдар'!J15)+N('Бие бялдар'!L15)+N('Бие бялдар'!N15)+N('Бие бялдар'!P15)+N('Бие бялдар'!R15)+N('Бие бялдар'!T15)+N('Танин мэдэхүй'!P15)+N('Танин мэдэхүй'!R15)+N('Танин мэдэхүй'!T15)+N('Танин мэдэхүй'!V15)+N('Танин мэдэхүй'!X15)+N('Танин мэдэхүй'!Z15)+N('Танин мэдэхүй'!AB15)+N('Танин мэдэхүй'!AD15)+N('Нийгэмшил'!J15)+N('Танин мэдэхүй'!AF15)+N('Танин мэдэхүй'!AH15)+N('Танин мэдэхүй'!AJ15)+N('Нийгэмшил'!L15)+N('Танин мэдэхүй'!AL15)+N('Танин мэдэхүй'!AN15))/22*100,1))</f>
        <v/>
      </c>
      <c r="H12" s="12">
        <f>IF(('Бие бялдар'!V15+'Бие бялдар'!X15+'Танин мэдэхүй'!AP15+'Танин мэдэхүй'!AR15+'Нийгэмшил'!V15+'Нийгэмшил'!X15)=0,"",ROUND((N('Нийгэмшил'!N15)+N('Нийгэмшил'!P15)+N('Нийгэмшил'!R15)+N('Нийгэмшил'!T15))/4*100,1))</f>
        <v/>
      </c>
      <c r="I12" s="12">
        <f>IF(('Бие бялдар'!V15+'Бие бялдар'!X15+'Танин мэдэхүй'!AP15+'Танин мэдэхүй'!AR15+'Нийгэмшил'!V15+'Нийгэмшил'!X15)=0,"",ROUND((N('Бие бялдар'!D15)+N('Бие бялдар'!F15)+N('Бие бялдар'!R15)+N('Бие бялдар'!T15)+N('Нийгэмшил'!P15)+N('Нийгэмшил'!R15)+N('Нийгэмшил'!T15))/7*100,1))</f>
        <v/>
      </c>
      <c r="J12" s="12">
        <f>IF(('Бие бялдар'!V15+'Бие бялдар'!X15+'Танин мэдэхүй'!AP15+'Танин мэдэхүй'!AR15+'Нийгэмшил'!V15+'Нийгэмшил'!X15)=0,"",ROUND((N('Бие бялдар'!H15)+N('Бие бялдар'!J15)+N('Бие бялдар'!L15)+N('Бие бялдар'!N15)+N('Бие бялдар'!P15)+N('Танин мэдэхүй'!AD15)+N('Танин мэдэхүй'!AF15)+N('Танин мэдэхүй'!AH15)+N('Танин мэдэхүй'!AJ15))/9*100,1))</f>
        <v/>
      </c>
      <c r="K12" s="12">
        <f>IF(('Бие бялдар'!V15+'Бие бялдар'!X15+'Танин мэдэхүй'!AP15+'Танин мэдэхүй'!AR15+'Нийгэмшил'!V15+'Нийгэмшил'!X15)=0,"",ROUND((N('Танин мэдэхүй'!D15)+N('Нийгэмшил'!H15)+N('Танин мэдэхүй'!P15)+N('Танин мэдэхүй'!R15)+N('Танин мэдэхүй'!T15)+N('Танин мэдэхүй'!V15)+N('Нийгэмшил'!L15))/7*100,1))</f>
        <v/>
      </c>
      <c r="L12" s="12">
        <f>IF(('Бие бялдар'!V15+'Бие бялдар'!X15+'Танин мэдэхүй'!AP15+'Танин мэдэхүй'!AR15+'Нийгэмшил'!V15+'Нийгэмшил'!X15)=0,"",ROUND((N('Танин мэдэхүй'!F15)+N('Танин мэдэхүй'!H15)+N('Танин мэдэхүй'!J15)+N('Нийгэмшил'!D15)+N('Танин мэдэхүй'!L15)+N('Танин мэдэхүй'!N15)+N('Нийгэмшил'!F15)+N('Танин мэдэхүй'!X15)+N('Танин мэдэхүй'!Z15)+N('Танин мэдэхүй'!AB15)+N('Нийгэмшил'!J15)+N('Танин мэдэхүй'!AL15)+N('Танин мэдэхүй'!AN15)+N('Нийгэмшил'!N15))/14*100,1))</f>
        <v/>
      </c>
      <c r="M12" s="14">
        <f>'Бие бялдар'!V15+'Танин мэдэхүй'!AP15+'Нийгэмшил'!V15</f>
        <v/>
      </c>
      <c r="N12" s="12">
        <f>IF(('Бие бялдар'!V15+'Бие бялдар'!X15+'Танин мэдэхүй'!AP15+'Танин мэдэхүй'!AR15+'Нийгэмшил'!V15+'Нийгэмшил'!X15)=0,"",ROUND(M12/37*100,1))</f>
        <v/>
      </c>
      <c r="O12" s="15">
        <f>IF(N12="","",IF(N12&gt;=80,"Хангалттай эзэмшиж байна",IF(N12&gt;=50,"Ахиж байна","Хөгжиж байна")))</f>
        <v/>
      </c>
    </row>
    <row r="13" ht="17" customHeight="1">
      <c r="A13" s="12" t="n">
        <v>7</v>
      </c>
      <c r="B13" s="13" t="n"/>
      <c r="C13" s="12">
        <f>IF(('Бие бялдар'!V16+'Бие бялдар'!X16+'Танин мэдэхүй'!AP16+'Танин мэдэхүй'!AR16+'Нийгэмшил'!V16+'Нийгэмшил'!X16)=0,"",ROUND(('Бие бялдар'!V16)/9*100,1))</f>
        <v/>
      </c>
      <c r="D13" s="12">
        <f>IF(('Бие бялдар'!V16+'Бие бялдар'!X16+'Танин мэдэхүй'!AP16+'Танин мэдэхүй'!AR16+'Нийгэмшил'!V16+'Нийгэмшил'!X16)=0,"",ROUND(('Танин мэдэхүй'!AP16)/19*100,1))</f>
        <v/>
      </c>
      <c r="E13" s="12">
        <f>IF(('Бие бялдар'!V16+'Бие бялдар'!X16+'Танин мэдэхүй'!AP16+'Танин мэдэхүй'!AR16+'Нийгэмшил'!V16+'Нийгэмшил'!X16)=0,"",ROUND(('Нийгэмшил'!V16)/9*100,1))</f>
        <v/>
      </c>
      <c r="F13" s="12">
        <f>IF(('Бие бялдар'!V16+'Бие бялдар'!X16+'Танин мэдэхүй'!AP16+'Танин мэдэхүй'!AR16+'Нийгэмшил'!V16+'Нийгэмшил'!X16)=0,"",ROUND((N('Бие бялдар'!D16)+N('Бие бялдар'!F16)+N('Танин мэдэхүй'!D16)+N('Танин мэдэхүй'!F16)+N('Танин мэдэхүй'!H16)+N('Танин мэдэхүй'!J16)+N('Нийгэмшил'!D16)+N('Танин мэдэхүй'!L16)+N('Танин мэдэхүй'!N16)+N('Нийгэмшил'!F16)+N('Нийгэмшил'!H16))/11*100,1))</f>
        <v/>
      </c>
      <c r="G13" s="12">
        <f>IF(('Бие бялдар'!V16+'Бие бялдар'!X16+'Танин мэдэхүй'!AP16+'Танин мэдэхүй'!AR16+'Нийгэмшил'!V16+'Нийгэмшил'!X16)=0,"",ROUND((N('Бие бялдар'!H16)+N('Бие бялдар'!J16)+N('Бие бялдар'!L16)+N('Бие бялдар'!N16)+N('Бие бялдар'!P16)+N('Бие бялдар'!R16)+N('Бие бялдар'!T16)+N('Танин мэдэхүй'!P16)+N('Танин мэдэхүй'!R16)+N('Танин мэдэхүй'!T16)+N('Танин мэдэхүй'!V16)+N('Танин мэдэхүй'!X16)+N('Танин мэдэхүй'!Z16)+N('Танин мэдэхүй'!AB16)+N('Танин мэдэхүй'!AD16)+N('Нийгэмшил'!J16)+N('Танин мэдэхүй'!AF16)+N('Танин мэдэхүй'!AH16)+N('Танин мэдэхүй'!AJ16)+N('Нийгэмшил'!L16)+N('Танин мэдэхүй'!AL16)+N('Танин мэдэхүй'!AN16))/22*100,1))</f>
        <v/>
      </c>
      <c r="H13" s="12">
        <f>IF(('Бие бялдар'!V16+'Бие бялдар'!X16+'Танин мэдэхүй'!AP16+'Танин мэдэхүй'!AR16+'Нийгэмшил'!V16+'Нийгэмшил'!X16)=0,"",ROUND((N('Нийгэмшил'!N16)+N('Нийгэмшил'!P16)+N('Нийгэмшил'!R16)+N('Нийгэмшил'!T16))/4*100,1))</f>
        <v/>
      </c>
      <c r="I13" s="12">
        <f>IF(('Бие бялдар'!V16+'Бие бялдар'!X16+'Танин мэдэхүй'!AP16+'Танин мэдэхүй'!AR16+'Нийгэмшил'!V16+'Нийгэмшил'!X16)=0,"",ROUND((N('Бие бялдар'!D16)+N('Бие бялдар'!F16)+N('Бие бялдар'!R16)+N('Бие бялдар'!T16)+N('Нийгэмшил'!P16)+N('Нийгэмшил'!R16)+N('Нийгэмшил'!T16))/7*100,1))</f>
        <v/>
      </c>
      <c r="J13" s="12">
        <f>IF(('Бие бялдар'!V16+'Бие бялдар'!X16+'Танин мэдэхүй'!AP16+'Танин мэдэхүй'!AR16+'Нийгэмшил'!V16+'Нийгэмшил'!X16)=0,"",ROUND((N('Бие бялдар'!H16)+N('Бие бялдар'!J16)+N('Бие бялдар'!L16)+N('Бие бялдар'!N16)+N('Бие бялдар'!P16)+N('Танин мэдэхүй'!AD16)+N('Танин мэдэхүй'!AF16)+N('Танин мэдэхүй'!AH16)+N('Танин мэдэхүй'!AJ16))/9*100,1))</f>
        <v/>
      </c>
      <c r="K13" s="12">
        <f>IF(('Бие бялдар'!V16+'Бие бялдар'!X16+'Танин мэдэхүй'!AP16+'Танин мэдэхүй'!AR16+'Нийгэмшил'!V16+'Нийгэмшил'!X16)=0,"",ROUND((N('Танин мэдэхүй'!D16)+N('Нийгэмшил'!H16)+N('Танин мэдэхүй'!P16)+N('Танин мэдэхүй'!R16)+N('Танин мэдэхүй'!T16)+N('Танин мэдэхүй'!V16)+N('Нийгэмшил'!L16))/7*100,1))</f>
        <v/>
      </c>
      <c r="L13" s="12">
        <f>IF(('Бие бялдар'!V16+'Бие бялдар'!X16+'Танин мэдэхүй'!AP16+'Танин мэдэхүй'!AR16+'Нийгэмшил'!V16+'Нийгэмшил'!X16)=0,"",ROUND((N('Танин мэдэхүй'!F16)+N('Танин мэдэхүй'!H16)+N('Танин мэдэхүй'!J16)+N('Нийгэмшил'!D16)+N('Танин мэдэхүй'!L16)+N('Танин мэдэхүй'!N16)+N('Нийгэмшил'!F16)+N('Танин мэдэхүй'!X16)+N('Танин мэдэхүй'!Z16)+N('Танин мэдэхүй'!AB16)+N('Нийгэмшил'!J16)+N('Танин мэдэхүй'!AL16)+N('Танин мэдэхүй'!AN16)+N('Нийгэмшил'!N16))/14*100,1))</f>
        <v/>
      </c>
      <c r="M13" s="14">
        <f>'Бие бялдар'!V16+'Танин мэдэхүй'!AP16+'Нийгэмшил'!V16</f>
        <v/>
      </c>
      <c r="N13" s="12">
        <f>IF(('Бие бялдар'!V16+'Бие бялдар'!X16+'Танин мэдэхүй'!AP16+'Танин мэдэхүй'!AR16+'Нийгэмшил'!V16+'Нийгэмшил'!X16)=0,"",ROUND(M13/37*100,1))</f>
        <v/>
      </c>
      <c r="O13" s="15">
        <f>IF(N13="","",IF(N13&gt;=80,"Хангалттай эзэмшиж байна",IF(N13&gt;=50,"Ахиж байна","Хөгжиж байна")))</f>
        <v/>
      </c>
    </row>
    <row r="14" ht="17" customHeight="1">
      <c r="A14" s="12" t="n">
        <v>8</v>
      </c>
      <c r="B14" s="13" t="n"/>
      <c r="C14" s="12">
        <f>IF(('Бие бялдар'!V17+'Бие бялдар'!X17+'Танин мэдэхүй'!AP17+'Танин мэдэхүй'!AR17+'Нийгэмшил'!V17+'Нийгэмшил'!X17)=0,"",ROUND(('Бие бялдар'!V17)/9*100,1))</f>
        <v/>
      </c>
      <c r="D14" s="12">
        <f>IF(('Бие бялдар'!V17+'Бие бялдар'!X17+'Танин мэдэхүй'!AP17+'Танин мэдэхүй'!AR17+'Нийгэмшил'!V17+'Нийгэмшил'!X17)=0,"",ROUND(('Танин мэдэхүй'!AP17)/19*100,1))</f>
        <v/>
      </c>
      <c r="E14" s="12">
        <f>IF(('Бие бялдар'!V17+'Бие бялдар'!X17+'Танин мэдэхүй'!AP17+'Танин мэдэхүй'!AR17+'Нийгэмшил'!V17+'Нийгэмшил'!X17)=0,"",ROUND(('Нийгэмшил'!V17)/9*100,1))</f>
        <v/>
      </c>
      <c r="F14" s="12">
        <f>IF(('Бие бялдар'!V17+'Бие бялдар'!X17+'Танин мэдэхүй'!AP17+'Танин мэдэхүй'!AR17+'Нийгэмшил'!V17+'Нийгэмшил'!X17)=0,"",ROUND((N('Бие бялдар'!D17)+N('Бие бялдар'!F17)+N('Танин мэдэхүй'!D17)+N('Танин мэдэхүй'!F17)+N('Танин мэдэхүй'!H17)+N('Танин мэдэхүй'!J17)+N('Нийгэмшил'!D17)+N('Танин мэдэхүй'!L17)+N('Танин мэдэхүй'!N17)+N('Нийгэмшил'!F17)+N('Нийгэмшил'!H17))/11*100,1))</f>
        <v/>
      </c>
      <c r="G14" s="12">
        <f>IF(('Бие бялдар'!V17+'Бие бялдар'!X17+'Танин мэдэхүй'!AP17+'Танин мэдэхүй'!AR17+'Нийгэмшил'!V17+'Нийгэмшил'!X17)=0,"",ROUND((N('Бие бялдар'!H17)+N('Бие бялдар'!J17)+N('Бие бялдар'!L17)+N('Бие бялдар'!N17)+N('Бие бялдар'!P17)+N('Бие бялдар'!R17)+N('Бие бялдар'!T17)+N('Танин мэдэхүй'!P17)+N('Танин мэдэхүй'!R17)+N('Танин мэдэхүй'!T17)+N('Танин мэдэхүй'!V17)+N('Танин мэдэхүй'!X17)+N('Танин мэдэхүй'!Z17)+N('Танин мэдэхүй'!AB17)+N('Танин мэдэхүй'!AD17)+N('Нийгэмшил'!J17)+N('Танин мэдэхүй'!AF17)+N('Танин мэдэхүй'!AH17)+N('Танин мэдэхүй'!AJ17)+N('Нийгэмшил'!L17)+N('Танин мэдэхүй'!AL17)+N('Танин мэдэхүй'!AN17))/22*100,1))</f>
        <v/>
      </c>
      <c r="H14" s="12">
        <f>IF(('Бие бялдар'!V17+'Бие бялдар'!X17+'Танин мэдэхүй'!AP17+'Танин мэдэхүй'!AR17+'Нийгэмшил'!V17+'Нийгэмшил'!X17)=0,"",ROUND((N('Нийгэмшил'!N17)+N('Нийгэмшил'!P17)+N('Нийгэмшил'!R17)+N('Нийгэмшил'!T17))/4*100,1))</f>
        <v/>
      </c>
      <c r="I14" s="12">
        <f>IF(('Бие бялдар'!V17+'Бие бялдар'!X17+'Танин мэдэхүй'!AP17+'Танин мэдэхүй'!AR17+'Нийгэмшил'!V17+'Нийгэмшил'!X17)=0,"",ROUND((N('Бие бялдар'!D17)+N('Бие бялдар'!F17)+N('Бие бялдар'!R17)+N('Бие бялдар'!T17)+N('Нийгэмшил'!P17)+N('Нийгэмшил'!R17)+N('Нийгэмшил'!T17))/7*100,1))</f>
        <v/>
      </c>
      <c r="J14" s="12">
        <f>IF(('Бие бялдар'!V17+'Бие бялдар'!X17+'Танин мэдэхүй'!AP17+'Танин мэдэхүй'!AR17+'Нийгэмшил'!V17+'Нийгэмшил'!X17)=0,"",ROUND((N('Бие бялдар'!H17)+N('Бие бялдар'!J17)+N('Бие бялдар'!L17)+N('Бие бялдар'!N17)+N('Бие бялдар'!P17)+N('Танин мэдэхүй'!AD17)+N('Танин мэдэхүй'!AF17)+N('Танин мэдэхүй'!AH17)+N('Танин мэдэхүй'!AJ17))/9*100,1))</f>
        <v/>
      </c>
      <c r="K14" s="12">
        <f>IF(('Бие бялдар'!V17+'Бие бялдар'!X17+'Танин мэдэхүй'!AP17+'Танин мэдэхүй'!AR17+'Нийгэмшил'!V17+'Нийгэмшил'!X17)=0,"",ROUND((N('Танин мэдэхүй'!D17)+N('Нийгэмшил'!H17)+N('Танин мэдэхүй'!P17)+N('Танин мэдэхүй'!R17)+N('Танин мэдэхүй'!T17)+N('Танин мэдэхүй'!V17)+N('Нийгэмшил'!L17))/7*100,1))</f>
        <v/>
      </c>
      <c r="L14" s="12">
        <f>IF(('Бие бялдар'!V17+'Бие бялдар'!X17+'Танин мэдэхүй'!AP17+'Танин мэдэхүй'!AR17+'Нийгэмшил'!V17+'Нийгэмшил'!X17)=0,"",ROUND((N('Танин мэдэхүй'!F17)+N('Танин мэдэхүй'!H17)+N('Танин мэдэхүй'!J17)+N('Нийгэмшил'!D17)+N('Танин мэдэхүй'!L17)+N('Танин мэдэхүй'!N17)+N('Нийгэмшил'!F17)+N('Танин мэдэхүй'!X17)+N('Танин мэдэхүй'!Z17)+N('Танин мэдэхүй'!AB17)+N('Нийгэмшил'!J17)+N('Танин мэдэхүй'!AL17)+N('Танин мэдэхүй'!AN17)+N('Нийгэмшил'!N17))/14*100,1))</f>
        <v/>
      </c>
      <c r="M14" s="14">
        <f>'Бие бялдар'!V17+'Танин мэдэхүй'!AP17+'Нийгэмшил'!V17</f>
        <v/>
      </c>
      <c r="N14" s="12">
        <f>IF(('Бие бялдар'!V17+'Бие бялдар'!X17+'Танин мэдэхүй'!AP17+'Танин мэдэхүй'!AR17+'Нийгэмшил'!V17+'Нийгэмшил'!X17)=0,"",ROUND(M14/37*100,1))</f>
        <v/>
      </c>
      <c r="O14" s="15">
        <f>IF(N14="","",IF(N14&gt;=80,"Хангалттай эзэмшиж байна",IF(N14&gt;=50,"Ахиж байна","Хөгжиж байна")))</f>
        <v/>
      </c>
    </row>
    <row r="15" ht="17" customHeight="1">
      <c r="A15" s="12" t="n">
        <v>9</v>
      </c>
      <c r="B15" s="13" t="n"/>
      <c r="C15" s="12">
        <f>IF(('Бие бялдар'!V18+'Бие бялдар'!X18+'Танин мэдэхүй'!AP18+'Танин мэдэхүй'!AR18+'Нийгэмшил'!V18+'Нийгэмшил'!X18)=0,"",ROUND(('Бие бялдар'!V18)/9*100,1))</f>
        <v/>
      </c>
      <c r="D15" s="12">
        <f>IF(('Бие бялдар'!V18+'Бие бялдар'!X18+'Танин мэдэхүй'!AP18+'Танин мэдэхүй'!AR18+'Нийгэмшил'!V18+'Нийгэмшил'!X18)=0,"",ROUND(('Танин мэдэхүй'!AP18)/19*100,1))</f>
        <v/>
      </c>
      <c r="E15" s="12">
        <f>IF(('Бие бялдар'!V18+'Бие бялдар'!X18+'Танин мэдэхүй'!AP18+'Танин мэдэхүй'!AR18+'Нийгэмшил'!V18+'Нийгэмшил'!X18)=0,"",ROUND(('Нийгэмшил'!V18)/9*100,1))</f>
        <v/>
      </c>
      <c r="F15" s="12">
        <f>IF(('Бие бялдар'!V18+'Бие бялдар'!X18+'Танин мэдэхүй'!AP18+'Танин мэдэхүй'!AR18+'Нийгэмшил'!V18+'Нийгэмшил'!X18)=0,"",ROUND((N('Бие бялдар'!D18)+N('Бие бялдар'!F18)+N('Танин мэдэхүй'!D18)+N('Танин мэдэхүй'!F18)+N('Танин мэдэхүй'!H18)+N('Танин мэдэхүй'!J18)+N('Нийгэмшил'!D18)+N('Танин мэдэхүй'!L18)+N('Танин мэдэхүй'!N18)+N('Нийгэмшил'!F18)+N('Нийгэмшил'!H18))/11*100,1))</f>
        <v/>
      </c>
      <c r="G15" s="12">
        <f>IF(('Бие бялдар'!V18+'Бие бялдар'!X18+'Танин мэдэхүй'!AP18+'Танин мэдэхүй'!AR18+'Нийгэмшил'!V18+'Нийгэмшил'!X18)=0,"",ROUND((N('Бие бялдар'!H18)+N('Бие бялдар'!J18)+N('Бие бялдар'!L18)+N('Бие бялдар'!N18)+N('Бие бялдар'!P18)+N('Бие бялдар'!R18)+N('Бие бялдар'!T18)+N('Танин мэдэхүй'!P18)+N('Танин мэдэхүй'!R18)+N('Танин мэдэхүй'!T18)+N('Танин мэдэхүй'!V18)+N('Танин мэдэхүй'!X18)+N('Танин мэдэхүй'!Z18)+N('Танин мэдэхүй'!AB18)+N('Танин мэдэхүй'!AD18)+N('Нийгэмшил'!J18)+N('Танин мэдэхүй'!AF18)+N('Танин мэдэхүй'!AH18)+N('Танин мэдэхүй'!AJ18)+N('Нийгэмшил'!L18)+N('Танин мэдэхүй'!AL18)+N('Танин мэдэхүй'!AN18))/22*100,1))</f>
        <v/>
      </c>
      <c r="H15" s="12">
        <f>IF(('Бие бялдар'!V18+'Бие бялдар'!X18+'Танин мэдэхүй'!AP18+'Танин мэдэхүй'!AR18+'Нийгэмшил'!V18+'Нийгэмшил'!X18)=0,"",ROUND((N('Нийгэмшил'!N18)+N('Нийгэмшил'!P18)+N('Нийгэмшил'!R18)+N('Нийгэмшил'!T18))/4*100,1))</f>
        <v/>
      </c>
      <c r="I15" s="12">
        <f>IF(('Бие бялдар'!V18+'Бие бялдар'!X18+'Танин мэдэхүй'!AP18+'Танин мэдэхүй'!AR18+'Нийгэмшил'!V18+'Нийгэмшил'!X18)=0,"",ROUND((N('Бие бялдар'!D18)+N('Бие бялдар'!F18)+N('Бие бялдар'!R18)+N('Бие бялдар'!T18)+N('Нийгэмшил'!P18)+N('Нийгэмшил'!R18)+N('Нийгэмшил'!T18))/7*100,1))</f>
        <v/>
      </c>
      <c r="J15" s="12">
        <f>IF(('Бие бялдар'!V18+'Бие бялдар'!X18+'Танин мэдэхүй'!AP18+'Танин мэдэхүй'!AR18+'Нийгэмшил'!V18+'Нийгэмшил'!X18)=0,"",ROUND((N('Бие бялдар'!H18)+N('Бие бялдар'!J18)+N('Бие бялдар'!L18)+N('Бие бялдар'!N18)+N('Бие бялдар'!P18)+N('Танин мэдэхүй'!AD18)+N('Танин мэдэхүй'!AF18)+N('Танин мэдэхүй'!AH18)+N('Танин мэдэхүй'!AJ18))/9*100,1))</f>
        <v/>
      </c>
      <c r="K15" s="12">
        <f>IF(('Бие бялдар'!V18+'Бие бялдар'!X18+'Танин мэдэхүй'!AP18+'Танин мэдэхүй'!AR18+'Нийгэмшил'!V18+'Нийгэмшил'!X18)=0,"",ROUND((N('Танин мэдэхүй'!D18)+N('Нийгэмшил'!H18)+N('Танин мэдэхүй'!P18)+N('Танин мэдэхүй'!R18)+N('Танин мэдэхүй'!T18)+N('Танин мэдэхүй'!V18)+N('Нийгэмшил'!L18))/7*100,1))</f>
        <v/>
      </c>
      <c r="L15" s="12">
        <f>IF(('Бие бялдар'!V18+'Бие бялдар'!X18+'Танин мэдэхүй'!AP18+'Танин мэдэхүй'!AR18+'Нийгэмшил'!V18+'Нийгэмшил'!X18)=0,"",ROUND((N('Танин мэдэхүй'!F18)+N('Танин мэдэхүй'!H18)+N('Танин мэдэхүй'!J18)+N('Нийгэмшил'!D18)+N('Танин мэдэхүй'!L18)+N('Танин мэдэхүй'!N18)+N('Нийгэмшил'!F18)+N('Танин мэдэхүй'!X18)+N('Танин мэдэхүй'!Z18)+N('Танин мэдэхүй'!AB18)+N('Нийгэмшил'!J18)+N('Танин мэдэхүй'!AL18)+N('Танин мэдэхүй'!AN18)+N('Нийгэмшил'!N18))/14*100,1))</f>
        <v/>
      </c>
      <c r="M15" s="14">
        <f>'Бие бялдар'!V18+'Танин мэдэхүй'!AP18+'Нийгэмшил'!V18</f>
        <v/>
      </c>
      <c r="N15" s="12">
        <f>IF(('Бие бялдар'!V18+'Бие бялдар'!X18+'Танин мэдэхүй'!AP18+'Танин мэдэхүй'!AR18+'Нийгэмшил'!V18+'Нийгэмшил'!X18)=0,"",ROUND(M15/37*100,1))</f>
        <v/>
      </c>
      <c r="O15" s="15">
        <f>IF(N15="","",IF(N15&gt;=80,"Хангалттай эзэмшиж байна",IF(N15&gt;=50,"Ахиж байна","Хөгжиж байна")))</f>
        <v/>
      </c>
    </row>
    <row r="16" ht="17" customHeight="1">
      <c r="A16" s="12" t="n">
        <v>10</v>
      </c>
      <c r="B16" s="13" t="n"/>
      <c r="C16" s="12">
        <f>IF(('Бие бялдар'!V19+'Бие бялдар'!X19+'Танин мэдэхүй'!AP19+'Танин мэдэхүй'!AR19+'Нийгэмшил'!V19+'Нийгэмшил'!X19)=0,"",ROUND(('Бие бялдар'!V19)/9*100,1))</f>
        <v/>
      </c>
      <c r="D16" s="12">
        <f>IF(('Бие бялдар'!V19+'Бие бялдар'!X19+'Танин мэдэхүй'!AP19+'Танин мэдэхүй'!AR19+'Нийгэмшил'!V19+'Нийгэмшил'!X19)=0,"",ROUND(('Танин мэдэхүй'!AP19)/19*100,1))</f>
        <v/>
      </c>
      <c r="E16" s="12">
        <f>IF(('Бие бялдар'!V19+'Бие бялдар'!X19+'Танин мэдэхүй'!AP19+'Танин мэдэхүй'!AR19+'Нийгэмшил'!V19+'Нийгэмшил'!X19)=0,"",ROUND(('Нийгэмшил'!V19)/9*100,1))</f>
        <v/>
      </c>
      <c r="F16" s="12">
        <f>IF(('Бие бялдар'!V19+'Бие бялдар'!X19+'Танин мэдэхүй'!AP19+'Танин мэдэхүй'!AR19+'Нийгэмшил'!V19+'Нийгэмшил'!X19)=0,"",ROUND((N('Бие бялдар'!D19)+N('Бие бялдар'!F19)+N('Танин мэдэхүй'!D19)+N('Танин мэдэхүй'!F19)+N('Танин мэдэхүй'!H19)+N('Танин мэдэхүй'!J19)+N('Нийгэмшил'!D19)+N('Танин мэдэхүй'!L19)+N('Танин мэдэхүй'!N19)+N('Нийгэмшил'!F19)+N('Нийгэмшил'!H19))/11*100,1))</f>
        <v/>
      </c>
      <c r="G16" s="12">
        <f>IF(('Бие бялдар'!V19+'Бие бялдар'!X19+'Танин мэдэхүй'!AP19+'Танин мэдэхүй'!AR19+'Нийгэмшил'!V19+'Нийгэмшил'!X19)=0,"",ROUND((N('Бие бялдар'!H19)+N('Бие бялдар'!J19)+N('Бие бялдар'!L19)+N('Бие бялдар'!N19)+N('Бие бялдар'!P19)+N('Бие бялдар'!R19)+N('Бие бялдар'!T19)+N('Танин мэдэхүй'!P19)+N('Танин мэдэхүй'!R19)+N('Танин мэдэхүй'!T19)+N('Танин мэдэхүй'!V19)+N('Танин мэдэхүй'!X19)+N('Танин мэдэхүй'!Z19)+N('Танин мэдэхүй'!AB19)+N('Танин мэдэхүй'!AD19)+N('Нийгэмшил'!J19)+N('Танин мэдэхүй'!AF19)+N('Танин мэдэхүй'!AH19)+N('Танин мэдэхүй'!AJ19)+N('Нийгэмшил'!L19)+N('Танин мэдэхүй'!AL19)+N('Танин мэдэхүй'!AN19))/22*100,1))</f>
        <v/>
      </c>
      <c r="H16" s="12">
        <f>IF(('Бие бялдар'!V19+'Бие бялдар'!X19+'Танин мэдэхүй'!AP19+'Танин мэдэхүй'!AR19+'Нийгэмшил'!V19+'Нийгэмшил'!X19)=0,"",ROUND((N('Нийгэмшил'!N19)+N('Нийгэмшил'!P19)+N('Нийгэмшил'!R19)+N('Нийгэмшил'!T19))/4*100,1))</f>
        <v/>
      </c>
      <c r="I16" s="12">
        <f>IF(('Бие бялдар'!V19+'Бие бялдар'!X19+'Танин мэдэхүй'!AP19+'Танин мэдэхүй'!AR19+'Нийгэмшил'!V19+'Нийгэмшил'!X19)=0,"",ROUND((N('Бие бялдар'!D19)+N('Бие бялдар'!F19)+N('Бие бялдар'!R19)+N('Бие бялдар'!T19)+N('Нийгэмшил'!P19)+N('Нийгэмшил'!R19)+N('Нийгэмшил'!T19))/7*100,1))</f>
        <v/>
      </c>
      <c r="J16" s="12">
        <f>IF(('Бие бялдар'!V19+'Бие бялдар'!X19+'Танин мэдэхүй'!AP19+'Танин мэдэхүй'!AR19+'Нийгэмшил'!V19+'Нийгэмшил'!X19)=0,"",ROUND((N('Бие бялдар'!H19)+N('Бие бялдар'!J19)+N('Бие бялдар'!L19)+N('Бие бялдар'!N19)+N('Бие бялдар'!P19)+N('Танин мэдэхүй'!AD19)+N('Танин мэдэхүй'!AF19)+N('Танин мэдэхүй'!AH19)+N('Танин мэдэхүй'!AJ19))/9*100,1))</f>
        <v/>
      </c>
      <c r="K16" s="12">
        <f>IF(('Бие бялдар'!V19+'Бие бялдар'!X19+'Танин мэдэхүй'!AP19+'Танин мэдэхүй'!AR19+'Нийгэмшил'!V19+'Нийгэмшил'!X19)=0,"",ROUND((N('Танин мэдэхүй'!D19)+N('Нийгэмшил'!H19)+N('Танин мэдэхүй'!P19)+N('Танин мэдэхүй'!R19)+N('Танин мэдэхүй'!T19)+N('Танин мэдэхүй'!V19)+N('Нийгэмшил'!L19))/7*100,1))</f>
        <v/>
      </c>
      <c r="L16" s="12">
        <f>IF(('Бие бялдар'!V19+'Бие бялдар'!X19+'Танин мэдэхүй'!AP19+'Танин мэдэхүй'!AR19+'Нийгэмшил'!V19+'Нийгэмшил'!X19)=0,"",ROUND((N('Танин мэдэхүй'!F19)+N('Танин мэдэхүй'!H19)+N('Танин мэдэхүй'!J19)+N('Нийгэмшил'!D19)+N('Танин мэдэхүй'!L19)+N('Танин мэдэхүй'!N19)+N('Нийгэмшил'!F19)+N('Танин мэдэхүй'!X19)+N('Танин мэдэхүй'!Z19)+N('Танин мэдэхүй'!AB19)+N('Нийгэмшил'!J19)+N('Танин мэдэхүй'!AL19)+N('Танин мэдэхүй'!AN19)+N('Нийгэмшил'!N19))/14*100,1))</f>
        <v/>
      </c>
      <c r="M16" s="14">
        <f>'Бие бялдар'!V19+'Танин мэдэхүй'!AP19+'Нийгэмшил'!V19</f>
        <v/>
      </c>
      <c r="N16" s="12">
        <f>IF(('Бие бялдар'!V19+'Бие бялдар'!X19+'Танин мэдэхүй'!AP19+'Танин мэдэхүй'!AR19+'Нийгэмшил'!V19+'Нийгэмшил'!X19)=0,"",ROUND(M16/37*100,1))</f>
        <v/>
      </c>
      <c r="O16" s="15">
        <f>IF(N16="","",IF(N16&gt;=80,"Хангалттай эзэмшиж байна",IF(N16&gt;=50,"Ахиж байна","Хөгжиж байна")))</f>
        <v/>
      </c>
    </row>
    <row r="17" ht="17" customHeight="1">
      <c r="A17" s="12" t="n">
        <v>11</v>
      </c>
      <c r="B17" s="13" t="n"/>
      <c r="C17" s="12">
        <f>IF(('Бие бялдар'!V20+'Бие бялдар'!X20+'Танин мэдэхүй'!AP20+'Танин мэдэхүй'!AR20+'Нийгэмшил'!V20+'Нийгэмшил'!X20)=0,"",ROUND(('Бие бялдар'!V20)/9*100,1))</f>
        <v/>
      </c>
      <c r="D17" s="12">
        <f>IF(('Бие бялдар'!V20+'Бие бялдар'!X20+'Танин мэдэхүй'!AP20+'Танин мэдэхүй'!AR20+'Нийгэмшил'!V20+'Нийгэмшил'!X20)=0,"",ROUND(('Танин мэдэхүй'!AP20)/19*100,1))</f>
        <v/>
      </c>
      <c r="E17" s="12">
        <f>IF(('Бие бялдар'!V20+'Бие бялдар'!X20+'Танин мэдэхүй'!AP20+'Танин мэдэхүй'!AR20+'Нийгэмшил'!V20+'Нийгэмшил'!X20)=0,"",ROUND(('Нийгэмшил'!V20)/9*100,1))</f>
        <v/>
      </c>
      <c r="F17" s="12">
        <f>IF(('Бие бялдар'!V20+'Бие бялдар'!X20+'Танин мэдэхүй'!AP20+'Танин мэдэхүй'!AR20+'Нийгэмшил'!V20+'Нийгэмшил'!X20)=0,"",ROUND((N('Бие бялдар'!D20)+N('Бие бялдар'!F20)+N('Танин мэдэхүй'!D20)+N('Танин мэдэхүй'!F20)+N('Танин мэдэхүй'!H20)+N('Танин мэдэхүй'!J20)+N('Нийгэмшил'!D20)+N('Танин мэдэхүй'!L20)+N('Танин мэдэхүй'!N20)+N('Нийгэмшил'!F20)+N('Нийгэмшил'!H20))/11*100,1))</f>
        <v/>
      </c>
      <c r="G17" s="12">
        <f>IF(('Бие бялдар'!V20+'Бие бялдар'!X20+'Танин мэдэхүй'!AP20+'Танин мэдэхүй'!AR20+'Нийгэмшил'!V20+'Нийгэмшил'!X20)=0,"",ROUND((N('Бие бялдар'!H20)+N('Бие бялдар'!J20)+N('Бие бялдар'!L20)+N('Бие бялдар'!N20)+N('Бие бялдар'!P20)+N('Бие бялдар'!R20)+N('Бие бялдар'!T20)+N('Танин мэдэхүй'!P20)+N('Танин мэдэхүй'!R20)+N('Танин мэдэхүй'!T20)+N('Танин мэдэхүй'!V20)+N('Танин мэдэхүй'!X20)+N('Танин мэдэхүй'!Z20)+N('Танин мэдэхүй'!AB20)+N('Танин мэдэхүй'!AD20)+N('Нийгэмшил'!J20)+N('Танин мэдэхүй'!AF20)+N('Танин мэдэхүй'!AH20)+N('Танин мэдэхүй'!AJ20)+N('Нийгэмшил'!L20)+N('Танин мэдэхүй'!AL20)+N('Танин мэдэхүй'!AN20))/22*100,1))</f>
        <v/>
      </c>
      <c r="H17" s="12">
        <f>IF(('Бие бялдар'!V20+'Бие бялдар'!X20+'Танин мэдэхүй'!AP20+'Танин мэдэхүй'!AR20+'Нийгэмшил'!V20+'Нийгэмшил'!X20)=0,"",ROUND((N('Нийгэмшил'!N20)+N('Нийгэмшил'!P20)+N('Нийгэмшил'!R20)+N('Нийгэмшил'!T20))/4*100,1))</f>
        <v/>
      </c>
      <c r="I17" s="12">
        <f>IF(('Бие бялдар'!V20+'Бие бялдар'!X20+'Танин мэдэхүй'!AP20+'Танин мэдэхүй'!AR20+'Нийгэмшил'!V20+'Нийгэмшил'!X20)=0,"",ROUND((N('Бие бялдар'!D20)+N('Бие бялдар'!F20)+N('Бие бялдар'!R20)+N('Бие бялдар'!T20)+N('Нийгэмшил'!P20)+N('Нийгэмшил'!R20)+N('Нийгэмшил'!T20))/7*100,1))</f>
        <v/>
      </c>
      <c r="J17" s="12">
        <f>IF(('Бие бялдар'!V20+'Бие бялдар'!X20+'Танин мэдэхүй'!AP20+'Танин мэдэхүй'!AR20+'Нийгэмшил'!V20+'Нийгэмшил'!X20)=0,"",ROUND((N('Бие бялдар'!H20)+N('Бие бялдар'!J20)+N('Бие бялдар'!L20)+N('Бие бялдар'!N20)+N('Бие бялдар'!P20)+N('Танин мэдэхүй'!AD20)+N('Танин мэдэхүй'!AF20)+N('Танин мэдэхүй'!AH20)+N('Танин мэдэхүй'!AJ20))/9*100,1))</f>
        <v/>
      </c>
      <c r="K17" s="12">
        <f>IF(('Бие бялдар'!V20+'Бие бялдар'!X20+'Танин мэдэхүй'!AP20+'Танин мэдэхүй'!AR20+'Нийгэмшил'!V20+'Нийгэмшил'!X20)=0,"",ROUND((N('Танин мэдэхүй'!D20)+N('Нийгэмшил'!H20)+N('Танин мэдэхүй'!P20)+N('Танин мэдэхүй'!R20)+N('Танин мэдэхүй'!T20)+N('Танин мэдэхүй'!V20)+N('Нийгэмшил'!L20))/7*100,1))</f>
        <v/>
      </c>
      <c r="L17" s="12">
        <f>IF(('Бие бялдар'!V20+'Бие бялдар'!X20+'Танин мэдэхүй'!AP20+'Танин мэдэхүй'!AR20+'Нийгэмшил'!V20+'Нийгэмшил'!X20)=0,"",ROUND((N('Танин мэдэхүй'!F20)+N('Танин мэдэхүй'!H20)+N('Танин мэдэхүй'!J20)+N('Нийгэмшил'!D20)+N('Танин мэдэхүй'!L20)+N('Танин мэдэхүй'!N20)+N('Нийгэмшил'!F20)+N('Танин мэдэхүй'!X20)+N('Танин мэдэхүй'!Z20)+N('Танин мэдэхүй'!AB20)+N('Нийгэмшил'!J20)+N('Танин мэдэхүй'!AL20)+N('Танин мэдэхүй'!AN20)+N('Нийгэмшил'!N20))/14*100,1))</f>
        <v/>
      </c>
      <c r="M17" s="14">
        <f>'Бие бялдар'!V20+'Танин мэдэхүй'!AP20+'Нийгэмшил'!V20</f>
        <v/>
      </c>
      <c r="N17" s="12">
        <f>IF(('Бие бялдар'!V20+'Бие бялдар'!X20+'Танин мэдэхүй'!AP20+'Танин мэдэхүй'!AR20+'Нийгэмшил'!V20+'Нийгэмшил'!X20)=0,"",ROUND(M17/37*100,1))</f>
        <v/>
      </c>
      <c r="O17" s="15">
        <f>IF(N17="","",IF(N17&gt;=80,"Хангалттай эзэмшиж байна",IF(N17&gt;=50,"Ахиж байна","Хөгжиж байна")))</f>
        <v/>
      </c>
    </row>
    <row r="18" ht="17" customHeight="1">
      <c r="A18" s="12" t="n">
        <v>12</v>
      </c>
      <c r="B18" s="13" t="n"/>
      <c r="C18" s="12">
        <f>IF(('Бие бялдар'!V21+'Бие бялдар'!X21+'Танин мэдэхүй'!AP21+'Танин мэдэхүй'!AR21+'Нийгэмшил'!V21+'Нийгэмшил'!X21)=0,"",ROUND(('Бие бялдар'!V21)/9*100,1))</f>
        <v/>
      </c>
      <c r="D18" s="12">
        <f>IF(('Бие бялдар'!V21+'Бие бялдар'!X21+'Танин мэдэхүй'!AP21+'Танин мэдэхүй'!AR21+'Нийгэмшил'!V21+'Нийгэмшил'!X21)=0,"",ROUND(('Танин мэдэхүй'!AP21)/19*100,1))</f>
        <v/>
      </c>
      <c r="E18" s="12">
        <f>IF(('Бие бялдар'!V21+'Бие бялдар'!X21+'Танин мэдэхүй'!AP21+'Танин мэдэхүй'!AR21+'Нийгэмшил'!V21+'Нийгэмшил'!X21)=0,"",ROUND(('Нийгэмшил'!V21)/9*100,1))</f>
        <v/>
      </c>
      <c r="F18" s="12">
        <f>IF(('Бие бялдар'!V21+'Бие бялдар'!X21+'Танин мэдэхүй'!AP21+'Танин мэдэхүй'!AR21+'Нийгэмшил'!V21+'Нийгэмшил'!X21)=0,"",ROUND((N('Бие бялдар'!D21)+N('Бие бялдар'!F21)+N('Танин мэдэхүй'!D21)+N('Танин мэдэхүй'!F21)+N('Танин мэдэхүй'!H21)+N('Танин мэдэхүй'!J21)+N('Нийгэмшил'!D21)+N('Танин мэдэхүй'!L21)+N('Танин мэдэхүй'!N21)+N('Нийгэмшил'!F21)+N('Нийгэмшил'!H21))/11*100,1))</f>
        <v/>
      </c>
      <c r="G18" s="12">
        <f>IF(('Бие бялдар'!V21+'Бие бялдар'!X21+'Танин мэдэхүй'!AP21+'Танин мэдэхүй'!AR21+'Нийгэмшил'!V21+'Нийгэмшил'!X21)=0,"",ROUND((N('Бие бялдар'!H21)+N('Бие бялдар'!J21)+N('Бие бялдар'!L21)+N('Бие бялдар'!N21)+N('Бие бялдар'!P21)+N('Бие бялдар'!R21)+N('Бие бялдар'!T21)+N('Танин мэдэхүй'!P21)+N('Танин мэдэхүй'!R21)+N('Танин мэдэхүй'!T21)+N('Танин мэдэхүй'!V21)+N('Танин мэдэхүй'!X21)+N('Танин мэдэхүй'!Z21)+N('Танин мэдэхүй'!AB21)+N('Танин мэдэхүй'!AD21)+N('Нийгэмшил'!J21)+N('Танин мэдэхүй'!AF21)+N('Танин мэдэхүй'!AH21)+N('Танин мэдэхүй'!AJ21)+N('Нийгэмшил'!L21)+N('Танин мэдэхүй'!AL21)+N('Танин мэдэхүй'!AN21))/22*100,1))</f>
        <v/>
      </c>
      <c r="H18" s="12">
        <f>IF(('Бие бялдар'!V21+'Бие бялдар'!X21+'Танин мэдэхүй'!AP21+'Танин мэдэхүй'!AR21+'Нийгэмшил'!V21+'Нийгэмшил'!X21)=0,"",ROUND((N('Нийгэмшил'!N21)+N('Нийгэмшил'!P21)+N('Нийгэмшил'!R21)+N('Нийгэмшил'!T21))/4*100,1))</f>
        <v/>
      </c>
      <c r="I18" s="12">
        <f>IF(('Бие бялдар'!V21+'Бие бялдар'!X21+'Танин мэдэхүй'!AP21+'Танин мэдэхүй'!AR21+'Нийгэмшил'!V21+'Нийгэмшил'!X21)=0,"",ROUND((N('Бие бялдар'!D21)+N('Бие бялдар'!F21)+N('Бие бялдар'!R21)+N('Бие бялдар'!T21)+N('Нийгэмшил'!P21)+N('Нийгэмшил'!R21)+N('Нийгэмшил'!T21))/7*100,1))</f>
        <v/>
      </c>
      <c r="J18" s="12">
        <f>IF(('Бие бялдар'!V21+'Бие бялдар'!X21+'Танин мэдэхүй'!AP21+'Танин мэдэхүй'!AR21+'Нийгэмшил'!V21+'Нийгэмшил'!X21)=0,"",ROUND((N('Бие бялдар'!H21)+N('Бие бялдар'!J21)+N('Бие бялдар'!L21)+N('Бие бялдар'!N21)+N('Бие бялдар'!P21)+N('Танин мэдэхүй'!AD21)+N('Танин мэдэхүй'!AF21)+N('Танин мэдэхүй'!AH21)+N('Танин мэдэхүй'!AJ21))/9*100,1))</f>
        <v/>
      </c>
      <c r="K18" s="12">
        <f>IF(('Бие бялдар'!V21+'Бие бялдар'!X21+'Танин мэдэхүй'!AP21+'Танин мэдэхүй'!AR21+'Нийгэмшил'!V21+'Нийгэмшил'!X21)=0,"",ROUND((N('Танин мэдэхүй'!D21)+N('Нийгэмшил'!H21)+N('Танин мэдэхүй'!P21)+N('Танин мэдэхүй'!R21)+N('Танин мэдэхүй'!T21)+N('Танин мэдэхүй'!V21)+N('Нийгэмшил'!L21))/7*100,1))</f>
        <v/>
      </c>
      <c r="L18" s="12">
        <f>IF(('Бие бялдар'!V21+'Бие бялдар'!X21+'Танин мэдэхүй'!AP21+'Танин мэдэхүй'!AR21+'Нийгэмшил'!V21+'Нийгэмшил'!X21)=0,"",ROUND((N('Танин мэдэхүй'!F21)+N('Танин мэдэхүй'!H21)+N('Танин мэдэхүй'!J21)+N('Нийгэмшил'!D21)+N('Танин мэдэхүй'!L21)+N('Танин мэдэхүй'!N21)+N('Нийгэмшил'!F21)+N('Танин мэдэхүй'!X21)+N('Танин мэдэхүй'!Z21)+N('Танин мэдэхүй'!AB21)+N('Нийгэмшил'!J21)+N('Танин мэдэхүй'!AL21)+N('Танин мэдэхүй'!AN21)+N('Нийгэмшил'!N21))/14*100,1))</f>
        <v/>
      </c>
      <c r="M18" s="14">
        <f>'Бие бялдар'!V21+'Танин мэдэхүй'!AP21+'Нийгэмшил'!V21</f>
        <v/>
      </c>
      <c r="N18" s="12">
        <f>IF(('Бие бялдар'!V21+'Бие бялдар'!X21+'Танин мэдэхүй'!AP21+'Танин мэдэхүй'!AR21+'Нийгэмшил'!V21+'Нийгэмшил'!X21)=0,"",ROUND(M18/37*100,1))</f>
        <v/>
      </c>
      <c r="O18" s="15">
        <f>IF(N18="","",IF(N18&gt;=80,"Хангалттай эзэмшиж байна",IF(N18&gt;=50,"Ахиж байна","Хөгжиж байна")))</f>
        <v/>
      </c>
    </row>
    <row r="19" ht="17" customHeight="1">
      <c r="A19" s="12" t="n">
        <v>13</v>
      </c>
      <c r="B19" s="13" t="n"/>
      <c r="C19" s="12">
        <f>IF(('Бие бялдар'!V22+'Бие бялдар'!X22+'Танин мэдэхүй'!AP22+'Танин мэдэхүй'!AR22+'Нийгэмшил'!V22+'Нийгэмшил'!X22)=0,"",ROUND(('Бие бялдар'!V22)/9*100,1))</f>
        <v/>
      </c>
      <c r="D19" s="12">
        <f>IF(('Бие бялдар'!V22+'Бие бялдар'!X22+'Танин мэдэхүй'!AP22+'Танин мэдэхүй'!AR22+'Нийгэмшил'!V22+'Нийгэмшил'!X22)=0,"",ROUND(('Танин мэдэхүй'!AP22)/19*100,1))</f>
        <v/>
      </c>
      <c r="E19" s="12">
        <f>IF(('Бие бялдар'!V22+'Бие бялдар'!X22+'Танин мэдэхүй'!AP22+'Танин мэдэхүй'!AR22+'Нийгэмшил'!V22+'Нийгэмшил'!X22)=0,"",ROUND(('Нийгэмшил'!V22)/9*100,1))</f>
        <v/>
      </c>
      <c r="F19" s="12">
        <f>IF(('Бие бялдар'!V22+'Бие бялдар'!X22+'Танин мэдэхүй'!AP22+'Танин мэдэхүй'!AR22+'Нийгэмшил'!V22+'Нийгэмшил'!X22)=0,"",ROUND((N('Бие бялдар'!D22)+N('Бие бялдар'!F22)+N('Танин мэдэхүй'!D22)+N('Танин мэдэхүй'!F22)+N('Танин мэдэхүй'!H22)+N('Танин мэдэхүй'!J22)+N('Нийгэмшил'!D22)+N('Танин мэдэхүй'!L22)+N('Танин мэдэхүй'!N22)+N('Нийгэмшил'!F22)+N('Нийгэмшил'!H22))/11*100,1))</f>
        <v/>
      </c>
      <c r="G19" s="12">
        <f>IF(('Бие бялдар'!V22+'Бие бялдар'!X22+'Танин мэдэхүй'!AP22+'Танин мэдэхүй'!AR22+'Нийгэмшил'!V22+'Нийгэмшил'!X22)=0,"",ROUND((N('Бие бялдар'!H22)+N('Бие бялдар'!J22)+N('Бие бялдар'!L22)+N('Бие бялдар'!N22)+N('Бие бялдар'!P22)+N('Бие бялдар'!R22)+N('Бие бялдар'!T22)+N('Танин мэдэхүй'!P22)+N('Танин мэдэхүй'!R22)+N('Танин мэдэхүй'!T22)+N('Танин мэдэхүй'!V22)+N('Танин мэдэхүй'!X22)+N('Танин мэдэхүй'!Z22)+N('Танин мэдэхүй'!AB22)+N('Танин мэдэхүй'!AD22)+N('Нийгэмшил'!J22)+N('Танин мэдэхүй'!AF22)+N('Танин мэдэхүй'!AH22)+N('Танин мэдэхүй'!AJ22)+N('Нийгэмшил'!L22)+N('Танин мэдэхүй'!AL22)+N('Танин мэдэхүй'!AN22))/22*100,1))</f>
        <v/>
      </c>
      <c r="H19" s="12">
        <f>IF(('Бие бялдар'!V22+'Бие бялдар'!X22+'Танин мэдэхүй'!AP22+'Танин мэдэхүй'!AR22+'Нийгэмшил'!V22+'Нийгэмшил'!X22)=0,"",ROUND((N('Нийгэмшил'!N22)+N('Нийгэмшил'!P22)+N('Нийгэмшил'!R22)+N('Нийгэмшил'!T22))/4*100,1))</f>
        <v/>
      </c>
      <c r="I19" s="12">
        <f>IF(('Бие бялдар'!V22+'Бие бялдар'!X22+'Танин мэдэхүй'!AP22+'Танин мэдэхүй'!AR22+'Нийгэмшил'!V22+'Нийгэмшил'!X22)=0,"",ROUND((N('Бие бялдар'!D22)+N('Бие бялдар'!F22)+N('Бие бялдар'!R22)+N('Бие бялдар'!T22)+N('Нийгэмшил'!P22)+N('Нийгэмшил'!R22)+N('Нийгэмшил'!T22))/7*100,1))</f>
        <v/>
      </c>
      <c r="J19" s="12">
        <f>IF(('Бие бялдар'!V22+'Бие бялдар'!X22+'Танин мэдэхүй'!AP22+'Танин мэдэхүй'!AR22+'Нийгэмшил'!V22+'Нийгэмшил'!X22)=0,"",ROUND((N('Бие бялдар'!H22)+N('Бие бялдар'!J22)+N('Бие бялдар'!L22)+N('Бие бялдар'!N22)+N('Бие бялдар'!P22)+N('Танин мэдэхүй'!AD22)+N('Танин мэдэхүй'!AF22)+N('Танин мэдэхүй'!AH22)+N('Танин мэдэхүй'!AJ22))/9*100,1))</f>
        <v/>
      </c>
      <c r="K19" s="12">
        <f>IF(('Бие бялдар'!V22+'Бие бялдар'!X22+'Танин мэдэхүй'!AP22+'Танин мэдэхүй'!AR22+'Нийгэмшил'!V22+'Нийгэмшил'!X22)=0,"",ROUND((N('Танин мэдэхүй'!D22)+N('Нийгэмшил'!H22)+N('Танин мэдэхүй'!P22)+N('Танин мэдэхүй'!R22)+N('Танин мэдэхүй'!T22)+N('Танин мэдэхүй'!V22)+N('Нийгэмшил'!L22))/7*100,1))</f>
        <v/>
      </c>
      <c r="L19" s="12">
        <f>IF(('Бие бялдар'!V22+'Бие бялдар'!X22+'Танин мэдэхүй'!AP22+'Танин мэдэхүй'!AR22+'Нийгэмшил'!V22+'Нийгэмшил'!X22)=0,"",ROUND((N('Танин мэдэхүй'!F22)+N('Танин мэдэхүй'!H22)+N('Танин мэдэхүй'!J22)+N('Нийгэмшил'!D22)+N('Танин мэдэхүй'!L22)+N('Танин мэдэхүй'!N22)+N('Нийгэмшил'!F22)+N('Танин мэдэхүй'!X22)+N('Танин мэдэхүй'!Z22)+N('Танин мэдэхүй'!AB22)+N('Нийгэмшил'!J22)+N('Танин мэдэхүй'!AL22)+N('Танин мэдэхүй'!AN22)+N('Нийгэмшил'!N22))/14*100,1))</f>
        <v/>
      </c>
      <c r="M19" s="14">
        <f>'Бие бялдар'!V22+'Танин мэдэхүй'!AP22+'Нийгэмшил'!V22</f>
        <v/>
      </c>
      <c r="N19" s="12">
        <f>IF(('Бие бялдар'!V22+'Бие бялдар'!X22+'Танин мэдэхүй'!AP22+'Танин мэдэхүй'!AR22+'Нийгэмшил'!V22+'Нийгэмшил'!X22)=0,"",ROUND(M19/37*100,1))</f>
        <v/>
      </c>
      <c r="O19" s="15">
        <f>IF(N19="","",IF(N19&gt;=80,"Хангалттай эзэмшиж байна",IF(N19&gt;=50,"Ахиж байна","Хөгжиж байна")))</f>
        <v/>
      </c>
    </row>
    <row r="20" ht="17" customHeight="1">
      <c r="A20" s="12" t="n">
        <v>14</v>
      </c>
      <c r="B20" s="13" t="n"/>
      <c r="C20" s="12">
        <f>IF(('Бие бялдар'!V23+'Бие бялдар'!X23+'Танин мэдэхүй'!AP23+'Танин мэдэхүй'!AR23+'Нийгэмшил'!V23+'Нийгэмшил'!X23)=0,"",ROUND(('Бие бялдар'!V23)/9*100,1))</f>
        <v/>
      </c>
      <c r="D20" s="12">
        <f>IF(('Бие бялдар'!V23+'Бие бялдар'!X23+'Танин мэдэхүй'!AP23+'Танин мэдэхүй'!AR23+'Нийгэмшил'!V23+'Нийгэмшил'!X23)=0,"",ROUND(('Танин мэдэхүй'!AP23)/19*100,1))</f>
        <v/>
      </c>
      <c r="E20" s="12">
        <f>IF(('Бие бялдар'!V23+'Бие бялдар'!X23+'Танин мэдэхүй'!AP23+'Танин мэдэхүй'!AR23+'Нийгэмшил'!V23+'Нийгэмшил'!X23)=0,"",ROUND(('Нийгэмшил'!V23)/9*100,1))</f>
        <v/>
      </c>
      <c r="F20" s="12">
        <f>IF(('Бие бялдар'!V23+'Бие бялдар'!X23+'Танин мэдэхүй'!AP23+'Танин мэдэхүй'!AR23+'Нийгэмшил'!V23+'Нийгэмшил'!X23)=0,"",ROUND((N('Бие бялдар'!D23)+N('Бие бялдар'!F23)+N('Танин мэдэхүй'!D23)+N('Танин мэдэхүй'!F23)+N('Танин мэдэхүй'!H23)+N('Танин мэдэхүй'!J23)+N('Нийгэмшил'!D23)+N('Танин мэдэхүй'!L23)+N('Танин мэдэхүй'!N23)+N('Нийгэмшил'!F23)+N('Нийгэмшил'!H23))/11*100,1))</f>
        <v/>
      </c>
      <c r="G20" s="12">
        <f>IF(('Бие бялдар'!V23+'Бие бялдар'!X23+'Танин мэдэхүй'!AP23+'Танин мэдэхүй'!AR23+'Нийгэмшил'!V23+'Нийгэмшил'!X23)=0,"",ROUND((N('Бие бялдар'!H23)+N('Бие бялдар'!J23)+N('Бие бялдар'!L23)+N('Бие бялдар'!N23)+N('Бие бялдар'!P23)+N('Бие бялдар'!R23)+N('Бие бялдар'!T23)+N('Танин мэдэхүй'!P23)+N('Танин мэдэхүй'!R23)+N('Танин мэдэхүй'!T23)+N('Танин мэдэхүй'!V23)+N('Танин мэдэхүй'!X23)+N('Танин мэдэхүй'!Z23)+N('Танин мэдэхүй'!AB23)+N('Танин мэдэхүй'!AD23)+N('Нийгэмшил'!J23)+N('Танин мэдэхүй'!AF23)+N('Танин мэдэхүй'!AH23)+N('Танин мэдэхүй'!AJ23)+N('Нийгэмшил'!L23)+N('Танин мэдэхүй'!AL23)+N('Танин мэдэхүй'!AN23))/22*100,1))</f>
        <v/>
      </c>
      <c r="H20" s="12">
        <f>IF(('Бие бялдар'!V23+'Бие бялдар'!X23+'Танин мэдэхүй'!AP23+'Танин мэдэхүй'!AR23+'Нийгэмшил'!V23+'Нийгэмшил'!X23)=0,"",ROUND((N('Нийгэмшил'!N23)+N('Нийгэмшил'!P23)+N('Нийгэмшил'!R23)+N('Нийгэмшил'!T23))/4*100,1))</f>
        <v/>
      </c>
      <c r="I20" s="12">
        <f>IF(('Бие бялдар'!V23+'Бие бялдар'!X23+'Танин мэдэхүй'!AP23+'Танин мэдэхүй'!AR23+'Нийгэмшил'!V23+'Нийгэмшил'!X23)=0,"",ROUND((N('Бие бялдар'!D23)+N('Бие бялдар'!F23)+N('Бие бялдар'!R23)+N('Бие бялдар'!T23)+N('Нийгэмшил'!P23)+N('Нийгэмшил'!R23)+N('Нийгэмшил'!T23))/7*100,1))</f>
        <v/>
      </c>
      <c r="J20" s="12">
        <f>IF(('Бие бялдар'!V23+'Бие бялдар'!X23+'Танин мэдэхүй'!AP23+'Танин мэдэхүй'!AR23+'Нийгэмшил'!V23+'Нийгэмшил'!X23)=0,"",ROUND((N('Бие бялдар'!H23)+N('Бие бялдар'!J23)+N('Бие бялдар'!L23)+N('Бие бялдар'!N23)+N('Бие бялдар'!P23)+N('Танин мэдэхүй'!AD23)+N('Танин мэдэхүй'!AF23)+N('Танин мэдэхүй'!AH23)+N('Танин мэдэхүй'!AJ23))/9*100,1))</f>
        <v/>
      </c>
      <c r="K20" s="12">
        <f>IF(('Бие бялдар'!V23+'Бие бялдар'!X23+'Танин мэдэхүй'!AP23+'Танин мэдэхүй'!AR23+'Нийгэмшил'!V23+'Нийгэмшил'!X23)=0,"",ROUND((N('Танин мэдэхүй'!D23)+N('Нийгэмшил'!H23)+N('Танин мэдэхүй'!P23)+N('Танин мэдэхүй'!R23)+N('Танин мэдэхүй'!T23)+N('Танин мэдэхүй'!V23)+N('Нийгэмшил'!L23))/7*100,1))</f>
        <v/>
      </c>
      <c r="L20" s="12">
        <f>IF(('Бие бялдар'!V23+'Бие бялдар'!X23+'Танин мэдэхүй'!AP23+'Танин мэдэхүй'!AR23+'Нийгэмшил'!V23+'Нийгэмшил'!X23)=0,"",ROUND((N('Танин мэдэхүй'!F23)+N('Танин мэдэхүй'!H23)+N('Танин мэдэхүй'!J23)+N('Нийгэмшил'!D23)+N('Танин мэдэхүй'!L23)+N('Танин мэдэхүй'!N23)+N('Нийгэмшил'!F23)+N('Танин мэдэхүй'!X23)+N('Танин мэдэхүй'!Z23)+N('Танин мэдэхүй'!AB23)+N('Нийгэмшил'!J23)+N('Танин мэдэхүй'!AL23)+N('Танин мэдэхүй'!AN23)+N('Нийгэмшил'!N23))/14*100,1))</f>
        <v/>
      </c>
      <c r="M20" s="14">
        <f>'Бие бялдар'!V23+'Танин мэдэхүй'!AP23+'Нийгэмшил'!V23</f>
        <v/>
      </c>
      <c r="N20" s="12">
        <f>IF(('Бие бялдар'!V23+'Бие бялдар'!X23+'Танин мэдэхүй'!AP23+'Танин мэдэхүй'!AR23+'Нийгэмшил'!V23+'Нийгэмшил'!X23)=0,"",ROUND(M20/37*100,1))</f>
        <v/>
      </c>
      <c r="O20" s="15">
        <f>IF(N20="","",IF(N20&gt;=80,"Хангалттай эзэмшиж байна",IF(N20&gt;=50,"Ахиж байна","Хөгжиж байна")))</f>
        <v/>
      </c>
    </row>
    <row r="21" ht="17" customHeight="1">
      <c r="A21" s="12" t="n">
        <v>15</v>
      </c>
      <c r="B21" s="13" t="n"/>
      <c r="C21" s="12">
        <f>IF(('Бие бялдар'!V24+'Бие бялдар'!X24+'Танин мэдэхүй'!AP24+'Танин мэдэхүй'!AR24+'Нийгэмшил'!V24+'Нийгэмшил'!X24)=0,"",ROUND(('Бие бялдар'!V24)/9*100,1))</f>
        <v/>
      </c>
      <c r="D21" s="12">
        <f>IF(('Бие бялдар'!V24+'Бие бялдар'!X24+'Танин мэдэхүй'!AP24+'Танин мэдэхүй'!AR24+'Нийгэмшил'!V24+'Нийгэмшил'!X24)=0,"",ROUND(('Танин мэдэхүй'!AP24)/19*100,1))</f>
        <v/>
      </c>
      <c r="E21" s="12">
        <f>IF(('Бие бялдар'!V24+'Бие бялдар'!X24+'Танин мэдэхүй'!AP24+'Танин мэдэхүй'!AR24+'Нийгэмшил'!V24+'Нийгэмшил'!X24)=0,"",ROUND(('Нийгэмшил'!V24)/9*100,1))</f>
        <v/>
      </c>
      <c r="F21" s="12">
        <f>IF(('Бие бялдар'!V24+'Бие бялдар'!X24+'Танин мэдэхүй'!AP24+'Танин мэдэхүй'!AR24+'Нийгэмшил'!V24+'Нийгэмшил'!X24)=0,"",ROUND((N('Бие бялдар'!D24)+N('Бие бялдар'!F24)+N('Танин мэдэхүй'!D24)+N('Танин мэдэхүй'!F24)+N('Танин мэдэхүй'!H24)+N('Танин мэдэхүй'!J24)+N('Нийгэмшил'!D24)+N('Танин мэдэхүй'!L24)+N('Танин мэдэхүй'!N24)+N('Нийгэмшил'!F24)+N('Нийгэмшил'!H24))/11*100,1))</f>
        <v/>
      </c>
      <c r="G21" s="12">
        <f>IF(('Бие бялдар'!V24+'Бие бялдар'!X24+'Танин мэдэхүй'!AP24+'Танин мэдэхүй'!AR24+'Нийгэмшил'!V24+'Нийгэмшил'!X24)=0,"",ROUND((N('Бие бялдар'!H24)+N('Бие бялдар'!J24)+N('Бие бялдар'!L24)+N('Бие бялдар'!N24)+N('Бие бялдар'!P24)+N('Бие бялдар'!R24)+N('Бие бялдар'!T24)+N('Танин мэдэхүй'!P24)+N('Танин мэдэхүй'!R24)+N('Танин мэдэхүй'!T24)+N('Танин мэдэхүй'!V24)+N('Танин мэдэхүй'!X24)+N('Танин мэдэхүй'!Z24)+N('Танин мэдэхүй'!AB24)+N('Танин мэдэхүй'!AD24)+N('Нийгэмшил'!J24)+N('Танин мэдэхүй'!AF24)+N('Танин мэдэхүй'!AH24)+N('Танин мэдэхүй'!AJ24)+N('Нийгэмшил'!L24)+N('Танин мэдэхүй'!AL24)+N('Танин мэдэхүй'!AN24))/22*100,1))</f>
        <v/>
      </c>
      <c r="H21" s="12">
        <f>IF(('Бие бялдар'!V24+'Бие бялдар'!X24+'Танин мэдэхүй'!AP24+'Танин мэдэхүй'!AR24+'Нийгэмшил'!V24+'Нийгэмшил'!X24)=0,"",ROUND((N('Нийгэмшил'!N24)+N('Нийгэмшил'!P24)+N('Нийгэмшил'!R24)+N('Нийгэмшил'!T24))/4*100,1))</f>
        <v/>
      </c>
      <c r="I21" s="12">
        <f>IF(('Бие бялдар'!V24+'Бие бялдар'!X24+'Танин мэдэхүй'!AP24+'Танин мэдэхүй'!AR24+'Нийгэмшил'!V24+'Нийгэмшил'!X24)=0,"",ROUND((N('Бие бялдар'!D24)+N('Бие бялдар'!F24)+N('Бие бялдар'!R24)+N('Бие бялдар'!T24)+N('Нийгэмшил'!P24)+N('Нийгэмшил'!R24)+N('Нийгэмшил'!T24))/7*100,1))</f>
        <v/>
      </c>
      <c r="J21" s="12">
        <f>IF(('Бие бялдар'!V24+'Бие бялдар'!X24+'Танин мэдэхүй'!AP24+'Танин мэдэхүй'!AR24+'Нийгэмшил'!V24+'Нийгэмшил'!X24)=0,"",ROUND((N('Бие бялдар'!H24)+N('Бие бялдар'!J24)+N('Бие бялдар'!L24)+N('Бие бялдар'!N24)+N('Бие бялдар'!P24)+N('Танин мэдэхүй'!AD24)+N('Танин мэдэхүй'!AF24)+N('Танин мэдэхүй'!AH24)+N('Танин мэдэхүй'!AJ24))/9*100,1))</f>
        <v/>
      </c>
      <c r="K21" s="12">
        <f>IF(('Бие бялдар'!V24+'Бие бялдар'!X24+'Танин мэдэхүй'!AP24+'Танин мэдэхүй'!AR24+'Нийгэмшил'!V24+'Нийгэмшил'!X24)=0,"",ROUND((N('Танин мэдэхүй'!D24)+N('Нийгэмшил'!H24)+N('Танин мэдэхүй'!P24)+N('Танин мэдэхүй'!R24)+N('Танин мэдэхүй'!T24)+N('Танин мэдэхүй'!V24)+N('Нийгэмшил'!L24))/7*100,1))</f>
        <v/>
      </c>
      <c r="L21" s="12">
        <f>IF(('Бие бялдар'!V24+'Бие бялдар'!X24+'Танин мэдэхүй'!AP24+'Танин мэдэхүй'!AR24+'Нийгэмшил'!V24+'Нийгэмшил'!X24)=0,"",ROUND((N('Танин мэдэхүй'!F24)+N('Танин мэдэхүй'!H24)+N('Танин мэдэхүй'!J24)+N('Нийгэмшил'!D24)+N('Танин мэдэхүй'!L24)+N('Танин мэдэхүй'!N24)+N('Нийгэмшил'!F24)+N('Танин мэдэхүй'!X24)+N('Танин мэдэхүй'!Z24)+N('Танин мэдэхүй'!AB24)+N('Нийгэмшил'!J24)+N('Танин мэдэхүй'!AL24)+N('Танин мэдэхүй'!AN24)+N('Нийгэмшил'!N24))/14*100,1))</f>
        <v/>
      </c>
      <c r="M21" s="14">
        <f>'Бие бялдар'!V24+'Танин мэдэхүй'!AP24+'Нийгэмшил'!V24</f>
        <v/>
      </c>
      <c r="N21" s="12">
        <f>IF(('Бие бялдар'!V24+'Бие бялдар'!X24+'Танин мэдэхүй'!AP24+'Танин мэдэхүй'!AR24+'Нийгэмшил'!V24+'Нийгэмшил'!X24)=0,"",ROUND(M21/37*100,1))</f>
        <v/>
      </c>
      <c r="O21" s="15">
        <f>IF(N21="","",IF(N21&gt;=80,"Хангалттай эзэмшиж байна",IF(N21&gt;=50,"Ахиж байна","Хөгжиж байна")))</f>
        <v/>
      </c>
    </row>
    <row r="22" ht="17" customHeight="1">
      <c r="A22" s="12" t="n">
        <v>16</v>
      </c>
      <c r="B22" s="13" t="n"/>
      <c r="C22" s="12">
        <f>IF(('Бие бялдар'!V25+'Бие бялдар'!X25+'Танин мэдэхүй'!AP25+'Танин мэдэхүй'!AR25+'Нийгэмшил'!V25+'Нийгэмшил'!X25)=0,"",ROUND(('Бие бялдар'!V25)/9*100,1))</f>
        <v/>
      </c>
      <c r="D22" s="12">
        <f>IF(('Бие бялдар'!V25+'Бие бялдар'!X25+'Танин мэдэхүй'!AP25+'Танин мэдэхүй'!AR25+'Нийгэмшил'!V25+'Нийгэмшил'!X25)=0,"",ROUND(('Танин мэдэхүй'!AP25)/19*100,1))</f>
        <v/>
      </c>
      <c r="E22" s="12">
        <f>IF(('Бие бялдар'!V25+'Бие бялдар'!X25+'Танин мэдэхүй'!AP25+'Танин мэдэхүй'!AR25+'Нийгэмшил'!V25+'Нийгэмшил'!X25)=0,"",ROUND(('Нийгэмшил'!V25)/9*100,1))</f>
        <v/>
      </c>
      <c r="F22" s="12">
        <f>IF(('Бие бялдар'!V25+'Бие бялдар'!X25+'Танин мэдэхүй'!AP25+'Танин мэдэхүй'!AR25+'Нийгэмшил'!V25+'Нийгэмшил'!X25)=0,"",ROUND((N('Бие бялдар'!D25)+N('Бие бялдар'!F25)+N('Танин мэдэхүй'!D25)+N('Танин мэдэхүй'!F25)+N('Танин мэдэхүй'!H25)+N('Танин мэдэхүй'!J25)+N('Нийгэмшил'!D25)+N('Танин мэдэхүй'!L25)+N('Танин мэдэхүй'!N25)+N('Нийгэмшил'!F25)+N('Нийгэмшил'!H25))/11*100,1))</f>
        <v/>
      </c>
      <c r="G22" s="12">
        <f>IF(('Бие бялдар'!V25+'Бие бялдар'!X25+'Танин мэдэхүй'!AP25+'Танин мэдэхүй'!AR25+'Нийгэмшил'!V25+'Нийгэмшил'!X25)=0,"",ROUND((N('Бие бялдар'!H25)+N('Бие бялдар'!J25)+N('Бие бялдар'!L25)+N('Бие бялдар'!N25)+N('Бие бялдар'!P25)+N('Бие бялдар'!R25)+N('Бие бялдар'!T25)+N('Танин мэдэхүй'!P25)+N('Танин мэдэхүй'!R25)+N('Танин мэдэхүй'!T25)+N('Танин мэдэхүй'!V25)+N('Танин мэдэхүй'!X25)+N('Танин мэдэхүй'!Z25)+N('Танин мэдэхүй'!AB25)+N('Танин мэдэхүй'!AD25)+N('Нийгэмшил'!J25)+N('Танин мэдэхүй'!AF25)+N('Танин мэдэхүй'!AH25)+N('Танин мэдэхүй'!AJ25)+N('Нийгэмшил'!L25)+N('Танин мэдэхүй'!AL25)+N('Танин мэдэхүй'!AN25))/22*100,1))</f>
        <v/>
      </c>
      <c r="H22" s="12">
        <f>IF(('Бие бялдар'!V25+'Бие бялдар'!X25+'Танин мэдэхүй'!AP25+'Танин мэдэхүй'!AR25+'Нийгэмшил'!V25+'Нийгэмшил'!X25)=0,"",ROUND((N('Нийгэмшил'!N25)+N('Нийгэмшил'!P25)+N('Нийгэмшил'!R25)+N('Нийгэмшил'!T25))/4*100,1))</f>
        <v/>
      </c>
      <c r="I22" s="12">
        <f>IF(('Бие бялдар'!V25+'Бие бялдар'!X25+'Танин мэдэхүй'!AP25+'Танин мэдэхүй'!AR25+'Нийгэмшил'!V25+'Нийгэмшил'!X25)=0,"",ROUND((N('Бие бялдар'!D25)+N('Бие бялдар'!F25)+N('Бие бялдар'!R25)+N('Бие бялдар'!T25)+N('Нийгэмшил'!P25)+N('Нийгэмшил'!R25)+N('Нийгэмшил'!T25))/7*100,1))</f>
        <v/>
      </c>
      <c r="J22" s="12">
        <f>IF(('Бие бялдар'!V25+'Бие бялдар'!X25+'Танин мэдэхүй'!AP25+'Танин мэдэхүй'!AR25+'Нийгэмшил'!V25+'Нийгэмшил'!X25)=0,"",ROUND((N('Бие бялдар'!H25)+N('Бие бялдар'!J25)+N('Бие бялдар'!L25)+N('Бие бялдар'!N25)+N('Бие бялдар'!P25)+N('Танин мэдэхүй'!AD25)+N('Танин мэдэхүй'!AF25)+N('Танин мэдэхүй'!AH25)+N('Танин мэдэхүй'!AJ25))/9*100,1))</f>
        <v/>
      </c>
      <c r="K22" s="12">
        <f>IF(('Бие бялдар'!V25+'Бие бялдар'!X25+'Танин мэдэхүй'!AP25+'Танин мэдэхүй'!AR25+'Нийгэмшил'!V25+'Нийгэмшил'!X25)=0,"",ROUND((N('Танин мэдэхүй'!D25)+N('Нийгэмшил'!H25)+N('Танин мэдэхүй'!P25)+N('Танин мэдэхүй'!R25)+N('Танин мэдэхүй'!T25)+N('Танин мэдэхүй'!V25)+N('Нийгэмшил'!L25))/7*100,1))</f>
        <v/>
      </c>
      <c r="L22" s="12">
        <f>IF(('Бие бялдар'!V25+'Бие бялдар'!X25+'Танин мэдэхүй'!AP25+'Танин мэдэхүй'!AR25+'Нийгэмшил'!V25+'Нийгэмшил'!X25)=0,"",ROUND((N('Танин мэдэхүй'!F25)+N('Танин мэдэхүй'!H25)+N('Танин мэдэхүй'!J25)+N('Нийгэмшил'!D25)+N('Танин мэдэхүй'!L25)+N('Танин мэдэхүй'!N25)+N('Нийгэмшил'!F25)+N('Танин мэдэхүй'!X25)+N('Танин мэдэхүй'!Z25)+N('Танин мэдэхүй'!AB25)+N('Нийгэмшил'!J25)+N('Танин мэдэхүй'!AL25)+N('Танин мэдэхүй'!AN25)+N('Нийгэмшил'!N25))/14*100,1))</f>
        <v/>
      </c>
      <c r="M22" s="14">
        <f>'Бие бялдар'!V25+'Танин мэдэхүй'!AP25+'Нийгэмшил'!V25</f>
        <v/>
      </c>
      <c r="N22" s="12">
        <f>IF(('Бие бялдар'!V25+'Бие бялдар'!X25+'Танин мэдэхүй'!AP25+'Танин мэдэхүй'!AR25+'Нийгэмшил'!V25+'Нийгэмшил'!X25)=0,"",ROUND(M22/37*100,1))</f>
        <v/>
      </c>
      <c r="O22" s="15">
        <f>IF(N22="","",IF(N22&gt;=80,"Хангалттай эзэмшиж байна",IF(N22&gt;=50,"Ахиж байна","Хөгжиж байна")))</f>
        <v/>
      </c>
    </row>
    <row r="23" ht="17" customHeight="1">
      <c r="A23" s="12" t="n">
        <v>17</v>
      </c>
      <c r="B23" s="13" t="n"/>
      <c r="C23" s="12">
        <f>IF(('Бие бялдар'!V26+'Бие бялдар'!X26+'Танин мэдэхүй'!AP26+'Танин мэдэхүй'!AR26+'Нийгэмшил'!V26+'Нийгэмшил'!X26)=0,"",ROUND(('Бие бялдар'!V26)/9*100,1))</f>
        <v/>
      </c>
      <c r="D23" s="12">
        <f>IF(('Бие бялдар'!V26+'Бие бялдар'!X26+'Танин мэдэхүй'!AP26+'Танин мэдэхүй'!AR26+'Нийгэмшил'!V26+'Нийгэмшил'!X26)=0,"",ROUND(('Танин мэдэхүй'!AP26)/19*100,1))</f>
        <v/>
      </c>
      <c r="E23" s="12">
        <f>IF(('Бие бялдар'!V26+'Бие бялдар'!X26+'Танин мэдэхүй'!AP26+'Танин мэдэхүй'!AR26+'Нийгэмшил'!V26+'Нийгэмшил'!X26)=0,"",ROUND(('Нийгэмшил'!V26)/9*100,1))</f>
        <v/>
      </c>
      <c r="F23" s="12">
        <f>IF(('Бие бялдар'!V26+'Бие бялдар'!X26+'Танин мэдэхүй'!AP26+'Танин мэдэхүй'!AR26+'Нийгэмшил'!V26+'Нийгэмшил'!X26)=0,"",ROUND((N('Бие бялдар'!D26)+N('Бие бялдар'!F26)+N('Танин мэдэхүй'!D26)+N('Танин мэдэхүй'!F26)+N('Танин мэдэхүй'!H26)+N('Танин мэдэхүй'!J26)+N('Нийгэмшил'!D26)+N('Танин мэдэхүй'!L26)+N('Танин мэдэхүй'!N26)+N('Нийгэмшил'!F26)+N('Нийгэмшил'!H26))/11*100,1))</f>
        <v/>
      </c>
      <c r="G23" s="12">
        <f>IF(('Бие бялдар'!V26+'Бие бялдар'!X26+'Танин мэдэхүй'!AP26+'Танин мэдэхүй'!AR26+'Нийгэмшил'!V26+'Нийгэмшил'!X26)=0,"",ROUND((N('Бие бялдар'!H26)+N('Бие бялдар'!J26)+N('Бие бялдар'!L26)+N('Бие бялдар'!N26)+N('Бие бялдар'!P26)+N('Бие бялдар'!R26)+N('Бие бялдар'!T26)+N('Танин мэдэхүй'!P26)+N('Танин мэдэхүй'!R26)+N('Танин мэдэхүй'!T26)+N('Танин мэдэхүй'!V26)+N('Танин мэдэхүй'!X26)+N('Танин мэдэхүй'!Z26)+N('Танин мэдэхүй'!AB26)+N('Танин мэдэхүй'!AD26)+N('Нийгэмшил'!J26)+N('Танин мэдэхүй'!AF26)+N('Танин мэдэхүй'!AH26)+N('Танин мэдэхүй'!AJ26)+N('Нийгэмшил'!L26)+N('Танин мэдэхүй'!AL26)+N('Танин мэдэхүй'!AN26))/22*100,1))</f>
        <v/>
      </c>
      <c r="H23" s="12">
        <f>IF(('Бие бялдар'!V26+'Бие бялдар'!X26+'Танин мэдэхүй'!AP26+'Танин мэдэхүй'!AR26+'Нийгэмшил'!V26+'Нийгэмшил'!X26)=0,"",ROUND((N('Нийгэмшил'!N26)+N('Нийгэмшил'!P26)+N('Нийгэмшил'!R26)+N('Нийгэмшил'!T26))/4*100,1))</f>
        <v/>
      </c>
      <c r="I23" s="12">
        <f>IF(('Бие бялдар'!V26+'Бие бялдар'!X26+'Танин мэдэхүй'!AP26+'Танин мэдэхүй'!AR26+'Нийгэмшил'!V26+'Нийгэмшил'!X26)=0,"",ROUND((N('Бие бялдар'!D26)+N('Бие бялдар'!F26)+N('Бие бялдар'!R26)+N('Бие бялдар'!T26)+N('Нийгэмшил'!P26)+N('Нийгэмшил'!R26)+N('Нийгэмшил'!T26))/7*100,1))</f>
        <v/>
      </c>
      <c r="J23" s="12">
        <f>IF(('Бие бялдар'!V26+'Бие бялдар'!X26+'Танин мэдэхүй'!AP26+'Танин мэдэхүй'!AR26+'Нийгэмшил'!V26+'Нийгэмшил'!X26)=0,"",ROUND((N('Бие бялдар'!H26)+N('Бие бялдар'!J26)+N('Бие бялдар'!L26)+N('Бие бялдар'!N26)+N('Бие бялдар'!P26)+N('Танин мэдэхүй'!AD26)+N('Танин мэдэхүй'!AF26)+N('Танин мэдэхүй'!AH26)+N('Танин мэдэхүй'!AJ26))/9*100,1))</f>
        <v/>
      </c>
      <c r="K23" s="12">
        <f>IF(('Бие бялдар'!V26+'Бие бялдар'!X26+'Танин мэдэхүй'!AP26+'Танин мэдэхүй'!AR26+'Нийгэмшил'!V26+'Нийгэмшил'!X26)=0,"",ROUND((N('Танин мэдэхүй'!D26)+N('Нийгэмшил'!H26)+N('Танин мэдэхүй'!P26)+N('Танин мэдэхүй'!R26)+N('Танин мэдэхүй'!T26)+N('Танин мэдэхүй'!V26)+N('Нийгэмшил'!L26))/7*100,1))</f>
        <v/>
      </c>
      <c r="L23" s="12">
        <f>IF(('Бие бялдар'!V26+'Бие бялдар'!X26+'Танин мэдэхүй'!AP26+'Танин мэдэхүй'!AR26+'Нийгэмшил'!V26+'Нийгэмшил'!X26)=0,"",ROUND((N('Танин мэдэхүй'!F26)+N('Танин мэдэхүй'!H26)+N('Танин мэдэхүй'!J26)+N('Нийгэмшил'!D26)+N('Танин мэдэхүй'!L26)+N('Танин мэдэхүй'!N26)+N('Нийгэмшил'!F26)+N('Танин мэдэхүй'!X26)+N('Танин мэдэхүй'!Z26)+N('Танин мэдэхүй'!AB26)+N('Нийгэмшил'!J26)+N('Танин мэдэхүй'!AL26)+N('Танин мэдэхүй'!AN26)+N('Нийгэмшил'!N26))/14*100,1))</f>
        <v/>
      </c>
      <c r="M23" s="14">
        <f>'Бие бялдар'!V26+'Танин мэдэхүй'!AP26+'Нийгэмшил'!V26</f>
        <v/>
      </c>
      <c r="N23" s="12">
        <f>IF(('Бие бялдар'!V26+'Бие бялдар'!X26+'Танин мэдэхүй'!AP26+'Танин мэдэхүй'!AR26+'Нийгэмшил'!V26+'Нийгэмшил'!X26)=0,"",ROUND(M23/37*100,1))</f>
        <v/>
      </c>
      <c r="O23" s="15">
        <f>IF(N23="","",IF(N23&gt;=80,"Хангалттай эзэмшиж байна",IF(N23&gt;=50,"Ахиж байна","Хөгжиж байна")))</f>
        <v/>
      </c>
    </row>
    <row r="24" ht="17" customHeight="1">
      <c r="A24" s="12" t="n">
        <v>18</v>
      </c>
      <c r="B24" s="13" t="n"/>
      <c r="C24" s="12">
        <f>IF(('Бие бялдар'!V27+'Бие бялдар'!X27+'Танин мэдэхүй'!AP27+'Танин мэдэхүй'!AR27+'Нийгэмшил'!V27+'Нийгэмшил'!X27)=0,"",ROUND(('Бие бялдар'!V27)/9*100,1))</f>
        <v/>
      </c>
      <c r="D24" s="12">
        <f>IF(('Бие бялдар'!V27+'Бие бялдар'!X27+'Танин мэдэхүй'!AP27+'Танин мэдэхүй'!AR27+'Нийгэмшил'!V27+'Нийгэмшил'!X27)=0,"",ROUND(('Танин мэдэхүй'!AP27)/19*100,1))</f>
        <v/>
      </c>
      <c r="E24" s="12">
        <f>IF(('Бие бялдар'!V27+'Бие бялдар'!X27+'Танин мэдэхүй'!AP27+'Танин мэдэхүй'!AR27+'Нийгэмшил'!V27+'Нийгэмшил'!X27)=0,"",ROUND(('Нийгэмшил'!V27)/9*100,1))</f>
        <v/>
      </c>
      <c r="F24" s="12">
        <f>IF(('Бие бялдар'!V27+'Бие бялдар'!X27+'Танин мэдэхүй'!AP27+'Танин мэдэхүй'!AR27+'Нийгэмшил'!V27+'Нийгэмшил'!X27)=0,"",ROUND((N('Бие бялдар'!D27)+N('Бие бялдар'!F27)+N('Танин мэдэхүй'!D27)+N('Танин мэдэхүй'!F27)+N('Танин мэдэхүй'!H27)+N('Танин мэдэхүй'!J27)+N('Нийгэмшил'!D27)+N('Танин мэдэхүй'!L27)+N('Танин мэдэхүй'!N27)+N('Нийгэмшил'!F27)+N('Нийгэмшил'!H27))/11*100,1))</f>
        <v/>
      </c>
      <c r="G24" s="12">
        <f>IF(('Бие бялдар'!V27+'Бие бялдар'!X27+'Танин мэдэхүй'!AP27+'Танин мэдэхүй'!AR27+'Нийгэмшил'!V27+'Нийгэмшил'!X27)=0,"",ROUND((N('Бие бялдар'!H27)+N('Бие бялдар'!J27)+N('Бие бялдар'!L27)+N('Бие бялдар'!N27)+N('Бие бялдар'!P27)+N('Бие бялдар'!R27)+N('Бие бялдар'!T27)+N('Танин мэдэхүй'!P27)+N('Танин мэдэхүй'!R27)+N('Танин мэдэхүй'!T27)+N('Танин мэдэхүй'!V27)+N('Танин мэдэхүй'!X27)+N('Танин мэдэхүй'!Z27)+N('Танин мэдэхүй'!AB27)+N('Танин мэдэхүй'!AD27)+N('Нийгэмшил'!J27)+N('Танин мэдэхүй'!AF27)+N('Танин мэдэхүй'!AH27)+N('Танин мэдэхүй'!AJ27)+N('Нийгэмшил'!L27)+N('Танин мэдэхүй'!AL27)+N('Танин мэдэхүй'!AN27))/22*100,1))</f>
        <v/>
      </c>
      <c r="H24" s="12">
        <f>IF(('Бие бялдар'!V27+'Бие бялдар'!X27+'Танин мэдэхүй'!AP27+'Танин мэдэхүй'!AR27+'Нийгэмшил'!V27+'Нийгэмшил'!X27)=0,"",ROUND((N('Нийгэмшил'!N27)+N('Нийгэмшил'!P27)+N('Нийгэмшил'!R27)+N('Нийгэмшил'!T27))/4*100,1))</f>
        <v/>
      </c>
      <c r="I24" s="12">
        <f>IF(('Бие бялдар'!V27+'Бие бялдар'!X27+'Танин мэдэхүй'!AP27+'Танин мэдэхүй'!AR27+'Нийгэмшил'!V27+'Нийгэмшил'!X27)=0,"",ROUND((N('Бие бялдар'!D27)+N('Бие бялдар'!F27)+N('Бие бялдар'!R27)+N('Бие бялдар'!T27)+N('Нийгэмшил'!P27)+N('Нийгэмшил'!R27)+N('Нийгэмшил'!T27))/7*100,1))</f>
        <v/>
      </c>
      <c r="J24" s="12">
        <f>IF(('Бие бялдар'!V27+'Бие бялдар'!X27+'Танин мэдэхүй'!AP27+'Танин мэдэхүй'!AR27+'Нийгэмшил'!V27+'Нийгэмшил'!X27)=0,"",ROUND((N('Бие бялдар'!H27)+N('Бие бялдар'!J27)+N('Бие бялдар'!L27)+N('Бие бялдар'!N27)+N('Бие бялдар'!P27)+N('Танин мэдэхүй'!AD27)+N('Танин мэдэхүй'!AF27)+N('Танин мэдэхүй'!AH27)+N('Танин мэдэхүй'!AJ27))/9*100,1))</f>
        <v/>
      </c>
      <c r="K24" s="12">
        <f>IF(('Бие бялдар'!V27+'Бие бялдар'!X27+'Танин мэдэхүй'!AP27+'Танин мэдэхүй'!AR27+'Нийгэмшил'!V27+'Нийгэмшил'!X27)=0,"",ROUND((N('Танин мэдэхүй'!D27)+N('Нийгэмшил'!H27)+N('Танин мэдэхүй'!P27)+N('Танин мэдэхүй'!R27)+N('Танин мэдэхүй'!T27)+N('Танин мэдэхүй'!V27)+N('Нийгэмшил'!L27))/7*100,1))</f>
        <v/>
      </c>
      <c r="L24" s="12">
        <f>IF(('Бие бялдар'!V27+'Бие бялдар'!X27+'Танин мэдэхүй'!AP27+'Танин мэдэхүй'!AR27+'Нийгэмшил'!V27+'Нийгэмшил'!X27)=0,"",ROUND((N('Танин мэдэхүй'!F27)+N('Танин мэдэхүй'!H27)+N('Танин мэдэхүй'!J27)+N('Нийгэмшил'!D27)+N('Танин мэдэхүй'!L27)+N('Танин мэдэхүй'!N27)+N('Нийгэмшил'!F27)+N('Танин мэдэхүй'!X27)+N('Танин мэдэхүй'!Z27)+N('Танин мэдэхүй'!AB27)+N('Нийгэмшил'!J27)+N('Танин мэдэхүй'!AL27)+N('Танин мэдэхүй'!AN27)+N('Нийгэмшил'!N27))/14*100,1))</f>
        <v/>
      </c>
      <c r="M24" s="14">
        <f>'Бие бялдар'!V27+'Танин мэдэхүй'!AP27+'Нийгэмшил'!V27</f>
        <v/>
      </c>
      <c r="N24" s="12">
        <f>IF(('Бие бялдар'!V27+'Бие бялдар'!X27+'Танин мэдэхүй'!AP27+'Танин мэдэхүй'!AR27+'Нийгэмшил'!V27+'Нийгэмшил'!X27)=0,"",ROUND(M24/37*100,1))</f>
        <v/>
      </c>
      <c r="O24" s="15">
        <f>IF(N24="","",IF(N24&gt;=80,"Хангалттай эзэмшиж байна",IF(N24&gt;=50,"Ахиж байна","Хөгжиж байна")))</f>
        <v/>
      </c>
    </row>
    <row r="25" ht="17" customHeight="1">
      <c r="A25" s="12" t="n">
        <v>19</v>
      </c>
      <c r="B25" s="13" t="n"/>
      <c r="C25" s="12">
        <f>IF(('Бие бялдар'!V28+'Бие бялдар'!X28+'Танин мэдэхүй'!AP28+'Танин мэдэхүй'!AR28+'Нийгэмшил'!V28+'Нийгэмшил'!X28)=0,"",ROUND(('Бие бялдар'!V28)/9*100,1))</f>
        <v/>
      </c>
      <c r="D25" s="12">
        <f>IF(('Бие бялдар'!V28+'Бие бялдар'!X28+'Танин мэдэхүй'!AP28+'Танин мэдэхүй'!AR28+'Нийгэмшил'!V28+'Нийгэмшил'!X28)=0,"",ROUND(('Танин мэдэхүй'!AP28)/19*100,1))</f>
        <v/>
      </c>
      <c r="E25" s="12">
        <f>IF(('Бие бялдар'!V28+'Бие бялдар'!X28+'Танин мэдэхүй'!AP28+'Танин мэдэхүй'!AR28+'Нийгэмшил'!V28+'Нийгэмшил'!X28)=0,"",ROUND(('Нийгэмшил'!V28)/9*100,1))</f>
        <v/>
      </c>
      <c r="F25" s="12">
        <f>IF(('Бие бялдар'!V28+'Бие бялдар'!X28+'Танин мэдэхүй'!AP28+'Танин мэдэхүй'!AR28+'Нийгэмшил'!V28+'Нийгэмшил'!X28)=0,"",ROUND((N('Бие бялдар'!D28)+N('Бие бялдар'!F28)+N('Танин мэдэхүй'!D28)+N('Танин мэдэхүй'!F28)+N('Танин мэдэхүй'!H28)+N('Танин мэдэхүй'!J28)+N('Нийгэмшил'!D28)+N('Танин мэдэхүй'!L28)+N('Танин мэдэхүй'!N28)+N('Нийгэмшил'!F28)+N('Нийгэмшил'!H28))/11*100,1))</f>
        <v/>
      </c>
      <c r="G25" s="12">
        <f>IF(('Бие бялдар'!V28+'Бие бялдар'!X28+'Танин мэдэхүй'!AP28+'Танин мэдэхүй'!AR28+'Нийгэмшил'!V28+'Нийгэмшил'!X28)=0,"",ROUND((N('Бие бялдар'!H28)+N('Бие бялдар'!J28)+N('Бие бялдар'!L28)+N('Бие бялдар'!N28)+N('Бие бялдар'!P28)+N('Бие бялдар'!R28)+N('Бие бялдар'!T28)+N('Танин мэдэхүй'!P28)+N('Танин мэдэхүй'!R28)+N('Танин мэдэхүй'!T28)+N('Танин мэдэхүй'!V28)+N('Танин мэдэхүй'!X28)+N('Танин мэдэхүй'!Z28)+N('Танин мэдэхүй'!AB28)+N('Танин мэдэхүй'!AD28)+N('Нийгэмшил'!J28)+N('Танин мэдэхүй'!AF28)+N('Танин мэдэхүй'!AH28)+N('Танин мэдэхүй'!AJ28)+N('Нийгэмшил'!L28)+N('Танин мэдэхүй'!AL28)+N('Танин мэдэхүй'!AN28))/22*100,1))</f>
        <v/>
      </c>
      <c r="H25" s="12">
        <f>IF(('Бие бялдар'!V28+'Бие бялдар'!X28+'Танин мэдэхүй'!AP28+'Танин мэдэхүй'!AR28+'Нийгэмшил'!V28+'Нийгэмшил'!X28)=0,"",ROUND((N('Нийгэмшил'!N28)+N('Нийгэмшил'!P28)+N('Нийгэмшил'!R28)+N('Нийгэмшил'!T28))/4*100,1))</f>
        <v/>
      </c>
      <c r="I25" s="12">
        <f>IF(('Бие бялдар'!V28+'Бие бялдар'!X28+'Танин мэдэхүй'!AP28+'Танин мэдэхүй'!AR28+'Нийгэмшил'!V28+'Нийгэмшил'!X28)=0,"",ROUND((N('Бие бялдар'!D28)+N('Бие бялдар'!F28)+N('Бие бялдар'!R28)+N('Бие бялдар'!T28)+N('Нийгэмшил'!P28)+N('Нийгэмшил'!R28)+N('Нийгэмшил'!T28))/7*100,1))</f>
        <v/>
      </c>
      <c r="J25" s="12">
        <f>IF(('Бие бялдар'!V28+'Бие бялдар'!X28+'Танин мэдэхүй'!AP28+'Танин мэдэхүй'!AR28+'Нийгэмшил'!V28+'Нийгэмшил'!X28)=0,"",ROUND((N('Бие бялдар'!H28)+N('Бие бялдар'!J28)+N('Бие бялдар'!L28)+N('Бие бялдар'!N28)+N('Бие бялдар'!P28)+N('Танин мэдэхүй'!AD28)+N('Танин мэдэхүй'!AF28)+N('Танин мэдэхүй'!AH28)+N('Танин мэдэхүй'!AJ28))/9*100,1))</f>
        <v/>
      </c>
      <c r="K25" s="12">
        <f>IF(('Бие бялдар'!V28+'Бие бялдар'!X28+'Танин мэдэхүй'!AP28+'Танин мэдэхүй'!AR28+'Нийгэмшил'!V28+'Нийгэмшил'!X28)=0,"",ROUND((N('Танин мэдэхүй'!D28)+N('Нийгэмшил'!H28)+N('Танин мэдэхүй'!P28)+N('Танин мэдэхүй'!R28)+N('Танин мэдэхүй'!T28)+N('Танин мэдэхүй'!V28)+N('Нийгэмшил'!L28))/7*100,1))</f>
        <v/>
      </c>
      <c r="L25" s="12">
        <f>IF(('Бие бялдар'!V28+'Бие бялдар'!X28+'Танин мэдэхүй'!AP28+'Танин мэдэхүй'!AR28+'Нийгэмшил'!V28+'Нийгэмшил'!X28)=0,"",ROUND((N('Танин мэдэхүй'!F28)+N('Танин мэдэхүй'!H28)+N('Танин мэдэхүй'!J28)+N('Нийгэмшил'!D28)+N('Танин мэдэхүй'!L28)+N('Танин мэдэхүй'!N28)+N('Нийгэмшил'!F28)+N('Танин мэдэхүй'!X28)+N('Танин мэдэхүй'!Z28)+N('Танин мэдэхүй'!AB28)+N('Нийгэмшил'!J28)+N('Танин мэдэхүй'!AL28)+N('Танин мэдэхүй'!AN28)+N('Нийгэмшил'!N28))/14*100,1))</f>
        <v/>
      </c>
      <c r="M25" s="14">
        <f>'Бие бялдар'!V28+'Танин мэдэхүй'!AP28+'Нийгэмшил'!V28</f>
        <v/>
      </c>
      <c r="N25" s="12">
        <f>IF(('Бие бялдар'!V28+'Бие бялдар'!X28+'Танин мэдэхүй'!AP28+'Танин мэдэхүй'!AR28+'Нийгэмшил'!V28+'Нийгэмшил'!X28)=0,"",ROUND(M25/37*100,1))</f>
        <v/>
      </c>
      <c r="O25" s="15">
        <f>IF(N25="","",IF(N25&gt;=80,"Хангалттай эзэмшиж байна",IF(N25&gt;=50,"Ахиж байна","Хөгжиж байна")))</f>
        <v/>
      </c>
    </row>
    <row r="26" ht="17" customHeight="1">
      <c r="A26" s="12" t="n">
        <v>20</v>
      </c>
      <c r="B26" s="13" t="n"/>
      <c r="C26" s="12">
        <f>IF(('Бие бялдар'!V29+'Бие бялдар'!X29+'Танин мэдэхүй'!AP29+'Танин мэдэхүй'!AR29+'Нийгэмшил'!V29+'Нийгэмшил'!X29)=0,"",ROUND(('Бие бялдар'!V29)/9*100,1))</f>
        <v/>
      </c>
      <c r="D26" s="12">
        <f>IF(('Бие бялдар'!V29+'Бие бялдар'!X29+'Танин мэдэхүй'!AP29+'Танин мэдэхүй'!AR29+'Нийгэмшил'!V29+'Нийгэмшил'!X29)=0,"",ROUND(('Танин мэдэхүй'!AP29)/19*100,1))</f>
        <v/>
      </c>
      <c r="E26" s="12">
        <f>IF(('Бие бялдар'!V29+'Бие бялдар'!X29+'Танин мэдэхүй'!AP29+'Танин мэдэхүй'!AR29+'Нийгэмшил'!V29+'Нийгэмшил'!X29)=0,"",ROUND(('Нийгэмшил'!V29)/9*100,1))</f>
        <v/>
      </c>
      <c r="F26" s="12">
        <f>IF(('Бие бялдар'!V29+'Бие бялдар'!X29+'Танин мэдэхүй'!AP29+'Танин мэдэхүй'!AR29+'Нийгэмшил'!V29+'Нийгэмшил'!X29)=0,"",ROUND((N('Бие бялдар'!D29)+N('Бие бялдар'!F29)+N('Танин мэдэхүй'!D29)+N('Танин мэдэхүй'!F29)+N('Танин мэдэхүй'!H29)+N('Танин мэдэхүй'!J29)+N('Нийгэмшил'!D29)+N('Танин мэдэхүй'!L29)+N('Танин мэдэхүй'!N29)+N('Нийгэмшил'!F29)+N('Нийгэмшил'!H29))/11*100,1))</f>
        <v/>
      </c>
      <c r="G26" s="12">
        <f>IF(('Бие бялдар'!V29+'Бие бялдар'!X29+'Танин мэдэхүй'!AP29+'Танин мэдэхүй'!AR29+'Нийгэмшил'!V29+'Нийгэмшил'!X29)=0,"",ROUND((N('Бие бялдар'!H29)+N('Бие бялдар'!J29)+N('Бие бялдар'!L29)+N('Бие бялдар'!N29)+N('Бие бялдар'!P29)+N('Бие бялдар'!R29)+N('Бие бялдар'!T29)+N('Танин мэдэхүй'!P29)+N('Танин мэдэхүй'!R29)+N('Танин мэдэхүй'!T29)+N('Танин мэдэхүй'!V29)+N('Танин мэдэхүй'!X29)+N('Танин мэдэхүй'!Z29)+N('Танин мэдэхүй'!AB29)+N('Танин мэдэхүй'!AD29)+N('Нийгэмшил'!J29)+N('Танин мэдэхүй'!AF29)+N('Танин мэдэхүй'!AH29)+N('Танин мэдэхүй'!AJ29)+N('Нийгэмшил'!L29)+N('Танин мэдэхүй'!AL29)+N('Танин мэдэхүй'!AN29))/22*100,1))</f>
        <v/>
      </c>
      <c r="H26" s="12">
        <f>IF(('Бие бялдар'!V29+'Бие бялдар'!X29+'Танин мэдэхүй'!AP29+'Танин мэдэхүй'!AR29+'Нийгэмшил'!V29+'Нийгэмшил'!X29)=0,"",ROUND((N('Нийгэмшил'!N29)+N('Нийгэмшил'!P29)+N('Нийгэмшил'!R29)+N('Нийгэмшил'!T29))/4*100,1))</f>
        <v/>
      </c>
      <c r="I26" s="12">
        <f>IF(('Бие бялдар'!V29+'Бие бялдар'!X29+'Танин мэдэхүй'!AP29+'Танин мэдэхүй'!AR29+'Нийгэмшил'!V29+'Нийгэмшил'!X29)=0,"",ROUND((N('Бие бялдар'!D29)+N('Бие бялдар'!F29)+N('Бие бялдар'!R29)+N('Бие бялдар'!T29)+N('Нийгэмшил'!P29)+N('Нийгэмшил'!R29)+N('Нийгэмшил'!T29))/7*100,1))</f>
        <v/>
      </c>
      <c r="J26" s="12">
        <f>IF(('Бие бялдар'!V29+'Бие бялдар'!X29+'Танин мэдэхүй'!AP29+'Танин мэдэхүй'!AR29+'Нийгэмшил'!V29+'Нийгэмшил'!X29)=0,"",ROUND((N('Бие бялдар'!H29)+N('Бие бялдар'!J29)+N('Бие бялдар'!L29)+N('Бие бялдар'!N29)+N('Бие бялдар'!P29)+N('Танин мэдэхүй'!AD29)+N('Танин мэдэхүй'!AF29)+N('Танин мэдэхүй'!AH29)+N('Танин мэдэхүй'!AJ29))/9*100,1))</f>
        <v/>
      </c>
      <c r="K26" s="12">
        <f>IF(('Бие бялдар'!V29+'Бие бялдар'!X29+'Танин мэдэхүй'!AP29+'Танин мэдэхүй'!AR29+'Нийгэмшил'!V29+'Нийгэмшил'!X29)=0,"",ROUND((N('Танин мэдэхүй'!D29)+N('Нийгэмшил'!H29)+N('Танин мэдэхүй'!P29)+N('Танин мэдэхүй'!R29)+N('Танин мэдэхүй'!T29)+N('Танин мэдэхүй'!V29)+N('Нийгэмшил'!L29))/7*100,1))</f>
        <v/>
      </c>
      <c r="L26" s="12">
        <f>IF(('Бие бялдар'!V29+'Бие бялдар'!X29+'Танин мэдэхүй'!AP29+'Танин мэдэхүй'!AR29+'Нийгэмшил'!V29+'Нийгэмшил'!X29)=0,"",ROUND((N('Танин мэдэхүй'!F29)+N('Танин мэдэхүй'!H29)+N('Танин мэдэхүй'!J29)+N('Нийгэмшил'!D29)+N('Танин мэдэхүй'!L29)+N('Танин мэдэхүй'!N29)+N('Нийгэмшил'!F29)+N('Танин мэдэхүй'!X29)+N('Танин мэдэхүй'!Z29)+N('Танин мэдэхүй'!AB29)+N('Нийгэмшил'!J29)+N('Танин мэдэхүй'!AL29)+N('Танин мэдэхүй'!AN29)+N('Нийгэмшил'!N29))/14*100,1))</f>
        <v/>
      </c>
      <c r="M26" s="14">
        <f>'Бие бялдар'!V29+'Танин мэдэхүй'!AP29+'Нийгэмшил'!V29</f>
        <v/>
      </c>
      <c r="N26" s="12">
        <f>IF(('Бие бялдар'!V29+'Бие бялдар'!X29+'Танин мэдэхүй'!AP29+'Танин мэдэхүй'!AR29+'Нийгэмшил'!V29+'Нийгэмшил'!X29)=0,"",ROUND(M26/37*100,1))</f>
        <v/>
      </c>
      <c r="O26" s="15">
        <f>IF(N26="","",IF(N26&gt;=80,"Хангалттай эзэмшиж байна",IF(N26&gt;=50,"Ахиж байна","Хөгжиж байна")))</f>
        <v/>
      </c>
    </row>
    <row r="27" ht="17" customHeight="1">
      <c r="A27" s="12" t="n">
        <v>21</v>
      </c>
      <c r="B27" s="13" t="n"/>
      <c r="C27" s="12">
        <f>IF(('Бие бялдар'!V30+'Бие бялдар'!X30+'Танин мэдэхүй'!AP30+'Танин мэдэхүй'!AR30+'Нийгэмшил'!V30+'Нийгэмшил'!X30)=0,"",ROUND(('Бие бялдар'!V30)/9*100,1))</f>
        <v/>
      </c>
      <c r="D27" s="12">
        <f>IF(('Бие бялдар'!V30+'Бие бялдар'!X30+'Танин мэдэхүй'!AP30+'Танин мэдэхүй'!AR30+'Нийгэмшил'!V30+'Нийгэмшил'!X30)=0,"",ROUND(('Танин мэдэхүй'!AP30)/19*100,1))</f>
        <v/>
      </c>
      <c r="E27" s="12">
        <f>IF(('Бие бялдар'!V30+'Бие бялдар'!X30+'Танин мэдэхүй'!AP30+'Танин мэдэхүй'!AR30+'Нийгэмшил'!V30+'Нийгэмшил'!X30)=0,"",ROUND(('Нийгэмшил'!V30)/9*100,1))</f>
        <v/>
      </c>
      <c r="F27" s="12">
        <f>IF(('Бие бялдар'!V30+'Бие бялдар'!X30+'Танин мэдэхүй'!AP30+'Танин мэдэхүй'!AR30+'Нийгэмшил'!V30+'Нийгэмшил'!X30)=0,"",ROUND((N('Бие бялдар'!D30)+N('Бие бялдар'!F30)+N('Танин мэдэхүй'!D30)+N('Танин мэдэхүй'!F30)+N('Танин мэдэхүй'!H30)+N('Танин мэдэхүй'!J30)+N('Нийгэмшил'!D30)+N('Танин мэдэхүй'!L30)+N('Танин мэдэхүй'!N30)+N('Нийгэмшил'!F30)+N('Нийгэмшил'!H30))/11*100,1))</f>
        <v/>
      </c>
      <c r="G27" s="12">
        <f>IF(('Бие бялдар'!V30+'Бие бялдар'!X30+'Танин мэдэхүй'!AP30+'Танин мэдэхүй'!AR30+'Нийгэмшил'!V30+'Нийгэмшил'!X30)=0,"",ROUND((N('Бие бялдар'!H30)+N('Бие бялдар'!J30)+N('Бие бялдар'!L30)+N('Бие бялдар'!N30)+N('Бие бялдар'!P30)+N('Бие бялдар'!R30)+N('Бие бялдар'!T30)+N('Танин мэдэхүй'!P30)+N('Танин мэдэхүй'!R30)+N('Танин мэдэхүй'!T30)+N('Танин мэдэхүй'!V30)+N('Танин мэдэхүй'!X30)+N('Танин мэдэхүй'!Z30)+N('Танин мэдэхүй'!AB30)+N('Танин мэдэхүй'!AD30)+N('Нийгэмшил'!J30)+N('Танин мэдэхүй'!AF30)+N('Танин мэдэхүй'!AH30)+N('Танин мэдэхүй'!AJ30)+N('Нийгэмшил'!L30)+N('Танин мэдэхүй'!AL30)+N('Танин мэдэхүй'!AN30))/22*100,1))</f>
        <v/>
      </c>
      <c r="H27" s="12">
        <f>IF(('Бие бялдар'!V30+'Бие бялдар'!X30+'Танин мэдэхүй'!AP30+'Танин мэдэхүй'!AR30+'Нийгэмшил'!V30+'Нийгэмшил'!X30)=0,"",ROUND((N('Нийгэмшил'!N30)+N('Нийгэмшил'!P30)+N('Нийгэмшил'!R30)+N('Нийгэмшил'!T30))/4*100,1))</f>
        <v/>
      </c>
      <c r="I27" s="12">
        <f>IF(('Бие бялдар'!V30+'Бие бялдар'!X30+'Танин мэдэхүй'!AP30+'Танин мэдэхүй'!AR30+'Нийгэмшил'!V30+'Нийгэмшил'!X30)=0,"",ROUND((N('Бие бялдар'!D30)+N('Бие бялдар'!F30)+N('Бие бялдар'!R30)+N('Бие бялдар'!T30)+N('Нийгэмшил'!P30)+N('Нийгэмшил'!R30)+N('Нийгэмшил'!T30))/7*100,1))</f>
        <v/>
      </c>
      <c r="J27" s="12">
        <f>IF(('Бие бялдар'!V30+'Бие бялдар'!X30+'Танин мэдэхүй'!AP30+'Танин мэдэхүй'!AR30+'Нийгэмшил'!V30+'Нийгэмшил'!X30)=0,"",ROUND((N('Бие бялдар'!H30)+N('Бие бялдар'!J30)+N('Бие бялдар'!L30)+N('Бие бялдар'!N30)+N('Бие бялдар'!P30)+N('Танин мэдэхүй'!AD30)+N('Танин мэдэхүй'!AF30)+N('Танин мэдэхүй'!AH30)+N('Танин мэдэхүй'!AJ30))/9*100,1))</f>
        <v/>
      </c>
      <c r="K27" s="12">
        <f>IF(('Бие бялдар'!V30+'Бие бялдар'!X30+'Танин мэдэхүй'!AP30+'Танин мэдэхүй'!AR30+'Нийгэмшил'!V30+'Нийгэмшил'!X30)=0,"",ROUND((N('Танин мэдэхүй'!D30)+N('Нийгэмшил'!H30)+N('Танин мэдэхүй'!P30)+N('Танин мэдэхүй'!R30)+N('Танин мэдэхүй'!T30)+N('Танин мэдэхүй'!V30)+N('Нийгэмшил'!L30))/7*100,1))</f>
        <v/>
      </c>
      <c r="L27" s="12">
        <f>IF(('Бие бялдар'!V30+'Бие бялдар'!X30+'Танин мэдэхүй'!AP30+'Танин мэдэхүй'!AR30+'Нийгэмшил'!V30+'Нийгэмшил'!X30)=0,"",ROUND((N('Танин мэдэхүй'!F30)+N('Танин мэдэхүй'!H30)+N('Танин мэдэхүй'!J30)+N('Нийгэмшил'!D30)+N('Танин мэдэхүй'!L30)+N('Танин мэдэхүй'!N30)+N('Нийгэмшил'!F30)+N('Танин мэдэхүй'!X30)+N('Танин мэдэхүй'!Z30)+N('Танин мэдэхүй'!AB30)+N('Нийгэмшил'!J30)+N('Танин мэдэхүй'!AL30)+N('Танин мэдэхүй'!AN30)+N('Нийгэмшил'!N30))/14*100,1))</f>
        <v/>
      </c>
      <c r="M27" s="14">
        <f>'Бие бялдар'!V30+'Танин мэдэхүй'!AP30+'Нийгэмшил'!V30</f>
        <v/>
      </c>
      <c r="N27" s="12">
        <f>IF(('Бие бялдар'!V30+'Бие бялдар'!X30+'Танин мэдэхүй'!AP30+'Танин мэдэхүй'!AR30+'Нийгэмшил'!V30+'Нийгэмшил'!X30)=0,"",ROUND(M27/37*100,1))</f>
        <v/>
      </c>
      <c r="O27" s="15">
        <f>IF(N27="","",IF(N27&gt;=80,"Хангалттай эзэмшиж байна",IF(N27&gt;=50,"Ахиж байна","Хөгжиж байна")))</f>
        <v/>
      </c>
    </row>
    <row r="28" ht="17" customHeight="1">
      <c r="A28" s="12" t="n">
        <v>22</v>
      </c>
      <c r="B28" s="13" t="n"/>
      <c r="C28" s="12">
        <f>IF(('Бие бялдар'!V31+'Бие бялдар'!X31+'Танин мэдэхүй'!AP31+'Танин мэдэхүй'!AR31+'Нийгэмшил'!V31+'Нийгэмшил'!X31)=0,"",ROUND(('Бие бялдар'!V31)/9*100,1))</f>
        <v/>
      </c>
      <c r="D28" s="12">
        <f>IF(('Бие бялдар'!V31+'Бие бялдар'!X31+'Танин мэдэхүй'!AP31+'Танин мэдэхүй'!AR31+'Нийгэмшил'!V31+'Нийгэмшил'!X31)=0,"",ROUND(('Танин мэдэхүй'!AP31)/19*100,1))</f>
        <v/>
      </c>
      <c r="E28" s="12">
        <f>IF(('Бие бялдар'!V31+'Бие бялдар'!X31+'Танин мэдэхүй'!AP31+'Танин мэдэхүй'!AR31+'Нийгэмшил'!V31+'Нийгэмшил'!X31)=0,"",ROUND(('Нийгэмшил'!V31)/9*100,1))</f>
        <v/>
      </c>
      <c r="F28" s="12">
        <f>IF(('Бие бялдар'!V31+'Бие бялдар'!X31+'Танин мэдэхүй'!AP31+'Танин мэдэхүй'!AR31+'Нийгэмшил'!V31+'Нийгэмшил'!X31)=0,"",ROUND((N('Бие бялдар'!D31)+N('Бие бялдар'!F31)+N('Танин мэдэхүй'!D31)+N('Танин мэдэхүй'!F31)+N('Танин мэдэхүй'!H31)+N('Танин мэдэхүй'!J31)+N('Нийгэмшил'!D31)+N('Танин мэдэхүй'!L31)+N('Танин мэдэхүй'!N31)+N('Нийгэмшил'!F31)+N('Нийгэмшил'!H31))/11*100,1))</f>
        <v/>
      </c>
      <c r="G28" s="12">
        <f>IF(('Бие бялдар'!V31+'Бие бялдар'!X31+'Танин мэдэхүй'!AP31+'Танин мэдэхүй'!AR31+'Нийгэмшил'!V31+'Нийгэмшил'!X31)=0,"",ROUND((N('Бие бялдар'!H31)+N('Бие бялдар'!J31)+N('Бие бялдар'!L31)+N('Бие бялдар'!N31)+N('Бие бялдар'!P31)+N('Бие бялдар'!R31)+N('Бие бялдар'!T31)+N('Танин мэдэхүй'!P31)+N('Танин мэдэхүй'!R31)+N('Танин мэдэхүй'!T31)+N('Танин мэдэхүй'!V31)+N('Танин мэдэхүй'!X31)+N('Танин мэдэхүй'!Z31)+N('Танин мэдэхүй'!AB31)+N('Танин мэдэхүй'!AD31)+N('Нийгэмшил'!J31)+N('Танин мэдэхүй'!AF31)+N('Танин мэдэхүй'!AH31)+N('Танин мэдэхүй'!AJ31)+N('Нийгэмшил'!L31)+N('Танин мэдэхүй'!AL31)+N('Танин мэдэхүй'!AN31))/22*100,1))</f>
        <v/>
      </c>
      <c r="H28" s="12">
        <f>IF(('Бие бялдар'!V31+'Бие бялдар'!X31+'Танин мэдэхүй'!AP31+'Танин мэдэхүй'!AR31+'Нийгэмшил'!V31+'Нийгэмшил'!X31)=0,"",ROUND((N('Нийгэмшил'!N31)+N('Нийгэмшил'!P31)+N('Нийгэмшил'!R31)+N('Нийгэмшил'!T31))/4*100,1))</f>
        <v/>
      </c>
      <c r="I28" s="12">
        <f>IF(('Бие бялдар'!V31+'Бие бялдар'!X31+'Танин мэдэхүй'!AP31+'Танин мэдэхүй'!AR31+'Нийгэмшил'!V31+'Нийгэмшил'!X31)=0,"",ROUND((N('Бие бялдар'!D31)+N('Бие бялдар'!F31)+N('Бие бялдар'!R31)+N('Бие бялдар'!T31)+N('Нийгэмшил'!P31)+N('Нийгэмшил'!R31)+N('Нийгэмшил'!T31))/7*100,1))</f>
        <v/>
      </c>
      <c r="J28" s="12">
        <f>IF(('Бие бялдар'!V31+'Бие бялдар'!X31+'Танин мэдэхүй'!AP31+'Танин мэдэхүй'!AR31+'Нийгэмшил'!V31+'Нийгэмшил'!X31)=0,"",ROUND((N('Бие бялдар'!H31)+N('Бие бялдар'!J31)+N('Бие бялдар'!L31)+N('Бие бялдар'!N31)+N('Бие бялдар'!P31)+N('Танин мэдэхүй'!AD31)+N('Танин мэдэхүй'!AF31)+N('Танин мэдэхүй'!AH31)+N('Танин мэдэхүй'!AJ31))/9*100,1))</f>
        <v/>
      </c>
      <c r="K28" s="12">
        <f>IF(('Бие бялдар'!V31+'Бие бялдар'!X31+'Танин мэдэхүй'!AP31+'Танин мэдэхүй'!AR31+'Нийгэмшил'!V31+'Нийгэмшил'!X31)=0,"",ROUND((N('Танин мэдэхүй'!D31)+N('Нийгэмшил'!H31)+N('Танин мэдэхүй'!P31)+N('Танин мэдэхүй'!R31)+N('Танин мэдэхүй'!T31)+N('Танин мэдэхүй'!V31)+N('Нийгэмшил'!L31))/7*100,1))</f>
        <v/>
      </c>
      <c r="L28" s="12">
        <f>IF(('Бие бялдар'!V31+'Бие бялдар'!X31+'Танин мэдэхүй'!AP31+'Танин мэдэхүй'!AR31+'Нийгэмшил'!V31+'Нийгэмшил'!X31)=0,"",ROUND((N('Танин мэдэхүй'!F31)+N('Танин мэдэхүй'!H31)+N('Танин мэдэхүй'!J31)+N('Нийгэмшил'!D31)+N('Танин мэдэхүй'!L31)+N('Танин мэдэхүй'!N31)+N('Нийгэмшил'!F31)+N('Танин мэдэхүй'!X31)+N('Танин мэдэхүй'!Z31)+N('Танин мэдэхүй'!AB31)+N('Нийгэмшил'!J31)+N('Танин мэдэхүй'!AL31)+N('Танин мэдэхүй'!AN31)+N('Нийгэмшил'!N31))/14*100,1))</f>
        <v/>
      </c>
      <c r="M28" s="14">
        <f>'Бие бялдар'!V31+'Танин мэдэхүй'!AP31+'Нийгэмшил'!V31</f>
        <v/>
      </c>
      <c r="N28" s="12">
        <f>IF(('Бие бялдар'!V31+'Бие бялдар'!X31+'Танин мэдэхүй'!AP31+'Танин мэдэхүй'!AR31+'Нийгэмшил'!V31+'Нийгэмшил'!X31)=0,"",ROUND(M28/37*100,1))</f>
        <v/>
      </c>
      <c r="O28" s="15">
        <f>IF(N28="","",IF(N28&gt;=80,"Хангалттай эзэмшиж байна",IF(N28&gt;=50,"Ахиж байна","Хөгжиж байна")))</f>
        <v/>
      </c>
    </row>
    <row r="29" ht="17" customHeight="1">
      <c r="A29" s="12" t="n">
        <v>23</v>
      </c>
      <c r="B29" s="13" t="n"/>
      <c r="C29" s="12">
        <f>IF(('Бие бялдар'!V32+'Бие бялдар'!X32+'Танин мэдэхүй'!AP32+'Танин мэдэхүй'!AR32+'Нийгэмшил'!V32+'Нийгэмшил'!X32)=0,"",ROUND(('Бие бялдар'!V32)/9*100,1))</f>
        <v/>
      </c>
      <c r="D29" s="12">
        <f>IF(('Бие бялдар'!V32+'Бие бялдар'!X32+'Танин мэдэхүй'!AP32+'Танин мэдэхүй'!AR32+'Нийгэмшил'!V32+'Нийгэмшил'!X32)=0,"",ROUND(('Танин мэдэхүй'!AP32)/19*100,1))</f>
        <v/>
      </c>
      <c r="E29" s="12">
        <f>IF(('Бие бялдар'!V32+'Бие бялдар'!X32+'Танин мэдэхүй'!AP32+'Танин мэдэхүй'!AR32+'Нийгэмшил'!V32+'Нийгэмшил'!X32)=0,"",ROUND(('Нийгэмшил'!V32)/9*100,1))</f>
        <v/>
      </c>
      <c r="F29" s="12">
        <f>IF(('Бие бялдар'!V32+'Бие бялдар'!X32+'Танин мэдэхүй'!AP32+'Танин мэдэхүй'!AR32+'Нийгэмшил'!V32+'Нийгэмшил'!X32)=0,"",ROUND((N('Бие бялдар'!D32)+N('Бие бялдар'!F32)+N('Танин мэдэхүй'!D32)+N('Танин мэдэхүй'!F32)+N('Танин мэдэхүй'!H32)+N('Танин мэдэхүй'!J32)+N('Нийгэмшил'!D32)+N('Танин мэдэхүй'!L32)+N('Танин мэдэхүй'!N32)+N('Нийгэмшил'!F32)+N('Нийгэмшил'!H32))/11*100,1))</f>
        <v/>
      </c>
      <c r="G29" s="12">
        <f>IF(('Бие бялдар'!V32+'Бие бялдар'!X32+'Танин мэдэхүй'!AP32+'Танин мэдэхүй'!AR32+'Нийгэмшил'!V32+'Нийгэмшил'!X32)=0,"",ROUND((N('Бие бялдар'!H32)+N('Бие бялдар'!J32)+N('Бие бялдар'!L32)+N('Бие бялдар'!N32)+N('Бие бялдар'!P32)+N('Бие бялдар'!R32)+N('Бие бялдар'!T32)+N('Танин мэдэхүй'!P32)+N('Танин мэдэхүй'!R32)+N('Танин мэдэхүй'!T32)+N('Танин мэдэхүй'!V32)+N('Танин мэдэхүй'!X32)+N('Танин мэдэхүй'!Z32)+N('Танин мэдэхүй'!AB32)+N('Танин мэдэхүй'!AD32)+N('Нийгэмшил'!J32)+N('Танин мэдэхүй'!AF32)+N('Танин мэдэхүй'!AH32)+N('Танин мэдэхүй'!AJ32)+N('Нийгэмшил'!L32)+N('Танин мэдэхүй'!AL32)+N('Танин мэдэхүй'!AN32))/22*100,1))</f>
        <v/>
      </c>
      <c r="H29" s="12">
        <f>IF(('Бие бялдар'!V32+'Бие бялдар'!X32+'Танин мэдэхүй'!AP32+'Танин мэдэхүй'!AR32+'Нийгэмшил'!V32+'Нийгэмшил'!X32)=0,"",ROUND((N('Нийгэмшил'!N32)+N('Нийгэмшил'!P32)+N('Нийгэмшил'!R32)+N('Нийгэмшил'!T32))/4*100,1))</f>
        <v/>
      </c>
      <c r="I29" s="12">
        <f>IF(('Бие бялдар'!V32+'Бие бялдар'!X32+'Танин мэдэхүй'!AP32+'Танин мэдэхүй'!AR32+'Нийгэмшил'!V32+'Нийгэмшил'!X32)=0,"",ROUND((N('Бие бялдар'!D32)+N('Бие бялдар'!F32)+N('Бие бялдар'!R32)+N('Бие бялдар'!T32)+N('Нийгэмшил'!P32)+N('Нийгэмшил'!R32)+N('Нийгэмшил'!T32))/7*100,1))</f>
        <v/>
      </c>
      <c r="J29" s="12">
        <f>IF(('Бие бялдар'!V32+'Бие бялдар'!X32+'Танин мэдэхүй'!AP32+'Танин мэдэхүй'!AR32+'Нийгэмшил'!V32+'Нийгэмшил'!X32)=0,"",ROUND((N('Бие бялдар'!H32)+N('Бие бялдар'!J32)+N('Бие бялдар'!L32)+N('Бие бялдар'!N32)+N('Бие бялдар'!P32)+N('Танин мэдэхүй'!AD32)+N('Танин мэдэхүй'!AF32)+N('Танин мэдэхүй'!AH32)+N('Танин мэдэхүй'!AJ32))/9*100,1))</f>
        <v/>
      </c>
      <c r="K29" s="12">
        <f>IF(('Бие бялдар'!V32+'Бие бялдар'!X32+'Танин мэдэхүй'!AP32+'Танин мэдэхүй'!AR32+'Нийгэмшил'!V32+'Нийгэмшил'!X32)=0,"",ROUND((N('Танин мэдэхүй'!D32)+N('Нийгэмшил'!H32)+N('Танин мэдэхүй'!P32)+N('Танин мэдэхүй'!R32)+N('Танин мэдэхүй'!T32)+N('Танин мэдэхүй'!V32)+N('Нийгэмшил'!L32))/7*100,1))</f>
        <v/>
      </c>
      <c r="L29" s="12">
        <f>IF(('Бие бялдар'!V32+'Бие бялдар'!X32+'Танин мэдэхүй'!AP32+'Танин мэдэхүй'!AR32+'Нийгэмшил'!V32+'Нийгэмшил'!X32)=0,"",ROUND((N('Танин мэдэхүй'!F32)+N('Танин мэдэхүй'!H32)+N('Танин мэдэхүй'!J32)+N('Нийгэмшил'!D32)+N('Танин мэдэхүй'!L32)+N('Танин мэдэхүй'!N32)+N('Нийгэмшил'!F32)+N('Танин мэдэхүй'!X32)+N('Танин мэдэхүй'!Z32)+N('Танин мэдэхүй'!AB32)+N('Нийгэмшил'!J32)+N('Танин мэдэхүй'!AL32)+N('Танин мэдэхүй'!AN32)+N('Нийгэмшил'!N32))/14*100,1))</f>
        <v/>
      </c>
      <c r="M29" s="14">
        <f>'Бие бялдар'!V32+'Танин мэдэхүй'!AP32+'Нийгэмшил'!V32</f>
        <v/>
      </c>
      <c r="N29" s="12">
        <f>IF(('Бие бялдар'!V32+'Бие бялдар'!X32+'Танин мэдэхүй'!AP32+'Танин мэдэхүй'!AR32+'Нийгэмшил'!V32+'Нийгэмшил'!X32)=0,"",ROUND(M29/37*100,1))</f>
        <v/>
      </c>
      <c r="O29" s="15">
        <f>IF(N29="","",IF(N29&gt;=80,"Хангалттай эзэмшиж байна",IF(N29&gt;=50,"Ахиж байна","Хөгжиж байна")))</f>
        <v/>
      </c>
    </row>
    <row r="30" ht="17" customHeight="1">
      <c r="A30" s="12" t="n">
        <v>24</v>
      </c>
      <c r="B30" s="13" t="n"/>
      <c r="C30" s="12">
        <f>IF(('Бие бялдар'!V33+'Бие бялдар'!X33+'Танин мэдэхүй'!AP33+'Танин мэдэхүй'!AR33+'Нийгэмшил'!V33+'Нийгэмшил'!X33)=0,"",ROUND(('Бие бялдар'!V33)/9*100,1))</f>
        <v/>
      </c>
      <c r="D30" s="12">
        <f>IF(('Бие бялдар'!V33+'Бие бялдар'!X33+'Танин мэдэхүй'!AP33+'Танин мэдэхүй'!AR33+'Нийгэмшил'!V33+'Нийгэмшил'!X33)=0,"",ROUND(('Танин мэдэхүй'!AP33)/19*100,1))</f>
        <v/>
      </c>
      <c r="E30" s="12">
        <f>IF(('Бие бялдар'!V33+'Бие бялдар'!X33+'Танин мэдэхүй'!AP33+'Танин мэдэхүй'!AR33+'Нийгэмшил'!V33+'Нийгэмшил'!X33)=0,"",ROUND(('Нийгэмшил'!V33)/9*100,1))</f>
        <v/>
      </c>
      <c r="F30" s="12">
        <f>IF(('Бие бялдар'!V33+'Бие бялдар'!X33+'Танин мэдэхүй'!AP33+'Танин мэдэхүй'!AR33+'Нийгэмшил'!V33+'Нийгэмшил'!X33)=0,"",ROUND((N('Бие бялдар'!D33)+N('Бие бялдар'!F33)+N('Танин мэдэхүй'!D33)+N('Танин мэдэхүй'!F33)+N('Танин мэдэхүй'!H33)+N('Танин мэдэхүй'!J33)+N('Нийгэмшил'!D33)+N('Танин мэдэхүй'!L33)+N('Танин мэдэхүй'!N33)+N('Нийгэмшил'!F33)+N('Нийгэмшил'!H33))/11*100,1))</f>
        <v/>
      </c>
      <c r="G30" s="12">
        <f>IF(('Бие бялдар'!V33+'Бие бялдар'!X33+'Танин мэдэхүй'!AP33+'Танин мэдэхүй'!AR33+'Нийгэмшил'!V33+'Нийгэмшил'!X33)=0,"",ROUND((N('Бие бялдар'!H33)+N('Бие бялдар'!J33)+N('Бие бялдар'!L33)+N('Бие бялдар'!N33)+N('Бие бялдар'!P33)+N('Бие бялдар'!R33)+N('Бие бялдар'!T33)+N('Танин мэдэхүй'!P33)+N('Танин мэдэхүй'!R33)+N('Танин мэдэхүй'!T33)+N('Танин мэдэхүй'!V33)+N('Танин мэдэхүй'!X33)+N('Танин мэдэхүй'!Z33)+N('Танин мэдэхүй'!AB33)+N('Танин мэдэхүй'!AD33)+N('Нийгэмшил'!J33)+N('Танин мэдэхүй'!AF33)+N('Танин мэдэхүй'!AH33)+N('Танин мэдэхүй'!AJ33)+N('Нийгэмшил'!L33)+N('Танин мэдэхүй'!AL33)+N('Танин мэдэхүй'!AN33))/22*100,1))</f>
        <v/>
      </c>
      <c r="H30" s="12">
        <f>IF(('Бие бялдар'!V33+'Бие бялдар'!X33+'Танин мэдэхүй'!AP33+'Танин мэдэхүй'!AR33+'Нийгэмшил'!V33+'Нийгэмшил'!X33)=0,"",ROUND((N('Нийгэмшил'!N33)+N('Нийгэмшил'!P33)+N('Нийгэмшил'!R33)+N('Нийгэмшил'!T33))/4*100,1))</f>
        <v/>
      </c>
      <c r="I30" s="12">
        <f>IF(('Бие бялдар'!V33+'Бие бялдар'!X33+'Танин мэдэхүй'!AP33+'Танин мэдэхүй'!AR33+'Нийгэмшил'!V33+'Нийгэмшил'!X33)=0,"",ROUND((N('Бие бялдар'!D33)+N('Бие бялдар'!F33)+N('Бие бялдар'!R33)+N('Бие бялдар'!T33)+N('Нийгэмшил'!P33)+N('Нийгэмшил'!R33)+N('Нийгэмшил'!T33))/7*100,1))</f>
        <v/>
      </c>
      <c r="J30" s="12">
        <f>IF(('Бие бялдар'!V33+'Бие бялдар'!X33+'Танин мэдэхүй'!AP33+'Танин мэдэхүй'!AR33+'Нийгэмшил'!V33+'Нийгэмшил'!X33)=0,"",ROUND((N('Бие бялдар'!H33)+N('Бие бялдар'!J33)+N('Бие бялдар'!L33)+N('Бие бялдар'!N33)+N('Бие бялдар'!P33)+N('Танин мэдэхүй'!AD33)+N('Танин мэдэхүй'!AF33)+N('Танин мэдэхүй'!AH33)+N('Танин мэдэхүй'!AJ33))/9*100,1))</f>
        <v/>
      </c>
      <c r="K30" s="12">
        <f>IF(('Бие бялдар'!V33+'Бие бялдар'!X33+'Танин мэдэхүй'!AP33+'Танин мэдэхүй'!AR33+'Нийгэмшил'!V33+'Нийгэмшил'!X33)=0,"",ROUND((N('Танин мэдэхүй'!D33)+N('Нийгэмшил'!H33)+N('Танин мэдэхүй'!P33)+N('Танин мэдэхүй'!R33)+N('Танин мэдэхүй'!T33)+N('Танин мэдэхүй'!V33)+N('Нийгэмшил'!L33))/7*100,1))</f>
        <v/>
      </c>
      <c r="L30" s="12">
        <f>IF(('Бие бялдар'!V33+'Бие бялдар'!X33+'Танин мэдэхүй'!AP33+'Танин мэдэхүй'!AR33+'Нийгэмшил'!V33+'Нийгэмшил'!X33)=0,"",ROUND((N('Танин мэдэхүй'!F33)+N('Танин мэдэхүй'!H33)+N('Танин мэдэхүй'!J33)+N('Нийгэмшил'!D33)+N('Танин мэдэхүй'!L33)+N('Танин мэдэхүй'!N33)+N('Нийгэмшил'!F33)+N('Танин мэдэхүй'!X33)+N('Танин мэдэхүй'!Z33)+N('Танин мэдэхүй'!AB33)+N('Нийгэмшил'!J33)+N('Танин мэдэхүй'!AL33)+N('Танин мэдэхүй'!AN33)+N('Нийгэмшил'!N33))/14*100,1))</f>
        <v/>
      </c>
      <c r="M30" s="14">
        <f>'Бие бялдар'!V33+'Танин мэдэхүй'!AP33+'Нийгэмшил'!V33</f>
        <v/>
      </c>
      <c r="N30" s="12">
        <f>IF(('Бие бялдар'!V33+'Бие бялдар'!X33+'Танин мэдэхүй'!AP33+'Танин мэдэхүй'!AR33+'Нийгэмшил'!V33+'Нийгэмшил'!X33)=0,"",ROUND(M30/37*100,1))</f>
        <v/>
      </c>
      <c r="O30" s="15">
        <f>IF(N30="","",IF(N30&gt;=80,"Хангалттай эзэмшиж байна",IF(N30&gt;=50,"Ахиж байна","Хөгжиж байна")))</f>
        <v/>
      </c>
    </row>
    <row r="31" ht="17" customHeight="1">
      <c r="A31" s="12" t="n">
        <v>25</v>
      </c>
      <c r="B31" s="13" t="n"/>
      <c r="C31" s="12">
        <f>IF(('Бие бялдар'!V34+'Бие бялдар'!X34+'Танин мэдэхүй'!AP34+'Танин мэдэхүй'!AR34+'Нийгэмшил'!V34+'Нийгэмшил'!X34)=0,"",ROUND(('Бие бялдар'!V34)/9*100,1))</f>
        <v/>
      </c>
      <c r="D31" s="12">
        <f>IF(('Бие бялдар'!V34+'Бие бялдар'!X34+'Танин мэдэхүй'!AP34+'Танин мэдэхүй'!AR34+'Нийгэмшил'!V34+'Нийгэмшил'!X34)=0,"",ROUND(('Танин мэдэхүй'!AP34)/19*100,1))</f>
        <v/>
      </c>
      <c r="E31" s="12">
        <f>IF(('Бие бялдар'!V34+'Бие бялдар'!X34+'Танин мэдэхүй'!AP34+'Танин мэдэхүй'!AR34+'Нийгэмшил'!V34+'Нийгэмшил'!X34)=0,"",ROUND(('Нийгэмшил'!V34)/9*100,1))</f>
        <v/>
      </c>
      <c r="F31" s="12">
        <f>IF(('Бие бялдар'!V34+'Бие бялдар'!X34+'Танин мэдэхүй'!AP34+'Танин мэдэхүй'!AR34+'Нийгэмшил'!V34+'Нийгэмшил'!X34)=0,"",ROUND((N('Бие бялдар'!D34)+N('Бие бялдар'!F34)+N('Танин мэдэхүй'!D34)+N('Танин мэдэхүй'!F34)+N('Танин мэдэхүй'!H34)+N('Танин мэдэхүй'!J34)+N('Нийгэмшил'!D34)+N('Танин мэдэхүй'!L34)+N('Танин мэдэхүй'!N34)+N('Нийгэмшил'!F34)+N('Нийгэмшил'!H34))/11*100,1))</f>
        <v/>
      </c>
      <c r="G31" s="12">
        <f>IF(('Бие бялдар'!V34+'Бие бялдар'!X34+'Танин мэдэхүй'!AP34+'Танин мэдэхүй'!AR34+'Нийгэмшил'!V34+'Нийгэмшил'!X34)=0,"",ROUND((N('Бие бялдар'!H34)+N('Бие бялдар'!J34)+N('Бие бялдар'!L34)+N('Бие бялдар'!N34)+N('Бие бялдар'!P34)+N('Бие бялдар'!R34)+N('Бие бялдар'!T34)+N('Танин мэдэхүй'!P34)+N('Танин мэдэхүй'!R34)+N('Танин мэдэхүй'!T34)+N('Танин мэдэхүй'!V34)+N('Танин мэдэхүй'!X34)+N('Танин мэдэхүй'!Z34)+N('Танин мэдэхүй'!AB34)+N('Танин мэдэхүй'!AD34)+N('Нийгэмшил'!J34)+N('Танин мэдэхүй'!AF34)+N('Танин мэдэхүй'!AH34)+N('Танин мэдэхүй'!AJ34)+N('Нийгэмшил'!L34)+N('Танин мэдэхүй'!AL34)+N('Танин мэдэхүй'!AN34))/22*100,1))</f>
        <v/>
      </c>
      <c r="H31" s="12">
        <f>IF(('Бие бялдар'!V34+'Бие бялдар'!X34+'Танин мэдэхүй'!AP34+'Танин мэдэхүй'!AR34+'Нийгэмшил'!V34+'Нийгэмшил'!X34)=0,"",ROUND((N('Нийгэмшил'!N34)+N('Нийгэмшил'!P34)+N('Нийгэмшил'!R34)+N('Нийгэмшил'!T34))/4*100,1))</f>
        <v/>
      </c>
      <c r="I31" s="12">
        <f>IF(('Бие бялдар'!V34+'Бие бялдар'!X34+'Танин мэдэхүй'!AP34+'Танин мэдэхүй'!AR34+'Нийгэмшил'!V34+'Нийгэмшил'!X34)=0,"",ROUND((N('Бие бялдар'!D34)+N('Бие бялдар'!F34)+N('Бие бялдар'!R34)+N('Бие бялдар'!T34)+N('Нийгэмшил'!P34)+N('Нийгэмшил'!R34)+N('Нийгэмшил'!T34))/7*100,1))</f>
        <v/>
      </c>
      <c r="J31" s="12">
        <f>IF(('Бие бялдар'!V34+'Бие бялдар'!X34+'Танин мэдэхүй'!AP34+'Танин мэдэхүй'!AR34+'Нийгэмшил'!V34+'Нийгэмшил'!X34)=0,"",ROUND((N('Бие бялдар'!H34)+N('Бие бялдар'!J34)+N('Бие бялдар'!L34)+N('Бие бялдар'!N34)+N('Бие бялдар'!P34)+N('Танин мэдэхүй'!AD34)+N('Танин мэдэхүй'!AF34)+N('Танин мэдэхүй'!AH34)+N('Танин мэдэхүй'!AJ34))/9*100,1))</f>
        <v/>
      </c>
      <c r="K31" s="12">
        <f>IF(('Бие бялдар'!V34+'Бие бялдар'!X34+'Танин мэдэхүй'!AP34+'Танин мэдэхүй'!AR34+'Нийгэмшил'!V34+'Нийгэмшил'!X34)=0,"",ROUND((N('Танин мэдэхүй'!D34)+N('Нийгэмшил'!H34)+N('Танин мэдэхүй'!P34)+N('Танин мэдэхүй'!R34)+N('Танин мэдэхүй'!T34)+N('Танин мэдэхүй'!V34)+N('Нийгэмшил'!L34))/7*100,1))</f>
        <v/>
      </c>
      <c r="L31" s="12">
        <f>IF(('Бие бялдар'!V34+'Бие бялдар'!X34+'Танин мэдэхүй'!AP34+'Танин мэдэхүй'!AR34+'Нийгэмшил'!V34+'Нийгэмшил'!X34)=0,"",ROUND((N('Танин мэдэхүй'!F34)+N('Танин мэдэхүй'!H34)+N('Танин мэдэхүй'!J34)+N('Нийгэмшил'!D34)+N('Танин мэдэхүй'!L34)+N('Танин мэдэхүй'!N34)+N('Нийгэмшил'!F34)+N('Танин мэдэхүй'!X34)+N('Танин мэдэхүй'!Z34)+N('Танин мэдэхүй'!AB34)+N('Нийгэмшил'!J34)+N('Танин мэдэхүй'!AL34)+N('Танин мэдэхүй'!AN34)+N('Нийгэмшил'!N34))/14*100,1))</f>
        <v/>
      </c>
      <c r="M31" s="14">
        <f>'Бие бялдар'!V34+'Танин мэдэхүй'!AP34+'Нийгэмшил'!V34</f>
        <v/>
      </c>
      <c r="N31" s="12">
        <f>IF(('Бие бялдар'!V34+'Бие бялдар'!X34+'Танин мэдэхүй'!AP34+'Танин мэдэхүй'!AR34+'Нийгэмшил'!V34+'Нийгэмшил'!X34)=0,"",ROUND(M31/37*100,1))</f>
        <v/>
      </c>
      <c r="O31" s="15">
        <f>IF(N31="","",IF(N31&gt;=80,"Хангалттай эзэмшиж байна",IF(N31&gt;=50,"Ахиж байна","Хөгжиж байна")))</f>
        <v/>
      </c>
    </row>
    <row r="32" ht="17" customHeight="1">
      <c r="A32" s="12" t="n">
        <v>26</v>
      </c>
      <c r="B32" s="13" t="n"/>
      <c r="C32" s="12">
        <f>IF(('Бие бялдар'!V35+'Бие бялдар'!X35+'Танин мэдэхүй'!AP35+'Танин мэдэхүй'!AR35+'Нийгэмшил'!V35+'Нийгэмшил'!X35)=0,"",ROUND(('Бие бялдар'!V35)/9*100,1))</f>
        <v/>
      </c>
      <c r="D32" s="12">
        <f>IF(('Бие бялдар'!V35+'Бие бялдар'!X35+'Танин мэдэхүй'!AP35+'Танин мэдэхүй'!AR35+'Нийгэмшил'!V35+'Нийгэмшил'!X35)=0,"",ROUND(('Танин мэдэхүй'!AP35)/19*100,1))</f>
        <v/>
      </c>
      <c r="E32" s="12">
        <f>IF(('Бие бялдар'!V35+'Бие бялдар'!X35+'Танин мэдэхүй'!AP35+'Танин мэдэхүй'!AR35+'Нийгэмшил'!V35+'Нийгэмшил'!X35)=0,"",ROUND(('Нийгэмшил'!V35)/9*100,1))</f>
        <v/>
      </c>
      <c r="F32" s="12">
        <f>IF(('Бие бялдар'!V35+'Бие бялдар'!X35+'Танин мэдэхүй'!AP35+'Танин мэдэхүй'!AR35+'Нийгэмшил'!V35+'Нийгэмшил'!X35)=0,"",ROUND((N('Бие бялдар'!D35)+N('Бие бялдар'!F35)+N('Танин мэдэхүй'!D35)+N('Танин мэдэхүй'!F35)+N('Танин мэдэхүй'!H35)+N('Танин мэдэхүй'!J35)+N('Нийгэмшил'!D35)+N('Танин мэдэхүй'!L35)+N('Танин мэдэхүй'!N35)+N('Нийгэмшил'!F35)+N('Нийгэмшил'!H35))/11*100,1))</f>
        <v/>
      </c>
      <c r="G32" s="12">
        <f>IF(('Бие бялдар'!V35+'Бие бялдар'!X35+'Танин мэдэхүй'!AP35+'Танин мэдэхүй'!AR35+'Нийгэмшил'!V35+'Нийгэмшил'!X35)=0,"",ROUND((N('Бие бялдар'!H35)+N('Бие бялдар'!J35)+N('Бие бялдар'!L35)+N('Бие бялдар'!N35)+N('Бие бялдар'!P35)+N('Бие бялдар'!R35)+N('Бие бялдар'!T35)+N('Танин мэдэхүй'!P35)+N('Танин мэдэхүй'!R35)+N('Танин мэдэхүй'!T35)+N('Танин мэдэхүй'!V35)+N('Танин мэдэхүй'!X35)+N('Танин мэдэхүй'!Z35)+N('Танин мэдэхүй'!AB35)+N('Танин мэдэхүй'!AD35)+N('Нийгэмшил'!J35)+N('Танин мэдэхүй'!AF35)+N('Танин мэдэхүй'!AH35)+N('Танин мэдэхүй'!AJ35)+N('Нийгэмшил'!L35)+N('Танин мэдэхүй'!AL35)+N('Танин мэдэхүй'!AN35))/22*100,1))</f>
        <v/>
      </c>
      <c r="H32" s="12">
        <f>IF(('Бие бялдар'!V35+'Бие бялдар'!X35+'Танин мэдэхүй'!AP35+'Танин мэдэхүй'!AR35+'Нийгэмшил'!V35+'Нийгэмшил'!X35)=0,"",ROUND((N('Нийгэмшил'!N35)+N('Нийгэмшил'!P35)+N('Нийгэмшил'!R35)+N('Нийгэмшил'!T35))/4*100,1))</f>
        <v/>
      </c>
      <c r="I32" s="12">
        <f>IF(('Бие бялдар'!V35+'Бие бялдар'!X35+'Танин мэдэхүй'!AP35+'Танин мэдэхүй'!AR35+'Нийгэмшил'!V35+'Нийгэмшил'!X35)=0,"",ROUND((N('Бие бялдар'!D35)+N('Бие бялдар'!F35)+N('Бие бялдар'!R35)+N('Бие бялдар'!T35)+N('Нийгэмшил'!P35)+N('Нийгэмшил'!R35)+N('Нийгэмшил'!T35))/7*100,1))</f>
        <v/>
      </c>
      <c r="J32" s="12">
        <f>IF(('Бие бялдар'!V35+'Бие бялдар'!X35+'Танин мэдэхүй'!AP35+'Танин мэдэхүй'!AR35+'Нийгэмшил'!V35+'Нийгэмшил'!X35)=0,"",ROUND((N('Бие бялдар'!H35)+N('Бие бялдар'!J35)+N('Бие бялдар'!L35)+N('Бие бялдар'!N35)+N('Бие бялдар'!P35)+N('Танин мэдэхүй'!AD35)+N('Танин мэдэхүй'!AF35)+N('Танин мэдэхүй'!AH35)+N('Танин мэдэхүй'!AJ35))/9*100,1))</f>
        <v/>
      </c>
      <c r="K32" s="12">
        <f>IF(('Бие бялдар'!V35+'Бие бялдар'!X35+'Танин мэдэхүй'!AP35+'Танин мэдэхүй'!AR35+'Нийгэмшил'!V35+'Нийгэмшил'!X35)=0,"",ROUND((N('Танин мэдэхүй'!D35)+N('Нийгэмшил'!H35)+N('Танин мэдэхүй'!P35)+N('Танин мэдэхүй'!R35)+N('Танин мэдэхүй'!T35)+N('Танин мэдэхүй'!V35)+N('Нийгэмшил'!L35))/7*100,1))</f>
        <v/>
      </c>
      <c r="L32" s="12">
        <f>IF(('Бие бялдар'!V35+'Бие бялдар'!X35+'Танин мэдэхүй'!AP35+'Танин мэдэхүй'!AR35+'Нийгэмшил'!V35+'Нийгэмшил'!X35)=0,"",ROUND((N('Танин мэдэхүй'!F35)+N('Танин мэдэхүй'!H35)+N('Танин мэдэхүй'!J35)+N('Нийгэмшил'!D35)+N('Танин мэдэхүй'!L35)+N('Танин мэдэхүй'!N35)+N('Нийгэмшил'!F35)+N('Танин мэдэхүй'!X35)+N('Танин мэдэхүй'!Z35)+N('Танин мэдэхүй'!AB35)+N('Нийгэмшил'!J35)+N('Танин мэдэхүй'!AL35)+N('Танин мэдэхүй'!AN35)+N('Нийгэмшил'!N35))/14*100,1))</f>
        <v/>
      </c>
      <c r="M32" s="14">
        <f>'Бие бялдар'!V35+'Танин мэдэхүй'!AP35+'Нийгэмшил'!V35</f>
        <v/>
      </c>
      <c r="N32" s="12">
        <f>IF(('Бие бялдар'!V35+'Бие бялдар'!X35+'Танин мэдэхүй'!AP35+'Танин мэдэхүй'!AR35+'Нийгэмшил'!V35+'Нийгэмшил'!X35)=0,"",ROUND(M32/37*100,1))</f>
        <v/>
      </c>
      <c r="O32" s="15">
        <f>IF(N32="","",IF(N32&gt;=80,"Хангалттай эзэмшиж байна",IF(N32&gt;=50,"Ахиж байна","Хөгжиж байна")))</f>
        <v/>
      </c>
    </row>
    <row r="33" ht="17" customHeight="1">
      <c r="A33" s="12" t="n">
        <v>27</v>
      </c>
      <c r="B33" s="13" t="n"/>
      <c r="C33" s="12">
        <f>IF(('Бие бялдар'!V36+'Бие бялдар'!X36+'Танин мэдэхүй'!AP36+'Танин мэдэхүй'!AR36+'Нийгэмшил'!V36+'Нийгэмшил'!X36)=0,"",ROUND(('Бие бялдар'!V36)/9*100,1))</f>
        <v/>
      </c>
      <c r="D33" s="12">
        <f>IF(('Бие бялдар'!V36+'Бие бялдар'!X36+'Танин мэдэхүй'!AP36+'Танин мэдэхүй'!AR36+'Нийгэмшил'!V36+'Нийгэмшил'!X36)=0,"",ROUND(('Танин мэдэхүй'!AP36)/19*100,1))</f>
        <v/>
      </c>
      <c r="E33" s="12">
        <f>IF(('Бие бялдар'!V36+'Бие бялдар'!X36+'Танин мэдэхүй'!AP36+'Танин мэдэхүй'!AR36+'Нийгэмшил'!V36+'Нийгэмшил'!X36)=0,"",ROUND(('Нийгэмшил'!V36)/9*100,1))</f>
        <v/>
      </c>
      <c r="F33" s="12">
        <f>IF(('Бие бялдар'!V36+'Бие бялдар'!X36+'Танин мэдэхүй'!AP36+'Танин мэдэхүй'!AR36+'Нийгэмшил'!V36+'Нийгэмшил'!X36)=0,"",ROUND((N('Бие бялдар'!D36)+N('Бие бялдар'!F36)+N('Танин мэдэхүй'!D36)+N('Танин мэдэхүй'!F36)+N('Танин мэдэхүй'!H36)+N('Танин мэдэхүй'!J36)+N('Нийгэмшил'!D36)+N('Танин мэдэхүй'!L36)+N('Танин мэдэхүй'!N36)+N('Нийгэмшил'!F36)+N('Нийгэмшил'!H36))/11*100,1))</f>
        <v/>
      </c>
      <c r="G33" s="12">
        <f>IF(('Бие бялдар'!V36+'Бие бялдар'!X36+'Танин мэдэхүй'!AP36+'Танин мэдэхүй'!AR36+'Нийгэмшил'!V36+'Нийгэмшил'!X36)=0,"",ROUND((N('Бие бялдар'!H36)+N('Бие бялдар'!J36)+N('Бие бялдар'!L36)+N('Бие бялдар'!N36)+N('Бие бялдар'!P36)+N('Бие бялдар'!R36)+N('Бие бялдар'!T36)+N('Танин мэдэхүй'!P36)+N('Танин мэдэхүй'!R36)+N('Танин мэдэхүй'!T36)+N('Танин мэдэхүй'!V36)+N('Танин мэдэхүй'!X36)+N('Танин мэдэхүй'!Z36)+N('Танин мэдэхүй'!AB36)+N('Танин мэдэхүй'!AD36)+N('Нийгэмшил'!J36)+N('Танин мэдэхүй'!AF36)+N('Танин мэдэхүй'!AH36)+N('Танин мэдэхүй'!AJ36)+N('Нийгэмшил'!L36)+N('Танин мэдэхүй'!AL36)+N('Танин мэдэхүй'!AN36))/22*100,1))</f>
        <v/>
      </c>
      <c r="H33" s="12">
        <f>IF(('Бие бялдар'!V36+'Бие бялдар'!X36+'Танин мэдэхүй'!AP36+'Танин мэдэхүй'!AR36+'Нийгэмшил'!V36+'Нийгэмшил'!X36)=0,"",ROUND((N('Нийгэмшил'!N36)+N('Нийгэмшил'!P36)+N('Нийгэмшил'!R36)+N('Нийгэмшил'!T36))/4*100,1))</f>
        <v/>
      </c>
      <c r="I33" s="12">
        <f>IF(('Бие бялдар'!V36+'Бие бялдар'!X36+'Танин мэдэхүй'!AP36+'Танин мэдэхүй'!AR36+'Нийгэмшил'!V36+'Нийгэмшил'!X36)=0,"",ROUND((N('Бие бялдар'!D36)+N('Бие бялдар'!F36)+N('Бие бялдар'!R36)+N('Бие бялдар'!T36)+N('Нийгэмшил'!P36)+N('Нийгэмшил'!R36)+N('Нийгэмшил'!T36))/7*100,1))</f>
        <v/>
      </c>
      <c r="J33" s="12">
        <f>IF(('Бие бялдар'!V36+'Бие бялдар'!X36+'Танин мэдэхүй'!AP36+'Танин мэдэхүй'!AR36+'Нийгэмшил'!V36+'Нийгэмшил'!X36)=0,"",ROUND((N('Бие бялдар'!H36)+N('Бие бялдар'!J36)+N('Бие бялдар'!L36)+N('Бие бялдар'!N36)+N('Бие бялдар'!P36)+N('Танин мэдэхүй'!AD36)+N('Танин мэдэхүй'!AF36)+N('Танин мэдэхүй'!AH36)+N('Танин мэдэхүй'!AJ36))/9*100,1))</f>
        <v/>
      </c>
      <c r="K33" s="12">
        <f>IF(('Бие бялдар'!V36+'Бие бялдар'!X36+'Танин мэдэхүй'!AP36+'Танин мэдэхүй'!AR36+'Нийгэмшил'!V36+'Нийгэмшил'!X36)=0,"",ROUND((N('Танин мэдэхүй'!D36)+N('Нийгэмшил'!H36)+N('Танин мэдэхүй'!P36)+N('Танин мэдэхүй'!R36)+N('Танин мэдэхүй'!T36)+N('Танин мэдэхүй'!V36)+N('Нийгэмшил'!L36))/7*100,1))</f>
        <v/>
      </c>
      <c r="L33" s="12">
        <f>IF(('Бие бялдар'!V36+'Бие бялдар'!X36+'Танин мэдэхүй'!AP36+'Танин мэдэхүй'!AR36+'Нийгэмшил'!V36+'Нийгэмшил'!X36)=0,"",ROUND((N('Танин мэдэхүй'!F36)+N('Танин мэдэхүй'!H36)+N('Танин мэдэхүй'!J36)+N('Нийгэмшил'!D36)+N('Танин мэдэхүй'!L36)+N('Танин мэдэхүй'!N36)+N('Нийгэмшил'!F36)+N('Танин мэдэхүй'!X36)+N('Танин мэдэхүй'!Z36)+N('Танин мэдэхүй'!AB36)+N('Нийгэмшил'!J36)+N('Танин мэдэхүй'!AL36)+N('Танин мэдэхүй'!AN36)+N('Нийгэмшил'!N36))/14*100,1))</f>
        <v/>
      </c>
      <c r="M33" s="14">
        <f>'Бие бялдар'!V36+'Танин мэдэхүй'!AP36+'Нийгэмшил'!V36</f>
        <v/>
      </c>
      <c r="N33" s="12">
        <f>IF(('Бие бялдар'!V36+'Бие бялдар'!X36+'Танин мэдэхүй'!AP36+'Танин мэдэхүй'!AR36+'Нийгэмшил'!V36+'Нийгэмшил'!X36)=0,"",ROUND(M33/37*100,1))</f>
        <v/>
      </c>
      <c r="O33" s="15">
        <f>IF(N33="","",IF(N33&gt;=80,"Хангалттай эзэмшиж байна",IF(N33&gt;=50,"Ахиж байна","Хөгжиж байна")))</f>
        <v/>
      </c>
    </row>
    <row r="34" ht="17" customHeight="1">
      <c r="A34" s="12" t="n">
        <v>28</v>
      </c>
      <c r="B34" s="13" t="n"/>
      <c r="C34" s="12">
        <f>IF(('Бие бялдар'!V37+'Бие бялдар'!X37+'Танин мэдэхүй'!AP37+'Танин мэдэхүй'!AR37+'Нийгэмшил'!V37+'Нийгэмшил'!X37)=0,"",ROUND(('Бие бялдар'!V37)/9*100,1))</f>
        <v/>
      </c>
      <c r="D34" s="12">
        <f>IF(('Бие бялдар'!V37+'Бие бялдар'!X37+'Танин мэдэхүй'!AP37+'Танин мэдэхүй'!AR37+'Нийгэмшил'!V37+'Нийгэмшил'!X37)=0,"",ROUND(('Танин мэдэхүй'!AP37)/19*100,1))</f>
        <v/>
      </c>
      <c r="E34" s="12">
        <f>IF(('Бие бялдар'!V37+'Бие бялдар'!X37+'Танин мэдэхүй'!AP37+'Танин мэдэхүй'!AR37+'Нийгэмшил'!V37+'Нийгэмшил'!X37)=0,"",ROUND(('Нийгэмшил'!V37)/9*100,1))</f>
        <v/>
      </c>
      <c r="F34" s="12">
        <f>IF(('Бие бялдар'!V37+'Бие бялдар'!X37+'Танин мэдэхүй'!AP37+'Танин мэдэхүй'!AR37+'Нийгэмшил'!V37+'Нийгэмшил'!X37)=0,"",ROUND((N('Бие бялдар'!D37)+N('Бие бялдар'!F37)+N('Танин мэдэхүй'!D37)+N('Танин мэдэхүй'!F37)+N('Танин мэдэхүй'!H37)+N('Танин мэдэхүй'!J37)+N('Нийгэмшил'!D37)+N('Танин мэдэхүй'!L37)+N('Танин мэдэхүй'!N37)+N('Нийгэмшил'!F37)+N('Нийгэмшил'!H37))/11*100,1))</f>
        <v/>
      </c>
      <c r="G34" s="12">
        <f>IF(('Бие бялдар'!V37+'Бие бялдар'!X37+'Танин мэдэхүй'!AP37+'Танин мэдэхүй'!AR37+'Нийгэмшил'!V37+'Нийгэмшил'!X37)=0,"",ROUND((N('Бие бялдар'!H37)+N('Бие бялдар'!J37)+N('Бие бялдар'!L37)+N('Бие бялдар'!N37)+N('Бие бялдар'!P37)+N('Бие бялдар'!R37)+N('Бие бялдар'!T37)+N('Танин мэдэхүй'!P37)+N('Танин мэдэхүй'!R37)+N('Танин мэдэхүй'!T37)+N('Танин мэдэхүй'!V37)+N('Танин мэдэхүй'!X37)+N('Танин мэдэхүй'!Z37)+N('Танин мэдэхүй'!AB37)+N('Танин мэдэхүй'!AD37)+N('Нийгэмшил'!J37)+N('Танин мэдэхүй'!AF37)+N('Танин мэдэхүй'!AH37)+N('Танин мэдэхүй'!AJ37)+N('Нийгэмшил'!L37)+N('Танин мэдэхүй'!AL37)+N('Танин мэдэхүй'!AN37))/22*100,1))</f>
        <v/>
      </c>
      <c r="H34" s="12">
        <f>IF(('Бие бялдар'!V37+'Бие бялдар'!X37+'Танин мэдэхүй'!AP37+'Танин мэдэхүй'!AR37+'Нийгэмшил'!V37+'Нийгэмшил'!X37)=0,"",ROUND((N('Нийгэмшил'!N37)+N('Нийгэмшил'!P37)+N('Нийгэмшил'!R37)+N('Нийгэмшил'!T37))/4*100,1))</f>
        <v/>
      </c>
      <c r="I34" s="12">
        <f>IF(('Бие бялдар'!V37+'Бие бялдар'!X37+'Танин мэдэхүй'!AP37+'Танин мэдэхүй'!AR37+'Нийгэмшил'!V37+'Нийгэмшил'!X37)=0,"",ROUND((N('Бие бялдар'!D37)+N('Бие бялдар'!F37)+N('Бие бялдар'!R37)+N('Бие бялдар'!T37)+N('Нийгэмшил'!P37)+N('Нийгэмшил'!R37)+N('Нийгэмшил'!T37))/7*100,1))</f>
        <v/>
      </c>
      <c r="J34" s="12">
        <f>IF(('Бие бялдар'!V37+'Бие бялдар'!X37+'Танин мэдэхүй'!AP37+'Танин мэдэхүй'!AR37+'Нийгэмшил'!V37+'Нийгэмшил'!X37)=0,"",ROUND((N('Бие бялдар'!H37)+N('Бие бялдар'!J37)+N('Бие бялдар'!L37)+N('Бие бялдар'!N37)+N('Бие бялдар'!P37)+N('Танин мэдэхүй'!AD37)+N('Танин мэдэхүй'!AF37)+N('Танин мэдэхүй'!AH37)+N('Танин мэдэхүй'!AJ37))/9*100,1))</f>
        <v/>
      </c>
      <c r="K34" s="12">
        <f>IF(('Бие бялдар'!V37+'Бие бялдар'!X37+'Танин мэдэхүй'!AP37+'Танин мэдэхүй'!AR37+'Нийгэмшил'!V37+'Нийгэмшил'!X37)=0,"",ROUND((N('Танин мэдэхүй'!D37)+N('Нийгэмшил'!H37)+N('Танин мэдэхүй'!P37)+N('Танин мэдэхүй'!R37)+N('Танин мэдэхүй'!T37)+N('Танин мэдэхүй'!V37)+N('Нийгэмшил'!L37))/7*100,1))</f>
        <v/>
      </c>
      <c r="L34" s="12">
        <f>IF(('Бие бялдар'!V37+'Бие бялдар'!X37+'Танин мэдэхүй'!AP37+'Танин мэдэхүй'!AR37+'Нийгэмшил'!V37+'Нийгэмшил'!X37)=0,"",ROUND((N('Танин мэдэхүй'!F37)+N('Танин мэдэхүй'!H37)+N('Танин мэдэхүй'!J37)+N('Нийгэмшил'!D37)+N('Танин мэдэхүй'!L37)+N('Танин мэдэхүй'!N37)+N('Нийгэмшил'!F37)+N('Танин мэдэхүй'!X37)+N('Танин мэдэхүй'!Z37)+N('Танин мэдэхүй'!AB37)+N('Нийгэмшил'!J37)+N('Танин мэдэхүй'!AL37)+N('Танин мэдэхүй'!AN37)+N('Нийгэмшил'!N37))/14*100,1))</f>
        <v/>
      </c>
      <c r="M34" s="14">
        <f>'Бие бялдар'!V37+'Танин мэдэхүй'!AP37+'Нийгэмшил'!V37</f>
        <v/>
      </c>
      <c r="N34" s="12">
        <f>IF(('Бие бялдар'!V37+'Бие бялдар'!X37+'Танин мэдэхүй'!AP37+'Танин мэдэхүй'!AR37+'Нийгэмшил'!V37+'Нийгэмшил'!X37)=0,"",ROUND(M34/37*100,1))</f>
        <v/>
      </c>
      <c r="O34" s="15">
        <f>IF(N34="","",IF(N34&gt;=80,"Хангалттай эзэмшиж байна",IF(N34&gt;=50,"Ахиж байна","Хөгжиж байна")))</f>
        <v/>
      </c>
    </row>
    <row r="35" ht="17" customHeight="1">
      <c r="A35" s="12" t="n">
        <v>29</v>
      </c>
      <c r="B35" s="13" t="n"/>
      <c r="C35" s="12">
        <f>IF(('Бие бялдар'!V38+'Бие бялдар'!X38+'Танин мэдэхүй'!AP38+'Танин мэдэхүй'!AR38+'Нийгэмшил'!V38+'Нийгэмшил'!X38)=0,"",ROUND(('Бие бялдар'!V38)/9*100,1))</f>
        <v/>
      </c>
      <c r="D35" s="12">
        <f>IF(('Бие бялдар'!V38+'Бие бялдар'!X38+'Танин мэдэхүй'!AP38+'Танин мэдэхүй'!AR38+'Нийгэмшил'!V38+'Нийгэмшил'!X38)=0,"",ROUND(('Танин мэдэхүй'!AP38)/19*100,1))</f>
        <v/>
      </c>
      <c r="E35" s="12">
        <f>IF(('Бие бялдар'!V38+'Бие бялдар'!X38+'Танин мэдэхүй'!AP38+'Танин мэдэхүй'!AR38+'Нийгэмшил'!V38+'Нийгэмшил'!X38)=0,"",ROUND(('Нийгэмшил'!V38)/9*100,1))</f>
        <v/>
      </c>
      <c r="F35" s="12">
        <f>IF(('Бие бялдар'!V38+'Бие бялдар'!X38+'Танин мэдэхүй'!AP38+'Танин мэдэхүй'!AR38+'Нийгэмшил'!V38+'Нийгэмшил'!X38)=0,"",ROUND((N('Бие бялдар'!D38)+N('Бие бялдар'!F38)+N('Танин мэдэхүй'!D38)+N('Танин мэдэхүй'!F38)+N('Танин мэдэхүй'!H38)+N('Танин мэдэхүй'!J38)+N('Нийгэмшил'!D38)+N('Танин мэдэхүй'!L38)+N('Танин мэдэхүй'!N38)+N('Нийгэмшил'!F38)+N('Нийгэмшил'!H38))/11*100,1))</f>
        <v/>
      </c>
      <c r="G35" s="12">
        <f>IF(('Бие бялдар'!V38+'Бие бялдар'!X38+'Танин мэдэхүй'!AP38+'Танин мэдэхүй'!AR38+'Нийгэмшил'!V38+'Нийгэмшил'!X38)=0,"",ROUND((N('Бие бялдар'!H38)+N('Бие бялдар'!J38)+N('Бие бялдар'!L38)+N('Бие бялдар'!N38)+N('Бие бялдар'!P38)+N('Бие бялдар'!R38)+N('Бие бялдар'!T38)+N('Танин мэдэхүй'!P38)+N('Танин мэдэхүй'!R38)+N('Танин мэдэхүй'!T38)+N('Танин мэдэхүй'!V38)+N('Танин мэдэхүй'!X38)+N('Танин мэдэхүй'!Z38)+N('Танин мэдэхүй'!AB38)+N('Танин мэдэхүй'!AD38)+N('Нийгэмшил'!J38)+N('Танин мэдэхүй'!AF38)+N('Танин мэдэхүй'!AH38)+N('Танин мэдэхүй'!AJ38)+N('Нийгэмшил'!L38)+N('Танин мэдэхүй'!AL38)+N('Танин мэдэхүй'!AN38))/22*100,1))</f>
        <v/>
      </c>
      <c r="H35" s="12">
        <f>IF(('Бие бялдар'!V38+'Бие бялдар'!X38+'Танин мэдэхүй'!AP38+'Танин мэдэхүй'!AR38+'Нийгэмшил'!V38+'Нийгэмшил'!X38)=0,"",ROUND((N('Нийгэмшил'!N38)+N('Нийгэмшил'!P38)+N('Нийгэмшил'!R38)+N('Нийгэмшил'!T38))/4*100,1))</f>
        <v/>
      </c>
      <c r="I35" s="12">
        <f>IF(('Бие бялдар'!V38+'Бие бялдар'!X38+'Танин мэдэхүй'!AP38+'Танин мэдэхүй'!AR38+'Нийгэмшил'!V38+'Нийгэмшил'!X38)=0,"",ROUND((N('Бие бялдар'!D38)+N('Бие бялдар'!F38)+N('Бие бялдар'!R38)+N('Бие бялдар'!T38)+N('Нийгэмшил'!P38)+N('Нийгэмшил'!R38)+N('Нийгэмшил'!T38))/7*100,1))</f>
        <v/>
      </c>
      <c r="J35" s="12">
        <f>IF(('Бие бялдар'!V38+'Бие бялдар'!X38+'Танин мэдэхүй'!AP38+'Танин мэдэхүй'!AR38+'Нийгэмшил'!V38+'Нийгэмшил'!X38)=0,"",ROUND((N('Бие бялдар'!H38)+N('Бие бялдар'!J38)+N('Бие бялдар'!L38)+N('Бие бялдар'!N38)+N('Бие бялдар'!P38)+N('Танин мэдэхүй'!AD38)+N('Танин мэдэхүй'!AF38)+N('Танин мэдэхүй'!AH38)+N('Танин мэдэхүй'!AJ38))/9*100,1))</f>
        <v/>
      </c>
      <c r="K35" s="12">
        <f>IF(('Бие бялдар'!V38+'Бие бялдар'!X38+'Танин мэдэхүй'!AP38+'Танин мэдэхүй'!AR38+'Нийгэмшил'!V38+'Нийгэмшил'!X38)=0,"",ROUND((N('Танин мэдэхүй'!D38)+N('Нийгэмшил'!H38)+N('Танин мэдэхүй'!P38)+N('Танин мэдэхүй'!R38)+N('Танин мэдэхүй'!T38)+N('Танин мэдэхүй'!V38)+N('Нийгэмшил'!L38))/7*100,1))</f>
        <v/>
      </c>
      <c r="L35" s="12">
        <f>IF(('Бие бялдар'!V38+'Бие бялдар'!X38+'Танин мэдэхүй'!AP38+'Танин мэдэхүй'!AR38+'Нийгэмшил'!V38+'Нийгэмшил'!X38)=0,"",ROUND((N('Танин мэдэхүй'!F38)+N('Танин мэдэхүй'!H38)+N('Танин мэдэхүй'!J38)+N('Нийгэмшил'!D38)+N('Танин мэдэхүй'!L38)+N('Танин мэдэхүй'!N38)+N('Нийгэмшил'!F38)+N('Танин мэдэхүй'!X38)+N('Танин мэдэхүй'!Z38)+N('Танин мэдэхүй'!AB38)+N('Нийгэмшил'!J38)+N('Танин мэдэхүй'!AL38)+N('Танин мэдэхүй'!AN38)+N('Нийгэмшил'!N38))/14*100,1))</f>
        <v/>
      </c>
      <c r="M35" s="14">
        <f>'Бие бялдар'!V38+'Танин мэдэхүй'!AP38+'Нийгэмшил'!V38</f>
        <v/>
      </c>
      <c r="N35" s="12">
        <f>IF(('Бие бялдар'!V38+'Бие бялдар'!X38+'Танин мэдэхүй'!AP38+'Танин мэдэхүй'!AR38+'Нийгэмшил'!V38+'Нийгэмшил'!X38)=0,"",ROUND(M35/37*100,1))</f>
        <v/>
      </c>
      <c r="O35" s="15">
        <f>IF(N35="","",IF(N35&gt;=80,"Хангалттай эзэмшиж байна",IF(N35&gt;=50,"Ахиж байна","Хөгжиж байна")))</f>
        <v/>
      </c>
    </row>
    <row r="36" ht="17" customHeight="1">
      <c r="A36" s="12" t="n">
        <v>30</v>
      </c>
      <c r="B36" s="13" t="n"/>
      <c r="C36" s="12">
        <f>IF(('Бие бялдар'!V39+'Бие бялдар'!X39+'Танин мэдэхүй'!AP39+'Танин мэдэхүй'!AR39+'Нийгэмшил'!V39+'Нийгэмшил'!X39)=0,"",ROUND(('Бие бялдар'!V39)/9*100,1))</f>
        <v/>
      </c>
      <c r="D36" s="12">
        <f>IF(('Бие бялдар'!V39+'Бие бялдар'!X39+'Танин мэдэхүй'!AP39+'Танин мэдэхүй'!AR39+'Нийгэмшил'!V39+'Нийгэмшил'!X39)=0,"",ROUND(('Танин мэдэхүй'!AP39)/19*100,1))</f>
        <v/>
      </c>
      <c r="E36" s="12">
        <f>IF(('Бие бялдар'!V39+'Бие бялдар'!X39+'Танин мэдэхүй'!AP39+'Танин мэдэхүй'!AR39+'Нийгэмшил'!V39+'Нийгэмшил'!X39)=0,"",ROUND(('Нийгэмшил'!V39)/9*100,1))</f>
        <v/>
      </c>
      <c r="F36" s="12">
        <f>IF(('Бие бялдар'!V39+'Бие бялдар'!X39+'Танин мэдэхүй'!AP39+'Танин мэдэхүй'!AR39+'Нийгэмшил'!V39+'Нийгэмшил'!X39)=0,"",ROUND((N('Бие бялдар'!D39)+N('Бие бялдар'!F39)+N('Танин мэдэхүй'!D39)+N('Танин мэдэхүй'!F39)+N('Танин мэдэхүй'!H39)+N('Танин мэдэхүй'!J39)+N('Нийгэмшил'!D39)+N('Танин мэдэхүй'!L39)+N('Танин мэдэхүй'!N39)+N('Нийгэмшил'!F39)+N('Нийгэмшил'!H39))/11*100,1))</f>
        <v/>
      </c>
      <c r="G36" s="12">
        <f>IF(('Бие бялдар'!V39+'Бие бялдар'!X39+'Танин мэдэхүй'!AP39+'Танин мэдэхүй'!AR39+'Нийгэмшил'!V39+'Нийгэмшил'!X39)=0,"",ROUND((N('Бие бялдар'!H39)+N('Бие бялдар'!J39)+N('Бие бялдар'!L39)+N('Бие бялдар'!N39)+N('Бие бялдар'!P39)+N('Бие бялдар'!R39)+N('Бие бялдар'!T39)+N('Танин мэдэхүй'!P39)+N('Танин мэдэхүй'!R39)+N('Танин мэдэхүй'!T39)+N('Танин мэдэхүй'!V39)+N('Танин мэдэхүй'!X39)+N('Танин мэдэхүй'!Z39)+N('Танин мэдэхүй'!AB39)+N('Танин мэдэхүй'!AD39)+N('Нийгэмшил'!J39)+N('Танин мэдэхүй'!AF39)+N('Танин мэдэхүй'!AH39)+N('Танин мэдэхүй'!AJ39)+N('Нийгэмшил'!L39)+N('Танин мэдэхүй'!AL39)+N('Танин мэдэхүй'!AN39))/22*100,1))</f>
        <v/>
      </c>
      <c r="H36" s="12">
        <f>IF(('Бие бялдар'!V39+'Бие бялдар'!X39+'Танин мэдэхүй'!AP39+'Танин мэдэхүй'!AR39+'Нийгэмшил'!V39+'Нийгэмшил'!X39)=0,"",ROUND((N('Нийгэмшил'!N39)+N('Нийгэмшил'!P39)+N('Нийгэмшил'!R39)+N('Нийгэмшил'!T39))/4*100,1))</f>
        <v/>
      </c>
      <c r="I36" s="12">
        <f>IF(('Бие бялдар'!V39+'Бие бялдар'!X39+'Танин мэдэхүй'!AP39+'Танин мэдэхүй'!AR39+'Нийгэмшил'!V39+'Нийгэмшил'!X39)=0,"",ROUND((N('Бие бялдар'!D39)+N('Бие бялдар'!F39)+N('Бие бялдар'!R39)+N('Бие бялдар'!T39)+N('Нийгэмшил'!P39)+N('Нийгэмшил'!R39)+N('Нийгэмшил'!T39))/7*100,1))</f>
        <v/>
      </c>
      <c r="J36" s="12">
        <f>IF(('Бие бялдар'!V39+'Бие бялдар'!X39+'Танин мэдэхүй'!AP39+'Танин мэдэхүй'!AR39+'Нийгэмшил'!V39+'Нийгэмшил'!X39)=0,"",ROUND((N('Бие бялдар'!H39)+N('Бие бялдар'!J39)+N('Бие бялдар'!L39)+N('Бие бялдар'!N39)+N('Бие бялдар'!P39)+N('Танин мэдэхүй'!AD39)+N('Танин мэдэхүй'!AF39)+N('Танин мэдэхүй'!AH39)+N('Танин мэдэхүй'!AJ39))/9*100,1))</f>
        <v/>
      </c>
      <c r="K36" s="12">
        <f>IF(('Бие бялдар'!V39+'Бие бялдар'!X39+'Танин мэдэхүй'!AP39+'Танин мэдэхүй'!AR39+'Нийгэмшил'!V39+'Нийгэмшил'!X39)=0,"",ROUND((N('Танин мэдэхүй'!D39)+N('Нийгэмшил'!H39)+N('Танин мэдэхүй'!P39)+N('Танин мэдэхүй'!R39)+N('Танин мэдэхүй'!T39)+N('Танин мэдэхүй'!V39)+N('Нийгэмшил'!L39))/7*100,1))</f>
        <v/>
      </c>
      <c r="L36" s="12">
        <f>IF(('Бие бялдар'!V39+'Бие бялдар'!X39+'Танин мэдэхүй'!AP39+'Танин мэдэхүй'!AR39+'Нийгэмшил'!V39+'Нийгэмшил'!X39)=0,"",ROUND((N('Танин мэдэхүй'!F39)+N('Танин мэдэхүй'!H39)+N('Танин мэдэхүй'!J39)+N('Нийгэмшил'!D39)+N('Танин мэдэхүй'!L39)+N('Танин мэдэхүй'!N39)+N('Нийгэмшил'!F39)+N('Танин мэдэхүй'!X39)+N('Танин мэдэхүй'!Z39)+N('Танин мэдэхүй'!AB39)+N('Нийгэмшил'!J39)+N('Танин мэдэхүй'!AL39)+N('Танин мэдэхүй'!AN39)+N('Нийгэмшил'!N39))/14*100,1))</f>
        <v/>
      </c>
      <c r="M36" s="14">
        <f>'Бие бялдар'!V39+'Танин мэдэхүй'!AP39+'Нийгэмшил'!V39</f>
        <v/>
      </c>
      <c r="N36" s="12">
        <f>IF(('Бие бялдар'!V39+'Бие бялдар'!X39+'Танин мэдэхүй'!AP39+'Танин мэдэхүй'!AR39+'Нийгэмшил'!V39+'Нийгэмшил'!X39)=0,"",ROUND(M36/37*100,1))</f>
        <v/>
      </c>
      <c r="O36" s="15">
        <f>IF(N36="","",IF(N36&gt;=80,"Хангалттай эзэмшиж байна",IF(N36&gt;=50,"Ахиж байна","Хөгжиж байна")))</f>
        <v/>
      </c>
    </row>
    <row r="37">
      <c r="A37" s="9" t="inlineStr">
        <is>
          <t>Бүлгийн дундаж хувь</t>
        </is>
      </c>
      <c r="B37" s="16" t="n"/>
      <c r="C37" s="9">
        <f>IFERROR(ROUND(AVERAGE(C7:C36),1),"")</f>
        <v/>
      </c>
      <c r="D37" s="9">
        <f>IFERROR(ROUND(AVERAGE(D7:D36),1),"")</f>
        <v/>
      </c>
      <c r="E37" s="9">
        <f>IFERROR(ROUND(AVERAGE(E7:E36),1),"")</f>
        <v/>
      </c>
      <c r="F37" s="9">
        <f>IFERROR(ROUND(AVERAGE(F7:F36),1),"")</f>
        <v/>
      </c>
      <c r="G37" s="9">
        <f>IFERROR(ROUND(AVERAGE(G7:G36),1),"")</f>
        <v/>
      </c>
      <c r="H37" s="9">
        <f>IFERROR(ROUND(AVERAGE(H7:H36),1),"")</f>
        <v/>
      </c>
      <c r="I37" s="9">
        <f>IFERROR(ROUND(AVERAGE(I7:I36),1),"")</f>
        <v/>
      </c>
      <c r="J37" s="9">
        <f>IFERROR(ROUND(AVERAGE(J7:J36),1),"")</f>
        <v/>
      </c>
      <c r="K37" s="9">
        <f>IFERROR(ROUND(AVERAGE(K7:K36),1),"")</f>
        <v/>
      </c>
      <c r="L37" s="9">
        <f>IFERROR(ROUND(AVERAGE(L7:L36),1),"")</f>
        <v/>
      </c>
      <c r="M37" s="17" t="inlineStr"/>
      <c r="N37" s="9">
        <f>IFERROR(ROUND(AVERAGE(N7:N36),1),"")</f>
        <v/>
      </c>
      <c r="O37" s="17" t="inlineStr"/>
    </row>
    <row r="38">
      <c r="A38" s="18" t="inlineStr">
        <is>
          <t>Хангалттай эзэмшиж байна (хүүхдийн тоо)</t>
        </is>
      </c>
      <c r="B38" s="16" t="n"/>
      <c r="C38" s="9">
        <f>COUNTIFS(C7:C36,"&gt;=80",C7:C36,"&lt;=1000")</f>
        <v/>
      </c>
      <c r="D38" s="9">
        <f>COUNTIFS(D7:D36,"&gt;=80",D7:D36,"&lt;=1000")</f>
        <v/>
      </c>
      <c r="E38" s="9">
        <f>COUNTIFS(E7:E36,"&gt;=80",E7:E36,"&lt;=1000")</f>
        <v/>
      </c>
      <c r="F38" s="9">
        <f>COUNTIFS(F7:F36,"&gt;=80",F7:F36,"&lt;=1000")</f>
        <v/>
      </c>
      <c r="G38" s="9">
        <f>COUNTIFS(G7:G36,"&gt;=80",G7:G36,"&lt;=1000")</f>
        <v/>
      </c>
      <c r="H38" s="9">
        <f>COUNTIFS(H7:H36,"&gt;=80",H7:H36,"&lt;=1000")</f>
        <v/>
      </c>
      <c r="I38" s="9">
        <f>COUNTIFS(I7:I36,"&gt;=80",I7:I36,"&lt;=1000")</f>
        <v/>
      </c>
      <c r="J38" s="9">
        <f>COUNTIFS(J7:J36,"&gt;=80",J7:J36,"&lt;=1000")</f>
        <v/>
      </c>
      <c r="K38" s="9">
        <f>COUNTIFS(K7:K36,"&gt;=80",K7:K36,"&lt;=1000")</f>
        <v/>
      </c>
      <c r="L38" s="9">
        <f>COUNTIFS(L7:L36,"&gt;=80",L7:L36,"&lt;=1000")</f>
        <v/>
      </c>
      <c r="M38" s="17" t="inlineStr"/>
      <c r="N38" s="9">
        <f>COUNTIFS(N7:N36,"&gt;=80",N7:N36,"&lt;=1000")</f>
        <v/>
      </c>
      <c r="O38" s="9">
        <f>COUNTIF(O7:O36,"Хангалттай эзэмшиж байна")</f>
        <v/>
      </c>
    </row>
    <row r="39">
      <c r="A39" s="18" t="inlineStr">
        <is>
          <t>Ахиж байна (хүүхдийн тоо)</t>
        </is>
      </c>
      <c r="B39" s="16" t="n"/>
      <c r="C39" s="9">
        <f>COUNTIFS(C7:C36,"&gt;=50",C7:C36,"&lt;=79.99")</f>
        <v/>
      </c>
      <c r="D39" s="9">
        <f>COUNTIFS(D7:D36,"&gt;=50",D7:D36,"&lt;=79.99")</f>
        <v/>
      </c>
      <c r="E39" s="9">
        <f>COUNTIFS(E7:E36,"&gt;=50",E7:E36,"&lt;=79.99")</f>
        <v/>
      </c>
      <c r="F39" s="9">
        <f>COUNTIFS(F7:F36,"&gt;=50",F7:F36,"&lt;=79.99")</f>
        <v/>
      </c>
      <c r="G39" s="9">
        <f>COUNTIFS(G7:G36,"&gt;=50",G7:G36,"&lt;=79.99")</f>
        <v/>
      </c>
      <c r="H39" s="9">
        <f>COUNTIFS(H7:H36,"&gt;=50",H7:H36,"&lt;=79.99")</f>
        <v/>
      </c>
      <c r="I39" s="9">
        <f>COUNTIFS(I7:I36,"&gt;=50",I7:I36,"&lt;=79.99")</f>
        <v/>
      </c>
      <c r="J39" s="9">
        <f>COUNTIFS(J7:J36,"&gt;=50",J7:J36,"&lt;=79.99")</f>
        <v/>
      </c>
      <c r="K39" s="9">
        <f>COUNTIFS(K7:K36,"&gt;=50",K7:K36,"&lt;=79.99")</f>
        <v/>
      </c>
      <c r="L39" s="9">
        <f>COUNTIFS(L7:L36,"&gt;=50",L7:L36,"&lt;=79.99")</f>
        <v/>
      </c>
      <c r="M39" s="17" t="inlineStr"/>
      <c r="N39" s="9">
        <f>COUNTIFS(N7:N36,"&gt;=50",N7:N36,"&lt;=79.99")</f>
        <v/>
      </c>
      <c r="O39" s="9">
        <f>COUNTIF(O7:O36,"Ахиж байна")</f>
        <v/>
      </c>
    </row>
    <row r="40">
      <c r="A40" s="18" t="inlineStr">
        <is>
          <t>Хөгжиж байна (хүүхдийн тоо)</t>
        </is>
      </c>
      <c r="B40" s="16" t="n"/>
      <c r="C40" s="9">
        <f>COUNTIFS(C7:C36,"&gt;=0",C7:C36,"&lt;=49.99")</f>
        <v/>
      </c>
      <c r="D40" s="9">
        <f>COUNTIFS(D7:D36,"&gt;=0",D7:D36,"&lt;=49.99")</f>
        <v/>
      </c>
      <c r="E40" s="9">
        <f>COUNTIFS(E7:E36,"&gt;=0",E7:E36,"&lt;=49.99")</f>
        <v/>
      </c>
      <c r="F40" s="9">
        <f>COUNTIFS(F7:F36,"&gt;=0",F7:F36,"&lt;=49.99")</f>
        <v/>
      </c>
      <c r="G40" s="9">
        <f>COUNTIFS(G7:G36,"&gt;=0",G7:G36,"&lt;=49.99")</f>
        <v/>
      </c>
      <c r="H40" s="9">
        <f>COUNTIFS(H7:H36,"&gt;=0",H7:H36,"&lt;=49.99")</f>
        <v/>
      </c>
      <c r="I40" s="9">
        <f>COUNTIFS(I7:I36,"&gt;=0",I7:I36,"&lt;=49.99")</f>
        <v/>
      </c>
      <c r="J40" s="9">
        <f>COUNTIFS(J7:J36,"&gt;=0",J7:J36,"&lt;=49.99")</f>
        <v/>
      </c>
      <c r="K40" s="9">
        <f>COUNTIFS(K7:K36,"&gt;=0",K7:K36,"&lt;=49.99")</f>
        <v/>
      </c>
      <c r="L40" s="9">
        <f>COUNTIFS(L7:L36,"&gt;=0",L7:L36,"&lt;=49.99")</f>
        <v/>
      </c>
      <c r="M40" s="17" t="inlineStr"/>
      <c r="N40" s="9">
        <f>COUNTIFS(N7:N36,"&gt;=0",N7:N36,"&lt;=49.99")</f>
        <v/>
      </c>
      <c r="O40" s="9">
        <f>COUNTIF(O7:O36,"Хөгжиж байна")</f>
        <v/>
      </c>
    </row>
  </sheetData>
  <mergeCells count="15">
    <mergeCell ref="A38:B38"/>
    <mergeCell ref="A2:O2"/>
    <mergeCell ref="O3:O6"/>
    <mergeCell ref="M3:M6"/>
    <mergeCell ref="C3:L3"/>
    <mergeCell ref="N3:N6"/>
    <mergeCell ref="I4:L4"/>
    <mergeCell ref="A37:B37"/>
    <mergeCell ref="A1:O1"/>
    <mergeCell ref="B3:B6"/>
    <mergeCell ref="A3:A6"/>
    <mergeCell ref="C4:E4"/>
    <mergeCell ref="F4:H4"/>
    <mergeCell ref="A40:B40"/>
    <mergeCell ref="A39:B39"/>
  </mergeCell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Z43"/>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2"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7" customWidth="1" min="22" max="22"/>
    <col width="7" customWidth="1" min="23" max="23"/>
    <col width="8" customWidth="1" min="24" max="24"/>
    <col width="7" customWidth="1" min="25" max="25"/>
    <col width="14" customWidth="1" min="26" max="26"/>
  </cols>
  <sheetData>
    <row r="1">
      <c r="A1" s="1" t="inlineStr">
        <is>
          <t>................ ЦЭЦЭРЛЭГИЙН БАГА БҮЛГИЙН (2 НАС) ГАРААНЫ (ОНОШЛОХ) ҮНЭЛГЭЭ</t>
        </is>
      </c>
    </row>
    <row r="2">
      <c r="A2" s="6" t="inlineStr">
        <is>
          <t>Хөгжлийн чиглэл: Бие бялдар          Огноо: 20.... оны .... сар          Багш: ................................          (А/79 журам, I түвшний шалгуур)</t>
        </is>
      </c>
    </row>
    <row r="3">
      <c r="A3" s="7" t="inlineStr">
        <is>
          <t>№</t>
        </is>
      </c>
      <c r="B3" s="7" t="inlineStr">
        <is>
          <t>Хүүхдийн нэр</t>
        </is>
      </c>
      <c r="C3" s="8" t="n"/>
      <c r="D3" s="7" t="inlineStr">
        <is>
          <t>Хөгжлийн чиглэл: Бие бялдар</t>
        </is>
      </c>
      <c r="E3" s="8" t="n"/>
      <c r="F3" s="8" t="n"/>
      <c r="G3" s="8" t="n"/>
      <c r="H3" s="8" t="n"/>
      <c r="I3" s="8" t="n"/>
      <c r="J3" s="8" t="n"/>
      <c r="K3" s="8" t="n"/>
      <c r="L3" s="8" t="n"/>
      <c r="M3" s="8" t="n"/>
      <c r="N3" s="8" t="n"/>
      <c r="O3" s="8" t="n"/>
      <c r="P3" s="8" t="n"/>
      <c r="Q3" s="8" t="n"/>
      <c r="R3" s="8" t="n"/>
      <c r="S3" s="8" t="n"/>
      <c r="T3" s="8" t="n"/>
      <c r="U3" s="8" t="n"/>
      <c r="V3" s="9" t="inlineStr">
        <is>
          <t>Чадна</t>
        </is>
      </c>
      <c r="W3" s="9" t="inlineStr">
        <is>
          <t>Хувь</t>
        </is>
      </c>
      <c r="X3" s="9" t="inlineStr">
        <is>
          <t>Чадахгүй</t>
        </is>
      </c>
      <c r="Y3" s="9" t="inlineStr">
        <is>
          <t>Хувь</t>
        </is>
      </c>
      <c r="Z3" s="9" t="inlineStr">
        <is>
          <t>Түвшин</t>
        </is>
      </c>
    </row>
    <row r="4" ht="116" customHeight="1">
      <c r="A4" s="8" t="n"/>
      <c r="B4" s="8" t="n"/>
      <c r="C4" s="8" t="n"/>
      <c r="D4" s="10" t="inlineStr">
        <is>
          <t>[Мэдлэг · 10.5: Эрүүл мэнд] 1. Чанаж болгоогүй хүнсийг идэж болохгүйг мэддэг.</t>
        </is>
      </c>
      <c r="E4" s="19" t="n"/>
      <c r="F4" s="10" t="inlineStr">
        <is>
          <t>[Мэдлэг · 10.5: Эрүүл мэнд] 2. Хүрээлэн байгаа орчноос болгоомжлох зүйлсийг таньдаг.</t>
        </is>
      </c>
      <c r="G4" s="19" t="n"/>
      <c r="H4" s="10" t="inlineStr">
        <is>
          <t>[Чадвар · 10.5: Өсөлт] 12. 1-2 саадыг сүлжиж алхдаг (10 метр зайд).</t>
        </is>
      </c>
      <c r="I4" s="19" t="n"/>
      <c r="J4" s="10" t="inlineStr">
        <is>
          <t>[Чадвар · 10.5: Өсөлт] 13. Хоорондоо 20 см зайтай байрлуулсан зураасны дундуур шулуун чиглэлээр гүйдэг.</t>
        </is>
      </c>
      <c r="K4" s="19" t="n"/>
      <c r="L4" s="10" t="inlineStr">
        <is>
          <t>[Чадвар · 10.5: Өсөлт] 14. 20 см зайтай зураасны хооронд дөрвөн хөллөж мөлхдөг.</t>
        </is>
      </c>
      <c r="M4" s="19" t="n"/>
      <c r="N4" s="10" t="inlineStr">
        <is>
          <t>[Чадвар · 10.5: Өсөлт] 15. Хоёр хөл дээрээ үсэрч буудаг.</t>
        </is>
      </c>
      <c r="O4" s="19" t="n"/>
      <c r="P4" s="10" t="inlineStr">
        <is>
          <t>[Чадвар · 10.5: Өсөлт] 16. Тоглоом, юмс (бөмбөг, базсан цаас гэх мэт)-ыг тодорхой чиглэлд (урагш, дээш гэх мэт) шидэж дамжуулдаг.</t>
        </is>
      </c>
      <c r="Q4" s="19" t="n"/>
      <c r="R4" s="10" t="inlineStr">
        <is>
          <t>[Чадвар · 10.5: Эрүүл мэнд] 17. Гар, нүүр, шүдээ угаах, хоолой амаа зайлах үйлийг бусдын дэмжлэгтэйгээр хийж чаддаг.</t>
        </is>
      </c>
      <c r="S4" s="19" t="n"/>
      <c r="T4" s="10" t="inlineStr">
        <is>
          <t>[Чадвар · 10.5: Эрүүл мэнд] 18. Хоолны хэрэгслийг зориулалтын дагуу хэрэглэдэг.</t>
        </is>
      </c>
      <c r="U4" s="19" t="n"/>
      <c r="V4" s="8" t="n"/>
      <c r="W4" s="8" t="n"/>
      <c r="X4" s="8" t="n"/>
      <c r="Y4" s="8" t="n"/>
      <c r="Z4" s="8" t="n"/>
    </row>
    <row r="5" ht="74" customHeight="1">
      <c r="A5" s="8" t="n"/>
      <c r="B5" s="8" t="n"/>
      <c r="C5" s="8" t="n"/>
      <c r="D5" s="20" t="inlineStr">
        <is>
          <t>СҮД: ХЭМ1.2в. Хоол хүнсний бүтээгдэхүүнийг угааж, чанаж болгож иддэгийг мэднэ, ялгана.</t>
        </is>
      </c>
      <c r="E5" s="21" t="n"/>
      <c r="F5" s="20" t="inlineStr">
        <is>
          <t>СҮД: ХЭМ1.2е. Хүрээлэн буй орчинд байгаа болгоомжлох зүйлсийг мэднэ, ялгана.</t>
        </is>
      </c>
      <c r="G5" s="21" t="n"/>
      <c r="H5" s="20" t="inlineStr">
        <is>
          <t>СҮД: ХЭМ1.1г. Байрандаа болон чиглэлээ өөрчилж алхаж, гүйнэ.</t>
        </is>
      </c>
      <c r="I5" s="21" t="n"/>
      <c r="J5" s="20" t="inlineStr">
        <is>
          <t>СҮД: ХЭМ1.1г. Байрандаа болон чиглэлээ өөрчилж алхаж, гүйнэ.</t>
        </is>
      </c>
      <c r="K5" s="21" t="n"/>
      <c r="L5" s="20" t="inlineStr">
        <is>
          <t>СҮД: ХЭМ1.1е. Дөрвөн хөллөж 20 см-ын зайтай зураасны хооронд мөлхөнө.</t>
        </is>
      </c>
      <c r="M5" s="21" t="n"/>
      <c r="N5" s="20" t="inlineStr">
        <is>
          <t>СҮД: ХЭМ1.1и. Хоёр хөл дээр байрандаа үсэрч бууна.</t>
        </is>
      </c>
      <c r="O5" s="21" t="n"/>
      <c r="P5" s="20" t="inlineStr">
        <is>
          <t>СҮД: ХЭМ1.1м. Бөмбөгийг ойр зайд шидэж дамжуулна, барьж авна.</t>
        </is>
      </c>
      <c r="Q5" s="21" t="n"/>
      <c r="R5" s="20" t="inlineStr">
        <is>
          <t>СҮД: ХЭМ1.2а. Хувийн ариун цэврийг сахих үйлийг насанд хүрэгчийн дэмжлэгтэйгээр хамтран хийнэ.</t>
        </is>
      </c>
      <c r="S5" s="21" t="n"/>
      <c r="T5" s="20" t="inlineStr">
        <is>
          <t>СҮД: ХЭМ1.2г. Хоолны хэрэгслийг нэрлэж, зориулалтын дагуу хэрэглэнэ.</t>
        </is>
      </c>
      <c r="U5" s="21" t="n"/>
      <c r="V5" s="8" t="n"/>
      <c r="W5" s="8" t="n"/>
      <c r="X5" s="8" t="n"/>
      <c r="Y5" s="8" t="n"/>
      <c r="Z5" s="8" t="n"/>
    </row>
    <row r="6" ht="14" customHeight="1">
      <c r="A6" s="8" t="n"/>
      <c r="B6" s="8" t="n"/>
      <c r="C6" s="8" t="n"/>
      <c r="D6" s="22" t="inlineStr">
        <is>
          <t>Хүүхдийн хийх үйл:</t>
        </is>
      </c>
      <c r="E6" s="23" t="n"/>
      <c r="F6" s="22" t="inlineStr">
        <is>
          <t>Хүүхдийн хийх үйл:</t>
        </is>
      </c>
      <c r="G6" s="23" t="n"/>
      <c r="H6" s="22" t="inlineStr">
        <is>
          <t>Хүүхдийн хийх үйл:</t>
        </is>
      </c>
      <c r="I6" s="23" t="n"/>
      <c r="J6" s="22" t="inlineStr">
        <is>
          <t>Хүүхдийн хийх үйл:</t>
        </is>
      </c>
      <c r="K6" s="23" t="n"/>
      <c r="L6" s="22" t="inlineStr">
        <is>
          <t>Хүүхдийн хийх үйл:</t>
        </is>
      </c>
      <c r="M6" s="23" t="n"/>
      <c r="N6" s="22" t="inlineStr">
        <is>
          <t>Хүүхдийн хийх үйл:</t>
        </is>
      </c>
      <c r="O6" s="23" t="n"/>
      <c r="P6" s="22" t="inlineStr">
        <is>
          <t>Хүүхдийн хийх үйл:</t>
        </is>
      </c>
      <c r="Q6" s="23" t="n"/>
      <c r="R6" s="22" t="inlineStr">
        <is>
          <t>Хүүхдийн хийх үйл:</t>
        </is>
      </c>
      <c r="S6" s="23" t="n"/>
      <c r="T6" s="22" t="inlineStr">
        <is>
          <t>Хүүхдийн хийх үйл:</t>
        </is>
      </c>
      <c r="U6" s="23" t="n"/>
      <c r="V6" s="8" t="n"/>
      <c r="W6" s="8" t="n"/>
      <c r="X6" s="8" t="n"/>
      <c r="Y6" s="8" t="n"/>
      <c r="Z6" s="8" t="n"/>
    </row>
    <row r="7" ht="80" customHeight="1">
      <c r="A7" s="8" t="n"/>
      <c r="B7" s="8" t="n"/>
      <c r="C7" s="8" t="n"/>
      <c r="D7" s="24" t="inlineStr">
        <is>
          <t>Түүхий төмс, луувангийн зургийг харуулахад «идэж болохгүй, чанана» гэж хэлж эсвэл заадаг.</t>
        </is>
      </c>
      <c r="E7" s="23" t="n"/>
      <c r="F7" s="24" t="inlineStr">
        <is>
          <t>Халуун данх, хутга, залгуурын зургийг зааж «болохгүй» гэдэг.</t>
        </is>
      </c>
      <c r="G7" s="23" t="n"/>
      <c r="H7" s="24" t="inlineStr">
        <is>
          <t>10 м зайд тавьсан 1–2 саадыг тойрч алхдаг.</t>
        </is>
      </c>
      <c r="I7" s="23" t="n"/>
      <c r="J7" s="24" t="inlineStr">
        <is>
          <t>20 см зайтай хоёр зураасны дундуур шулуун гүйдэг.</t>
        </is>
      </c>
      <c r="K7" s="23" t="n"/>
      <c r="L7" s="24" t="inlineStr">
        <is>
          <t>20 см зайтай зураасны хооронд дөрвөн хөллөж мөлхдөг.</t>
        </is>
      </c>
      <c r="M7" s="23" t="n"/>
      <c r="N7" s="24" t="inlineStr">
        <is>
          <t>Хоёр хөлөөрөө байрандаа үсэрч, хөл дээрээ буудаг.</t>
        </is>
      </c>
      <c r="O7" s="23" t="n"/>
      <c r="P7" s="24" t="inlineStr">
        <is>
          <t>Бөмбөг, базсан цаасыг урагш эсвэл дээш шидэж дамжуулдаг.</t>
        </is>
      </c>
      <c r="Q7" s="23" t="n"/>
      <c r="R7" s="24" t="inlineStr">
        <is>
          <t>Багшийн дэмжлэгтэй гар, нүүрээ угааж, амаа зайлдаг.</t>
        </is>
      </c>
      <c r="S7" s="23" t="n"/>
      <c r="T7" s="24" t="inlineStr">
        <is>
          <t>Халбага, аягыг зориулалтаар нь барьж хооллодог.</t>
        </is>
      </c>
      <c r="U7" s="23" t="n"/>
      <c r="V7" s="8" t="n"/>
      <c r="W7" s="8" t="n"/>
      <c r="X7" s="8" t="n"/>
      <c r="Y7" s="8" t="n"/>
      <c r="Z7" s="8" t="n"/>
    </row>
    <row r="8" ht="15" customHeight="1">
      <c r="A8" s="8" t="n"/>
      <c r="B8" s="8" t="n"/>
      <c r="C8" s="8" t="n"/>
      <c r="D8" s="10" t="inlineStr">
        <is>
          <t>Шалгуур №1</t>
        </is>
      </c>
      <c r="E8" s="19" t="n"/>
      <c r="F8" s="10" t="inlineStr">
        <is>
          <t>Шалгуур №2</t>
        </is>
      </c>
      <c r="G8" s="19" t="n"/>
      <c r="H8" s="10" t="inlineStr">
        <is>
          <t>Шалгуур №12</t>
        </is>
      </c>
      <c r="I8" s="19" t="n"/>
      <c r="J8" s="10" t="inlineStr">
        <is>
          <t>Шалгуур №13</t>
        </is>
      </c>
      <c r="K8" s="19" t="n"/>
      <c r="L8" s="10" t="inlineStr">
        <is>
          <t>Шалгуур №14</t>
        </is>
      </c>
      <c r="M8" s="19" t="n"/>
      <c r="N8" s="10" t="inlineStr">
        <is>
          <t>Шалгуур №15</t>
        </is>
      </c>
      <c r="O8" s="19" t="n"/>
      <c r="P8" s="10" t="inlineStr">
        <is>
          <t>Шалгуур №16</t>
        </is>
      </c>
      <c r="Q8" s="19" t="n"/>
      <c r="R8" s="10" t="inlineStr">
        <is>
          <t>Шалгуур №17</t>
        </is>
      </c>
      <c r="S8" s="19" t="n"/>
      <c r="T8" s="10" t="inlineStr">
        <is>
          <t>Шалгуур №18</t>
        </is>
      </c>
      <c r="U8" s="19" t="n"/>
      <c r="V8" s="8" t="n"/>
      <c r="W8" s="8" t="n"/>
      <c r="X8" s="8" t="n"/>
      <c r="Y8" s="8" t="n"/>
      <c r="Z8" s="8" t="n"/>
    </row>
    <row r="9" ht="24" customHeight="1">
      <c r="A9" s="8" t="n"/>
      <c r="B9" s="8" t="n"/>
      <c r="C9" s="8" t="n"/>
      <c r="D9" s="11" t="inlineStr">
        <is>
          <t>Чадна</t>
        </is>
      </c>
      <c r="E9" s="11" t="inlineStr">
        <is>
          <t>Чадахгүй</t>
        </is>
      </c>
      <c r="F9" s="11" t="inlineStr">
        <is>
          <t>Чадна</t>
        </is>
      </c>
      <c r="G9" s="11" t="inlineStr">
        <is>
          <t>Чадахгүй</t>
        </is>
      </c>
      <c r="H9" s="11" t="inlineStr">
        <is>
          <t>Чадна</t>
        </is>
      </c>
      <c r="I9" s="11" t="inlineStr">
        <is>
          <t>Чадахгүй</t>
        </is>
      </c>
      <c r="J9" s="11" t="inlineStr">
        <is>
          <t>Чадна</t>
        </is>
      </c>
      <c r="K9" s="11" t="inlineStr">
        <is>
          <t>Чадахгүй</t>
        </is>
      </c>
      <c r="L9" s="11" t="inlineStr">
        <is>
          <t>Чадна</t>
        </is>
      </c>
      <c r="M9" s="11" t="inlineStr">
        <is>
          <t>Чадахгүй</t>
        </is>
      </c>
      <c r="N9" s="11" t="inlineStr">
        <is>
          <t>Чадна</t>
        </is>
      </c>
      <c r="O9" s="11" t="inlineStr">
        <is>
          <t>Чадахгүй</t>
        </is>
      </c>
      <c r="P9" s="11" t="inlineStr">
        <is>
          <t>Чадна</t>
        </is>
      </c>
      <c r="Q9" s="11" t="inlineStr">
        <is>
          <t>Чадахгүй</t>
        </is>
      </c>
      <c r="R9" s="11" t="inlineStr">
        <is>
          <t>Чадна</t>
        </is>
      </c>
      <c r="S9" s="11" t="inlineStr">
        <is>
          <t>Чадахгүй</t>
        </is>
      </c>
      <c r="T9" s="11" t="inlineStr">
        <is>
          <t>Чадна</t>
        </is>
      </c>
      <c r="U9" s="11" t="inlineStr">
        <is>
          <t>Чадахгүй</t>
        </is>
      </c>
      <c r="V9" s="8" t="n"/>
      <c r="W9" s="8" t="n"/>
      <c r="X9" s="8" t="n"/>
      <c r="Y9" s="8" t="n"/>
      <c r="Z9" s="8" t="n"/>
    </row>
    <row r="10" ht="17" customHeight="1">
      <c r="A10" s="12" t="n">
        <v>1</v>
      </c>
      <c r="B10" s="13">
        <f>IF(Нэгтгэл!B7="","",Нэгтгэл!B7)</f>
        <v/>
      </c>
      <c r="C10" s="8" t="n"/>
      <c r="D10" s="12" t="n"/>
      <c r="E10" s="12" t="n"/>
      <c r="F10" s="12" t="n"/>
      <c r="G10" s="12" t="n"/>
      <c r="H10" s="12" t="n"/>
      <c r="I10" s="12" t="n"/>
      <c r="J10" s="12" t="n"/>
      <c r="K10" s="12" t="n"/>
      <c r="L10" s="12" t="n"/>
      <c r="M10" s="12" t="n"/>
      <c r="N10" s="12" t="n"/>
      <c r="O10" s="12" t="n"/>
      <c r="P10" s="12" t="n"/>
      <c r="Q10" s="12" t="n"/>
      <c r="R10" s="12" t="n"/>
      <c r="S10" s="12" t="n"/>
      <c r="T10" s="12" t="n"/>
      <c r="U10" s="12" t="n"/>
      <c r="V10" s="14">
        <f>SUM(D10,F10,H10,J10,L10,N10,P10,R10,T10)</f>
        <v/>
      </c>
      <c r="W10" s="12">
        <f>IF(V10+X10=0,"",ROUND(V10/9*100,1))</f>
        <v/>
      </c>
      <c r="X10" s="14">
        <f>SUM(E10,G10,I10,K10,M10,O10,Q10,S10,U10)</f>
        <v/>
      </c>
      <c r="Y10" s="12">
        <f>IF(V10+X10=0,"",ROUND(X10/9*100,1))</f>
        <v/>
      </c>
      <c r="Z10" s="25">
        <f>IF(W10="","",IF(W10&gt;=80,"Хангалттай эзэмшиж байна",IF(W10&gt;=50,"Ахиж байна","Хөгжиж байна")))</f>
        <v/>
      </c>
    </row>
    <row r="11" ht="17" customHeight="1">
      <c r="A11" s="12" t="n">
        <v>2</v>
      </c>
      <c r="B11" s="13">
        <f>IF(Нэгтгэл!B8="","",Нэгтгэл!B8)</f>
        <v/>
      </c>
      <c r="C11" s="8" t="n"/>
      <c r="D11" s="12" t="n"/>
      <c r="E11" s="12" t="n"/>
      <c r="F11" s="12" t="n"/>
      <c r="G11" s="12" t="n"/>
      <c r="H11" s="12" t="n"/>
      <c r="I11" s="12" t="n"/>
      <c r="J11" s="12" t="n"/>
      <c r="K11" s="12" t="n"/>
      <c r="L11" s="12" t="n"/>
      <c r="M11" s="12" t="n"/>
      <c r="N11" s="12" t="n"/>
      <c r="O11" s="12" t="n"/>
      <c r="P11" s="12" t="n"/>
      <c r="Q11" s="12" t="n"/>
      <c r="R11" s="12" t="n"/>
      <c r="S11" s="12" t="n"/>
      <c r="T11" s="12" t="n"/>
      <c r="U11" s="12" t="n"/>
      <c r="V11" s="14">
        <f>SUM(D11,F11,H11,J11,L11,N11,P11,R11,T11)</f>
        <v/>
      </c>
      <c r="W11" s="12">
        <f>IF(V11+X11=0,"",ROUND(V11/9*100,1))</f>
        <v/>
      </c>
      <c r="X11" s="14">
        <f>SUM(E11,G11,I11,K11,M11,O11,Q11,S11,U11)</f>
        <v/>
      </c>
      <c r="Y11" s="12">
        <f>IF(V11+X11=0,"",ROUND(X11/9*100,1))</f>
        <v/>
      </c>
      <c r="Z11" s="25">
        <f>IF(W11="","",IF(W11&gt;=80,"Хангалттай эзэмшиж байна",IF(W11&gt;=50,"Ахиж байна","Хөгжиж байна")))</f>
        <v/>
      </c>
    </row>
    <row r="12" ht="17" customHeight="1">
      <c r="A12" s="12" t="n">
        <v>3</v>
      </c>
      <c r="B12" s="13">
        <f>IF(Нэгтгэл!B9="","",Нэгтгэл!B9)</f>
        <v/>
      </c>
      <c r="C12" s="8" t="n"/>
      <c r="D12" s="12" t="n"/>
      <c r="E12" s="12" t="n"/>
      <c r="F12" s="12" t="n"/>
      <c r="G12" s="12" t="n"/>
      <c r="H12" s="12" t="n"/>
      <c r="I12" s="12" t="n"/>
      <c r="J12" s="12" t="n"/>
      <c r="K12" s="12" t="n"/>
      <c r="L12" s="12" t="n"/>
      <c r="M12" s="12" t="n"/>
      <c r="N12" s="12" t="n"/>
      <c r="O12" s="12" t="n"/>
      <c r="P12" s="12" t="n"/>
      <c r="Q12" s="12" t="n"/>
      <c r="R12" s="12" t="n"/>
      <c r="S12" s="12" t="n"/>
      <c r="T12" s="12" t="n"/>
      <c r="U12" s="12" t="n"/>
      <c r="V12" s="14">
        <f>SUM(D12,F12,H12,J12,L12,N12,P12,R12,T12)</f>
        <v/>
      </c>
      <c r="W12" s="12">
        <f>IF(V12+X12=0,"",ROUND(V12/9*100,1))</f>
        <v/>
      </c>
      <c r="X12" s="14">
        <f>SUM(E12,G12,I12,K12,M12,O12,Q12,S12,U12)</f>
        <v/>
      </c>
      <c r="Y12" s="12">
        <f>IF(V12+X12=0,"",ROUND(X12/9*100,1))</f>
        <v/>
      </c>
      <c r="Z12" s="25">
        <f>IF(W12="","",IF(W12&gt;=80,"Хангалттай эзэмшиж байна",IF(W12&gt;=50,"Ахиж байна","Хөгжиж байна")))</f>
        <v/>
      </c>
    </row>
    <row r="13" ht="17" customHeight="1">
      <c r="A13" s="12" t="n">
        <v>4</v>
      </c>
      <c r="B13" s="13">
        <f>IF(Нэгтгэл!B10="","",Нэгтгэл!B10)</f>
        <v/>
      </c>
      <c r="C13" s="8" t="n"/>
      <c r="D13" s="12" t="n"/>
      <c r="E13" s="12" t="n"/>
      <c r="F13" s="12" t="n"/>
      <c r="G13" s="12" t="n"/>
      <c r="H13" s="12" t="n"/>
      <c r="I13" s="12" t="n"/>
      <c r="J13" s="12" t="n"/>
      <c r="K13" s="12" t="n"/>
      <c r="L13" s="12" t="n"/>
      <c r="M13" s="12" t="n"/>
      <c r="N13" s="12" t="n"/>
      <c r="O13" s="12" t="n"/>
      <c r="P13" s="12" t="n"/>
      <c r="Q13" s="12" t="n"/>
      <c r="R13" s="12" t="n"/>
      <c r="S13" s="12" t="n"/>
      <c r="T13" s="12" t="n"/>
      <c r="U13" s="12" t="n"/>
      <c r="V13" s="14">
        <f>SUM(D13,F13,H13,J13,L13,N13,P13,R13,T13)</f>
        <v/>
      </c>
      <c r="W13" s="12">
        <f>IF(V13+X13=0,"",ROUND(V13/9*100,1))</f>
        <v/>
      </c>
      <c r="X13" s="14">
        <f>SUM(E13,G13,I13,K13,M13,O13,Q13,S13,U13)</f>
        <v/>
      </c>
      <c r="Y13" s="12">
        <f>IF(V13+X13=0,"",ROUND(X13/9*100,1))</f>
        <v/>
      </c>
      <c r="Z13" s="25">
        <f>IF(W13="","",IF(W13&gt;=80,"Хангалттай эзэмшиж байна",IF(W13&gt;=50,"Ахиж байна","Хөгжиж байна")))</f>
        <v/>
      </c>
    </row>
    <row r="14" ht="17" customHeight="1">
      <c r="A14" s="12" t="n">
        <v>5</v>
      </c>
      <c r="B14" s="13">
        <f>IF(Нэгтгэл!B11="","",Нэгтгэл!B11)</f>
        <v/>
      </c>
      <c r="C14" s="8" t="n"/>
      <c r="D14" s="12" t="n"/>
      <c r="E14" s="12" t="n"/>
      <c r="F14" s="12" t="n"/>
      <c r="G14" s="12" t="n"/>
      <c r="H14" s="12" t="n"/>
      <c r="I14" s="12" t="n"/>
      <c r="J14" s="12" t="n"/>
      <c r="K14" s="12" t="n"/>
      <c r="L14" s="12" t="n"/>
      <c r="M14" s="12" t="n"/>
      <c r="N14" s="12" t="n"/>
      <c r="O14" s="12" t="n"/>
      <c r="P14" s="12" t="n"/>
      <c r="Q14" s="12" t="n"/>
      <c r="R14" s="12" t="n"/>
      <c r="S14" s="12" t="n"/>
      <c r="T14" s="12" t="n"/>
      <c r="U14" s="12" t="n"/>
      <c r="V14" s="14">
        <f>SUM(D14,F14,H14,J14,L14,N14,P14,R14,T14)</f>
        <v/>
      </c>
      <c r="W14" s="12">
        <f>IF(V14+X14=0,"",ROUND(V14/9*100,1))</f>
        <v/>
      </c>
      <c r="X14" s="14">
        <f>SUM(E14,G14,I14,K14,M14,O14,Q14,S14,U14)</f>
        <v/>
      </c>
      <c r="Y14" s="12">
        <f>IF(V14+X14=0,"",ROUND(X14/9*100,1))</f>
        <v/>
      </c>
      <c r="Z14" s="25">
        <f>IF(W14="","",IF(W14&gt;=80,"Хангалттай эзэмшиж байна",IF(W14&gt;=50,"Ахиж байна","Хөгжиж байна")))</f>
        <v/>
      </c>
    </row>
    <row r="15" ht="17" customHeight="1">
      <c r="A15" s="12" t="n">
        <v>6</v>
      </c>
      <c r="B15" s="13">
        <f>IF(Нэгтгэл!B12="","",Нэгтгэл!B12)</f>
        <v/>
      </c>
      <c r="C15" s="8" t="n"/>
      <c r="D15" s="12" t="n"/>
      <c r="E15" s="12" t="n"/>
      <c r="F15" s="12" t="n"/>
      <c r="G15" s="12" t="n"/>
      <c r="H15" s="12" t="n"/>
      <c r="I15" s="12" t="n"/>
      <c r="J15" s="12" t="n"/>
      <c r="K15" s="12" t="n"/>
      <c r="L15" s="12" t="n"/>
      <c r="M15" s="12" t="n"/>
      <c r="N15" s="12" t="n"/>
      <c r="O15" s="12" t="n"/>
      <c r="P15" s="12" t="n"/>
      <c r="Q15" s="12" t="n"/>
      <c r="R15" s="12" t="n"/>
      <c r="S15" s="12" t="n"/>
      <c r="T15" s="12" t="n"/>
      <c r="U15" s="12" t="n"/>
      <c r="V15" s="14">
        <f>SUM(D15,F15,H15,J15,L15,N15,P15,R15,T15)</f>
        <v/>
      </c>
      <c r="W15" s="12">
        <f>IF(V15+X15=0,"",ROUND(V15/9*100,1))</f>
        <v/>
      </c>
      <c r="X15" s="14">
        <f>SUM(E15,G15,I15,K15,M15,O15,Q15,S15,U15)</f>
        <v/>
      </c>
      <c r="Y15" s="12">
        <f>IF(V15+X15=0,"",ROUND(X15/9*100,1))</f>
        <v/>
      </c>
      <c r="Z15" s="25">
        <f>IF(W15="","",IF(W15&gt;=80,"Хангалттай эзэмшиж байна",IF(W15&gt;=50,"Ахиж байна","Хөгжиж байна")))</f>
        <v/>
      </c>
    </row>
    <row r="16" ht="17" customHeight="1">
      <c r="A16" s="12" t="n">
        <v>7</v>
      </c>
      <c r="B16" s="13">
        <f>IF(Нэгтгэл!B13="","",Нэгтгэл!B13)</f>
        <v/>
      </c>
      <c r="C16" s="8" t="n"/>
      <c r="D16" s="12" t="n"/>
      <c r="E16" s="12" t="n"/>
      <c r="F16" s="12" t="n"/>
      <c r="G16" s="12" t="n"/>
      <c r="H16" s="12" t="n"/>
      <c r="I16" s="12" t="n"/>
      <c r="J16" s="12" t="n"/>
      <c r="K16" s="12" t="n"/>
      <c r="L16" s="12" t="n"/>
      <c r="M16" s="12" t="n"/>
      <c r="N16" s="12" t="n"/>
      <c r="O16" s="12" t="n"/>
      <c r="P16" s="12" t="n"/>
      <c r="Q16" s="12" t="n"/>
      <c r="R16" s="12" t="n"/>
      <c r="S16" s="12" t="n"/>
      <c r="T16" s="12" t="n"/>
      <c r="U16" s="12" t="n"/>
      <c r="V16" s="14">
        <f>SUM(D16,F16,H16,J16,L16,N16,P16,R16,T16)</f>
        <v/>
      </c>
      <c r="W16" s="12">
        <f>IF(V16+X16=0,"",ROUND(V16/9*100,1))</f>
        <v/>
      </c>
      <c r="X16" s="14">
        <f>SUM(E16,G16,I16,K16,M16,O16,Q16,S16,U16)</f>
        <v/>
      </c>
      <c r="Y16" s="12">
        <f>IF(V16+X16=0,"",ROUND(X16/9*100,1))</f>
        <v/>
      </c>
      <c r="Z16" s="25">
        <f>IF(W16="","",IF(W16&gt;=80,"Хангалттай эзэмшиж байна",IF(W16&gt;=50,"Ахиж байна","Хөгжиж байна")))</f>
        <v/>
      </c>
    </row>
    <row r="17" ht="17" customHeight="1">
      <c r="A17" s="12" t="n">
        <v>8</v>
      </c>
      <c r="B17" s="13">
        <f>IF(Нэгтгэл!B14="","",Нэгтгэл!B14)</f>
        <v/>
      </c>
      <c r="C17" s="8" t="n"/>
      <c r="D17" s="12" t="n"/>
      <c r="E17" s="12" t="n"/>
      <c r="F17" s="12" t="n"/>
      <c r="G17" s="12" t="n"/>
      <c r="H17" s="12" t="n"/>
      <c r="I17" s="12" t="n"/>
      <c r="J17" s="12" t="n"/>
      <c r="K17" s="12" t="n"/>
      <c r="L17" s="12" t="n"/>
      <c r="M17" s="12" t="n"/>
      <c r="N17" s="12" t="n"/>
      <c r="O17" s="12" t="n"/>
      <c r="P17" s="12" t="n"/>
      <c r="Q17" s="12" t="n"/>
      <c r="R17" s="12" t="n"/>
      <c r="S17" s="12" t="n"/>
      <c r="T17" s="12" t="n"/>
      <c r="U17" s="12" t="n"/>
      <c r="V17" s="14">
        <f>SUM(D17,F17,H17,J17,L17,N17,P17,R17,T17)</f>
        <v/>
      </c>
      <c r="W17" s="12">
        <f>IF(V17+X17=0,"",ROUND(V17/9*100,1))</f>
        <v/>
      </c>
      <c r="X17" s="14">
        <f>SUM(E17,G17,I17,K17,M17,O17,Q17,S17,U17)</f>
        <v/>
      </c>
      <c r="Y17" s="12">
        <f>IF(V17+X17=0,"",ROUND(X17/9*100,1))</f>
        <v/>
      </c>
      <c r="Z17" s="25">
        <f>IF(W17="","",IF(W17&gt;=80,"Хангалттай эзэмшиж байна",IF(W17&gt;=50,"Ахиж байна","Хөгжиж байна")))</f>
        <v/>
      </c>
    </row>
    <row r="18" ht="17" customHeight="1">
      <c r="A18" s="12" t="n">
        <v>9</v>
      </c>
      <c r="B18" s="13">
        <f>IF(Нэгтгэл!B15="","",Нэгтгэл!B15)</f>
        <v/>
      </c>
      <c r="C18" s="8" t="n"/>
      <c r="D18" s="12" t="n"/>
      <c r="E18" s="12" t="n"/>
      <c r="F18" s="12" t="n"/>
      <c r="G18" s="12" t="n"/>
      <c r="H18" s="12" t="n"/>
      <c r="I18" s="12" t="n"/>
      <c r="J18" s="12" t="n"/>
      <c r="K18" s="12" t="n"/>
      <c r="L18" s="12" t="n"/>
      <c r="M18" s="12" t="n"/>
      <c r="N18" s="12" t="n"/>
      <c r="O18" s="12" t="n"/>
      <c r="P18" s="12" t="n"/>
      <c r="Q18" s="12" t="n"/>
      <c r="R18" s="12" t="n"/>
      <c r="S18" s="12" t="n"/>
      <c r="T18" s="12" t="n"/>
      <c r="U18" s="12" t="n"/>
      <c r="V18" s="14">
        <f>SUM(D18,F18,H18,J18,L18,N18,P18,R18,T18)</f>
        <v/>
      </c>
      <c r="W18" s="12">
        <f>IF(V18+X18=0,"",ROUND(V18/9*100,1))</f>
        <v/>
      </c>
      <c r="X18" s="14">
        <f>SUM(E18,G18,I18,K18,M18,O18,Q18,S18,U18)</f>
        <v/>
      </c>
      <c r="Y18" s="12">
        <f>IF(V18+X18=0,"",ROUND(X18/9*100,1))</f>
        <v/>
      </c>
      <c r="Z18" s="25">
        <f>IF(W18="","",IF(W18&gt;=80,"Хангалттай эзэмшиж байна",IF(W18&gt;=50,"Ахиж байна","Хөгжиж байна")))</f>
        <v/>
      </c>
    </row>
    <row r="19" ht="17" customHeight="1">
      <c r="A19" s="12" t="n">
        <v>10</v>
      </c>
      <c r="B19" s="13">
        <f>IF(Нэгтгэл!B16="","",Нэгтгэл!B16)</f>
        <v/>
      </c>
      <c r="C19" s="8" t="n"/>
      <c r="D19" s="12" t="n"/>
      <c r="E19" s="12" t="n"/>
      <c r="F19" s="12" t="n"/>
      <c r="G19" s="12" t="n"/>
      <c r="H19" s="12" t="n"/>
      <c r="I19" s="12" t="n"/>
      <c r="J19" s="12" t="n"/>
      <c r="K19" s="12" t="n"/>
      <c r="L19" s="12" t="n"/>
      <c r="M19" s="12" t="n"/>
      <c r="N19" s="12" t="n"/>
      <c r="O19" s="12" t="n"/>
      <c r="P19" s="12" t="n"/>
      <c r="Q19" s="12" t="n"/>
      <c r="R19" s="12" t="n"/>
      <c r="S19" s="12" t="n"/>
      <c r="T19" s="12" t="n"/>
      <c r="U19" s="12" t="n"/>
      <c r="V19" s="14">
        <f>SUM(D19,F19,H19,J19,L19,N19,P19,R19,T19)</f>
        <v/>
      </c>
      <c r="W19" s="12">
        <f>IF(V19+X19=0,"",ROUND(V19/9*100,1))</f>
        <v/>
      </c>
      <c r="X19" s="14">
        <f>SUM(E19,G19,I19,K19,M19,O19,Q19,S19,U19)</f>
        <v/>
      </c>
      <c r="Y19" s="12">
        <f>IF(V19+X19=0,"",ROUND(X19/9*100,1))</f>
        <v/>
      </c>
      <c r="Z19" s="25">
        <f>IF(W19="","",IF(W19&gt;=80,"Хангалттай эзэмшиж байна",IF(W19&gt;=50,"Ахиж байна","Хөгжиж байна")))</f>
        <v/>
      </c>
    </row>
    <row r="20" ht="17" customHeight="1">
      <c r="A20" s="12" t="n">
        <v>11</v>
      </c>
      <c r="B20" s="13">
        <f>IF(Нэгтгэл!B17="","",Нэгтгэл!B17)</f>
        <v/>
      </c>
      <c r="C20" s="8" t="n"/>
      <c r="D20" s="12" t="n"/>
      <c r="E20" s="12" t="n"/>
      <c r="F20" s="12" t="n"/>
      <c r="G20" s="12" t="n"/>
      <c r="H20" s="12" t="n"/>
      <c r="I20" s="12" t="n"/>
      <c r="J20" s="12" t="n"/>
      <c r="K20" s="12" t="n"/>
      <c r="L20" s="12" t="n"/>
      <c r="M20" s="12" t="n"/>
      <c r="N20" s="12" t="n"/>
      <c r="O20" s="12" t="n"/>
      <c r="P20" s="12" t="n"/>
      <c r="Q20" s="12" t="n"/>
      <c r="R20" s="12" t="n"/>
      <c r="S20" s="12" t="n"/>
      <c r="T20" s="12" t="n"/>
      <c r="U20" s="12" t="n"/>
      <c r="V20" s="14">
        <f>SUM(D20,F20,H20,J20,L20,N20,P20,R20,T20)</f>
        <v/>
      </c>
      <c r="W20" s="12">
        <f>IF(V20+X20=0,"",ROUND(V20/9*100,1))</f>
        <v/>
      </c>
      <c r="X20" s="14">
        <f>SUM(E20,G20,I20,K20,M20,O20,Q20,S20,U20)</f>
        <v/>
      </c>
      <c r="Y20" s="12">
        <f>IF(V20+X20=0,"",ROUND(X20/9*100,1))</f>
        <v/>
      </c>
      <c r="Z20" s="25">
        <f>IF(W20="","",IF(W20&gt;=80,"Хангалттай эзэмшиж байна",IF(W20&gt;=50,"Ахиж байна","Хөгжиж байна")))</f>
        <v/>
      </c>
    </row>
    <row r="21" ht="17" customHeight="1">
      <c r="A21" s="12" t="n">
        <v>12</v>
      </c>
      <c r="B21" s="13">
        <f>IF(Нэгтгэл!B18="","",Нэгтгэл!B18)</f>
        <v/>
      </c>
      <c r="C21" s="8" t="n"/>
      <c r="D21" s="12" t="n"/>
      <c r="E21" s="12" t="n"/>
      <c r="F21" s="12" t="n"/>
      <c r="G21" s="12" t="n"/>
      <c r="H21" s="12" t="n"/>
      <c r="I21" s="12" t="n"/>
      <c r="J21" s="12" t="n"/>
      <c r="K21" s="12" t="n"/>
      <c r="L21" s="12" t="n"/>
      <c r="M21" s="12" t="n"/>
      <c r="N21" s="12" t="n"/>
      <c r="O21" s="12" t="n"/>
      <c r="P21" s="12" t="n"/>
      <c r="Q21" s="12" t="n"/>
      <c r="R21" s="12" t="n"/>
      <c r="S21" s="12" t="n"/>
      <c r="T21" s="12" t="n"/>
      <c r="U21" s="12" t="n"/>
      <c r="V21" s="14">
        <f>SUM(D21,F21,H21,J21,L21,N21,P21,R21,T21)</f>
        <v/>
      </c>
      <c r="W21" s="12">
        <f>IF(V21+X21=0,"",ROUND(V21/9*100,1))</f>
        <v/>
      </c>
      <c r="X21" s="14">
        <f>SUM(E21,G21,I21,K21,M21,O21,Q21,S21,U21)</f>
        <v/>
      </c>
      <c r="Y21" s="12">
        <f>IF(V21+X21=0,"",ROUND(X21/9*100,1))</f>
        <v/>
      </c>
      <c r="Z21" s="25">
        <f>IF(W21="","",IF(W21&gt;=80,"Хангалттай эзэмшиж байна",IF(W21&gt;=50,"Ахиж байна","Хөгжиж байна")))</f>
        <v/>
      </c>
    </row>
    <row r="22" ht="17" customHeight="1">
      <c r="A22" s="12" t="n">
        <v>13</v>
      </c>
      <c r="B22" s="13">
        <f>IF(Нэгтгэл!B19="","",Нэгтгэл!B19)</f>
        <v/>
      </c>
      <c r="C22" s="8" t="n"/>
      <c r="D22" s="12" t="n"/>
      <c r="E22" s="12" t="n"/>
      <c r="F22" s="12" t="n"/>
      <c r="G22" s="12" t="n"/>
      <c r="H22" s="12" t="n"/>
      <c r="I22" s="12" t="n"/>
      <c r="J22" s="12" t="n"/>
      <c r="K22" s="12" t="n"/>
      <c r="L22" s="12" t="n"/>
      <c r="M22" s="12" t="n"/>
      <c r="N22" s="12" t="n"/>
      <c r="O22" s="12" t="n"/>
      <c r="P22" s="12" t="n"/>
      <c r="Q22" s="12" t="n"/>
      <c r="R22" s="12" t="n"/>
      <c r="S22" s="12" t="n"/>
      <c r="T22" s="12" t="n"/>
      <c r="U22" s="12" t="n"/>
      <c r="V22" s="14">
        <f>SUM(D22,F22,H22,J22,L22,N22,P22,R22,T22)</f>
        <v/>
      </c>
      <c r="W22" s="12">
        <f>IF(V22+X22=0,"",ROUND(V22/9*100,1))</f>
        <v/>
      </c>
      <c r="X22" s="14">
        <f>SUM(E22,G22,I22,K22,M22,O22,Q22,S22,U22)</f>
        <v/>
      </c>
      <c r="Y22" s="12">
        <f>IF(V22+X22=0,"",ROUND(X22/9*100,1))</f>
        <v/>
      </c>
      <c r="Z22" s="25">
        <f>IF(W22="","",IF(W22&gt;=80,"Хангалттай эзэмшиж байна",IF(W22&gt;=50,"Ахиж байна","Хөгжиж байна")))</f>
        <v/>
      </c>
    </row>
    <row r="23" ht="17" customHeight="1">
      <c r="A23" s="12" t="n">
        <v>14</v>
      </c>
      <c r="B23" s="13">
        <f>IF(Нэгтгэл!B20="","",Нэгтгэл!B20)</f>
        <v/>
      </c>
      <c r="C23" s="8" t="n"/>
      <c r="D23" s="12" t="n"/>
      <c r="E23" s="12" t="n"/>
      <c r="F23" s="12" t="n"/>
      <c r="G23" s="12" t="n"/>
      <c r="H23" s="12" t="n"/>
      <c r="I23" s="12" t="n"/>
      <c r="J23" s="12" t="n"/>
      <c r="K23" s="12" t="n"/>
      <c r="L23" s="12" t="n"/>
      <c r="M23" s="12" t="n"/>
      <c r="N23" s="12" t="n"/>
      <c r="O23" s="12" t="n"/>
      <c r="P23" s="12" t="n"/>
      <c r="Q23" s="12" t="n"/>
      <c r="R23" s="12" t="n"/>
      <c r="S23" s="12" t="n"/>
      <c r="T23" s="12" t="n"/>
      <c r="U23" s="12" t="n"/>
      <c r="V23" s="14">
        <f>SUM(D23,F23,H23,J23,L23,N23,P23,R23,T23)</f>
        <v/>
      </c>
      <c r="W23" s="12">
        <f>IF(V23+X23=0,"",ROUND(V23/9*100,1))</f>
        <v/>
      </c>
      <c r="X23" s="14">
        <f>SUM(E23,G23,I23,K23,M23,O23,Q23,S23,U23)</f>
        <v/>
      </c>
      <c r="Y23" s="12">
        <f>IF(V23+X23=0,"",ROUND(X23/9*100,1))</f>
        <v/>
      </c>
      <c r="Z23" s="25">
        <f>IF(W23="","",IF(W23&gt;=80,"Хангалттай эзэмшиж байна",IF(W23&gt;=50,"Ахиж байна","Хөгжиж байна")))</f>
        <v/>
      </c>
    </row>
    <row r="24" ht="17" customHeight="1">
      <c r="A24" s="12" t="n">
        <v>15</v>
      </c>
      <c r="B24" s="13">
        <f>IF(Нэгтгэл!B21="","",Нэгтгэл!B21)</f>
        <v/>
      </c>
      <c r="C24" s="8" t="n"/>
      <c r="D24" s="12" t="n"/>
      <c r="E24" s="12" t="n"/>
      <c r="F24" s="12" t="n"/>
      <c r="G24" s="12" t="n"/>
      <c r="H24" s="12" t="n"/>
      <c r="I24" s="12" t="n"/>
      <c r="J24" s="12" t="n"/>
      <c r="K24" s="12" t="n"/>
      <c r="L24" s="12" t="n"/>
      <c r="M24" s="12" t="n"/>
      <c r="N24" s="12" t="n"/>
      <c r="O24" s="12" t="n"/>
      <c r="P24" s="12" t="n"/>
      <c r="Q24" s="12" t="n"/>
      <c r="R24" s="12" t="n"/>
      <c r="S24" s="12" t="n"/>
      <c r="T24" s="12" t="n"/>
      <c r="U24" s="12" t="n"/>
      <c r="V24" s="14">
        <f>SUM(D24,F24,H24,J24,L24,N24,P24,R24,T24)</f>
        <v/>
      </c>
      <c r="W24" s="12">
        <f>IF(V24+X24=0,"",ROUND(V24/9*100,1))</f>
        <v/>
      </c>
      <c r="X24" s="14">
        <f>SUM(E24,G24,I24,K24,M24,O24,Q24,S24,U24)</f>
        <v/>
      </c>
      <c r="Y24" s="12">
        <f>IF(V24+X24=0,"",ROUND(X24/9*100,1))</f>
        <v/>
      </c>
      <c r="Z24" s="25">
        <f>IF(W24="","",IF(W24&gt;=80,"Хангалттай эзэмшиж байна",IF(W24&gt;=50,"Ахиж байна","Хөгжиж байна")))</f>
        <v/>
      </c>
    </row>
    <row r="25" ht="17" customHeight="1">
      <c r="A25" s="12" t="n">
        <v>16</v>
      </c>
      <c r="B25" s="13">
        <f>IF(Нэгтгэл!B22="","",Нэгтгэл!B22)</f>
        <v/>
      </c>
      <c r="C25" s="8" t="n"/>
      <c r="D25" s="12" t="n"/>
      <c r="E25" s="12" t="n"/>
      <c r="F25" s="12" t="n"/>
      <c r="G25" s="12" t="n"/>
      <c r="H25" s="12" t="n"/>
      <c r="I25" s="12" t="n"/>
      <c r="J25" s="12" t="n"/>
      <c r="K25" s="12" t="n"/>
      <c r="L25" s="12" t="n"/>
      <c r="M25" s="12" t="n"/>
      <c r="N25" s="12" t="n"/>
      <c r="O25" s="12" t="n"/>
      <c r="P25" s="12" t="n"/>
      <c r="Q25" s="12" t="n"/>
      <c r="R25" s="12" t="n"/>
      <c r="S25" s="12" t="n"/>
      <c r="T25" s="12" t="n"/>
      <c r="U25" s="12" t="n"/>
      <c r="V25" s="14">
        <f>SUM(D25,F25,H25,J25,L25,N25,P25,R25,T25)</f>
        <v/>
      </c>
      <c r="W25" s="12">
        <f>IF(V25+X25=0,"",ROUND(V25/9*100,1))</f>
        <v/>
      </c>
      <c r="X25" s="14">
        <f>SUM(E25,G25,I25,K25,M25,O25,Q25,S25,U25)</f>
        <v/>
      </c>
      <c r="Y25" s="12">
        <f>IF(V25+X25=0,"",ROUND(X25/9*100,1))</f>
        <v/>
      </c>
      <c r="Z25" s="25">
        <f>IF(W25="","",IF(W25&gt;=80,"Хангалттай эзэмшиж байна",IF(W25&gt;=50,"Ахиж байна","Хөгжиж байна")))</f>
        <v/>
      </c>
    </row>
    <row r="26" ht="17" customHeight="1">
      <c r="A26" s="12" t="n">
        <v>17</v>
      </c>
      <c r="B26" s="13">
        <f>IF(Нэгтгэл!B23="","",Нэгтгэл!B23)</f>
        <v/>
      </c>
      <c r="C26" s="8" t="n"/>
      <c r="D26" s="12" t="n"/>
      <c r="E26" s="12" t="n"/>
      <c r="F26" s="12" t="n"/>
      <c r="G26" s="12" t="n"/>
      <c r="H26" s="12" t="n"/>
      <c r="I26" s="12" t="n"/>
      <c r="J26" s="12" t="n"/>
      <c r="K26" s="12" t="n"/>
      <c r="L26" s="12" t="n"/>
      <c r="M26" s="12" t="n"/>
      <c r="N26" s="12" t="n"/>
      <c r="O26" s="12" t="n"/>
      <c r="P26" s="12" t="n"/>
      <c r="Q26" s="12" t="n"/>
      <c r="R26" s="12" t="n"/>
      <c r="S26" s="12" t="n"/>
      <c r="T26" s="12" t="n"/>
      <c r="U26" s="12" t="n"/>
      <c r="V26" s="14">
        <f>SUM(D26,F26,H26,J26,L26,N26,P26,R26,T26)</f>
        <v/>
      </c>
      <c r="W26" s="12">
        <f>IF(V26+X26=0,"",ROUND(V26/9*100,1))</f>
        <v/>
      </c>
      <c r="X26" s="14">
        <f>SUM(E26,G26,I26,K26,M26,O26,Q26,S26,U26)</f>
        <v/>
      </c>
      <c r="Y26" s="12">
        <f>IF(V26+X26=0,"",ROUND(X26/9*100,1))</f>
        <v/>
      </c>
      <c r="Z26" s="25">
        <f>IF(W26="","",IF(W26&gt;=80,"Хангалттай эзэмшиж байна",IF(W26&gt;=50,"Ахиж байна","Хөгжиж байна")))</f>
        <v/>
      </c>
    </row>
    <row r="27" ht="17" customHeight="1">
      <c r="A27" s="12" t="n">
        <v>18</v>
      </c>
      <c r="B27" s="13">
        <f>IF(Нэгтгэл!B24="","",Нэгтгэл!B24)</f>
        <v/>
      </c>
      <c r="C27" s="8" t="n"/>
      <c r="D27" s="12" t="n"/>
      <c r="E27" s="12" t="n"/>
      <c r="F27" s="12" t="n"/>
      <c r="G27" s="12" t="n"/>
      <c r="H27" s="12" t="n"/>
      <c r="I27" s="12" t="n"/>
      <c r="J27" s="12" t="n"/>
      <c r="K27" s="12" t="n"/>
      <c r="L27" s="12" t="n"/>
      <c r="M27" s="12" t="n"/>
      <c r="N27" s="12" t="n"/>
      <c r="O27" s="12" t="n"/>
      <c r="P27" s="12" t="n"/>
      <c r="Q27" s="12" t="n"/>
      <c r="R27" s="12" t="n"/>
      <c r="S27" s="12" t="n"/>
      <c r="T27" s="12" t="n"/>
      <c r="U27" s="12" t="n"/>
      <c r="V27" s="14">
        <f>SUM(D27,F27,H27,J27,L27,N27,P27,R27,T27)</f>
        <v/>
      </c>
      <c r="W27" s="12">
        <f>IF(V27+X27=0,"",ROUND(V27/9*100,1))</f>
        <v/>
      </c>
      <c r="X27" s="14">
        <f>SUM(E27,G27,I27,K27,M27,O27,Q27,S27,U27)</f>
        <v/>
      </c>
      <c r="Y27" s="12">
        <f>IF(V27+X27=0,"",ROUND(X27/9*100,1))</f>
        <v/>
      </c>
      <c r="Z27" s="25">
        <f>IF(W27="","",IF(W27&gt;=80,"Хангалттай эзэмшиж байна",IF(W27&gt;=50,"Ахиж байна","Хөгжиж байна")))</f>
        <v/>
      </c>
    </row>
    <row r="28" ht="17" customHeight="1">
      <c r="A28" s="12" t="n">
        <v>19</v>
      </c>
      <c r="B28" s="13">
        <f>IF(Нэгтгэл!B25="","",Нэгтгэл!B25)</f>
        <v/>
      </c>
      <c r="C28" s="8" t="n"/>
      <c r="D28" s="12" t="n"/>
      <c r="E28" s="12" t="n"/>
      <c r="F28" s="12" t="n"/>
      <c r="G28" s="12" t="n"/>
      <c r="H28" s="12" t="n"/>
      <c r="I28" s="12" t="n"/>
      <c r="J28" s="12" t="n"/>
      <c r="K28" s="12" t="n"/>
      <c r="L28" s="12" t="n"/>
      <c r="M28" s="12" t="n"/>
      <c r="N28" s="12" t="n"/>
      <c r="O28" s="12" t="n"/>
      <c r="P28" s="12" t="n"/>
      <c r="Q28" s="12" t="n"/>
      <c r="R28" s="12" t="n"/>
      <c r="S28" s="12" t="n"/>
      <c r="T28" s="12" t="n"/>
      <c r="U28" s="12" t="n"/>
      <c r="V28" s="14">
        <f>SUM(D28,F28,H28,J28,L28,N28,P28,R28,T28)</f>
        <v/>
      </c>
      <c r="W28" s="12">
        <f>IF(V28+X28=0,"",ROUND(V28/9*100,1))</f>
        <v/>
      </c>
      <c r="X28" s="14">
        <f>SUM(E28,G28,I28,K28,M28,O28,Q28,S28,U28)</f>
        <v/>
      </c>
      <c r="Y28" s="12">
        <f>IF(V28+X28=0,"",ROUND(X28/9*100,1))</f>
        <v/>
      </c>
      <c r="Z28" s="25">
        <f>IF(W28="","",IF(W28&gt;=80,"Хангалттай эзэмшиж байна",IF(W28&gt;=50,"Ахиж байна","Хөгжиж байна")))</f>
        <v/>
      </c>
    </row>
    <row r="29" ht="17" customHeight="1">
      <c r="A29" s="12" t="n">
        <v>20</v>
      </c>
      <c r="B29" s="13">
        <f>IF(Нэгтгэл!B26="","",Нэгтгэл!B26)</f>
        <v/>
      </c>
      <c r="C29" s="8" t="n"/>
      <c r="D29" s="12" t="n"/>
      <c r="E29" s="12" t="n"/>
      <c r="F29" s="12" t="n"/>
      <c r="G29" s="12" t="n"/>
      <c r="H29" s="12" t="n"/>
      <c r="I29" s="12" t="n"/>
      <c r="J29" s="12" t="n"/>
      <c r="K29" s="12" t="n"/>
      <c r="L29" s="12" t="n"/>
      <c r="M29" s="12" t="n"/>
      <c r="N29" s="12" t="n"/>
      <c r="O29" s="12" t="n"/>
      <c r="P29" s="12" t="n"/>
      <c r="Q29" s="12" t="n"/>
      <c r="R29" s="12" t="n"/>
      <c r="S29" s="12" t="n"/>
      <c r="T29" s="12" t="n"/>
      <c r="U29" s="12" t="n"/>
      <c r="V29" s="14">
        <f>SUM(D29,F29,H29,J29,L29,N29,P29,R29,T29)</f>
        <v/>
      </c>
      <c r="W29" s="12">
        <f>IF(V29+X29=0,"",ROUND(V29/9*100,1))</f>
        <v/>
      </c>
      <c r="X29" s="14">
        <f>SUM(E29,G29,I29,K29,M29,O29,Q29,S29,U29)</f>
        <v/>
      </c>
      <c r="Y29" s="12">
        <f>IF(V29+X29=0,"",ROUND(X29/9*100,1))</f>
        <v/>
      </c>
      <c r="Z29" s="25">
        <f>IF(W29="","",IF(W29&gt;=80,"Хангалттай эзэмшиж байна",IF(W29&gt;=50,"Ахиж байна","Хөгжиж байна")))</f>
        <v/>
      </c>
    </row>
    <row r="30" ht="17" customHeight="1">
      <c r="A30" s="12" t="n">
        <v>21</v>
      </c>
      <c r="B30" s="13">
        <f>IF(Нэгтгэл!B27="","",Нэгтгэл!B27)</f>
        <v/>
      </c>
      <c r="C30" s="8" t="n"/>
      <c r="D30" s="12" t="n"/>
      <c r="E30" s="12" t="n"/>
      <c r="F30" s="12" t="n"/>
      <c r="G30" s="12" t="n"/>
      <c r="H30" s="12" t="n"/>
      <c r="I30" s="12" t="n"/>
      <c r="J30" s="12" t="n"/>
      <c r="K30" s="12" t="n"/>
      <c r="L30" s="12" t="n"/>
      <c r="M30" s="12" t="n"/>
      <c r="N30" s="12" t="n"/>
      <c r="O30" s="12" t="n"/>
      <c r="P30" s="12" t="n"/>
      <c r="Q30" s="12" t="n"/>
      <c r="R30" s="12" t="n"/>
      <c r="S30" s="12" t="n"/>
      <c r="T30" s="12" t="n"/>
      <c r="U30" s="12" t="n"/>
      <c r="V30" s="14">
        <f>SUM(D30,F30,H30,J30,L30,N30,P30,R30,T30)</f>
        <v/>
      </c>
      <c r="W30" s="12">
        <f>IF(V30+X30=0,"",ROUND(V30/9*100,1))</f>
        <v/>
      </c>
      <c r="X30" s="14">
        <f>SUM(E30,G30,I30,K30,M30,O30,Q30,S30,U30)</f>
        <v/>
      </c>
      <c r="Y30" s="12">
        <f>IF(V30+X30=0,"",ROUND(X30/9*100,1))</f>
        <v/>
      </c>
      <c r="Z30" s="25">
        <f>IF(W30="","",IF(W30&gt;=80,"Хангалттай эзэмшиж байна",IF(W30&gt;=50,"Ахиж байна","Хөгжиж байна")))</f>
        <v/>
      </c>
    </row>
    <row r="31" ht="17" customHeight="1">
      <c r="A31" s="12" t="n">
        <v>22</v>
      </c>
      <c r="B31" s="13">
        <f>IF(Нэгтгэл!B28="","",Нэгтгэл!B28)</f>
        <v/>
      </c>
      <c r="C31" s="8" t="n"/>
      <c r="D31" s="12" t="n"/>
      <c r="E31" s="12" t="n"/>
      <c r="F31" s="12" t="n"/>
      <c r="G31" s="12" t="n"/>
      <c r="H31" s="12" t="n"/>
      <c r="I31" s="12" t="n"/>
      <c r="J31" s="12" t="n"/>
      <c r="K31" s="12" t="n"/>
      <c r="L31" s="12" t="n"/>
      <c r="M31" s="12" t="n"/>
      <c r="N31" s="12" t="n"/>
      <c r="O31" s="12" t="n"/>
      <c r="P31" s="12" t="n"/>
      <c r="Q31" s="12" t="n"/>
      <c r="R31" s="12" t="n"/>
      <c r="S31" s="12" t="n"/>
      <c r="T31" s="12" t="n"/>
      <c r="U31" s="12" t="n"/>
      <c r="V31" s="14">
        <f>SUM(D31,F31,H31,J31,L31,N31,P31,R31,T31)</f>
        <v/>
      </c>
      <c r="W31" s="12">
        <f>IF(V31+X31=0,"",ROUND(V31/9*100,1))</f>
        <v/>
      </c>
      <c r="X31" s="14">
        <f>SUM(E31,G31,I31,K31,M31,O31,Q31,S31,U31)</f>
        <v/>
      </c>
      <c r="Y31" s="12">
        <f>IF(V31+X31=0,"",ROUND(X31/9*100,1))</f>
        <v/>
      </c>
      <c r="Z31" s="25">
        <f>IF(W31="","",IF(W31&gt;=80,"Хангалттай эзэмшиж байна",IF(W31&gt;=50,"Ахиж байна","Хөгжиж байна")))</f>
        <v/>
      </c>
    </row>
    <row r="32" ht="17" customHeight="1">
      <c r="A32" s="12" t="n">
        <v>23</v>
      </c>
      <c r="B32" s="13">
        <f>IF(Нэгтгэл!B29="","",Нэгтгэл!B29)</f>
        <v/>
      </c>
      <c r="C32" s="8" t="n"/>
      <c r="D32" s="12" t="n"/>
      <c r="E32" s="12" t="n"/>
      <c r="F32" s="12" t="n"/>
      <c r="G32" s="12" t="n"/>
      <c r="H32" s="12" t="n"/>
      <c r="I32" s="12" t="n"/>
      <c r="J32" s="12" t="n"/>
      <c r="K32" s="12" t="n"/>
      <c r="L32" s="12" t="n"/>
      <c r="M32" s="12" t="n"/>
      <c r="N32" s="12" t="n"/>
      <c r="O32" s="12" t="n"/>
      <c r="P32" s="12" t="n"/>
      <c r="Q32" s="12" t="n"/>
      <c r="R32" s="12" t="n"/>
      <c r="S32" s="12" t="n"/>
      <c r="T32" s="12" t="n"/>
      <c r="U32" s="12" t="n"/>
      <c r="V32" s="14">
        <f>SUM(D32,F32,H32,J32,L32,N32,P32,R32,T32)</f>
        <v/>
      </c>
      <c r="W32" s="12">
        <f>IF(V32+X32=0,"",ROUND(V32/9*100,1))</f>
        <v/>
      </c>
      <c r="X32" s="14">
        <f>SUM(E32,G32,I32,K32,M32,O32,Q32,S32,U32)</f>
        <v/>
      </c>
      <c r="Y32" s="12">
        <f>IF(V32+X32=0,"",ROUND(X32/9*100,1))</f>
        <v/>
      </c>
      <c r="Z32" s="25">
        <f>IF(W32="","",IF(W32&gt;=80,"Хангалттай эзэмшиж байна",IF(W32&gt;=50,"Ахиж байна","Хөгжиж байна")))</f>
        <v/>
      </c>
    </row>
    <row r="33" ht="17" customHeight="1">
      <c r="A33" s="12" t="n">
        <v>24</v>
      </c>
      <c r="B33" s="13">
        <f>IF(Нэгтгэл!B30="","",Нэгтгэл!B30)</f>
        <v/>
      </c>
      <c r="C33" s="8" t="n"/>
      <c r="D33" s="12" t="n"/>
      <c r="E33" s="12" t="n"/>
      <c r="F33" s="12" t="n"/>
      <c r="G33" s="12" t="n"/>
      <c r="H33" s="12" t="n"/>
      <c r="I33" s="12" t="n"/>
      <c r="J33" s="12" t="n"/>
      <c r="K33" s="12" t="n"/>
      <c r="L33" s="12" t="n"/>
      <c r="M33" s="12" t="n"/>
      <c r="N33" s="12" t="n"/>
      <c r="O33" s="12" t="n"/>
      <c r="P33" s="12" t="n"/>
      <c r="Q33" s="12" t="n"/>
      <c r="R33" s="12" t="n"/>
      <c r="S33" s="12" t="n"/>
      <c r="T33" s="12" t="n"/>
      <c r="U33" s="12" t="n"/>
      <c r="V33" s="14">
        <f>SUM(D33,F33,H33,J33,L33,N33,P33,R33,T33)</f>
        <v/>
      </c>
      <c r="W33" s="12">
        <f>IF(V33+X33=0,"",ROUND(V33/9*100,1))</f>
        <v/>
      </c>
      <c r="X33" s="14">
        <f>SUM(E33,G33,I33,K33,M33,O33,Q33,S33,U33)</f>
        <v/>
      </c>
      <c r="Y33" s="12">
        <f>IF(V33+X33=0,"",ROUND(X33/9*100,1))</f>
        <v/>
      </c>
      <c r="Z33" s="25">
        <f>IF(W33="","",IF(W33&gt;=80,"Хангалттай эзэмшиж байна",IF(W33&gt;=50,"Ахиж байна","Хөгжиж байна")))</f>
        <v/>
      </c>
    </row>
    <row r="34" ht="17" customHeight="1">
      <c r="A34" s="12" t="n">
        <v>25</v>
      </c>
      <c r="B34" s="13">
        <f>IF(Нэгтгэл!B31="","",Нэгтгэл!B31)</f>
        <v/>
      </c>
      <c r="C34" s="8" t="n"/>
      <c r="D34" s="12" t="n"/>
      <c r="E34" s="12" t="n"/>
      <c r="F34" s="12" t="n"/>
      <c r="G34" s="12" t="n"/>
      <c r="H34" s="12" t="n"/>
      <c r="I34" s="12" t="n"/>
      <c r="J34" s="12" t="n"/>
      <c r="K34" s="12" t="n"/>
      <c r="L34" s="12" t="n"/>
      <c r="M34" s="12" t="n"/>
      <c r="N34" s="12" t="n"/>
      <c r="O34" s="12" t="n"/>
      <c r="P34" s="12" t="n"/>
      <c r="Q34" s="12" t="n"/>
      <c r="R34" s="12" t="n"/>
      <c r="S34" s="12" t="n"/>
      <c r="T34" s="12" t="n"/>
      <c r="U34" s="12" t="n"/>
      <c r="V34" s="14">
        <f>SUM(D34,F34,H34,J34,L34,N34,P34,R34,T34)</f>
        <v/>
      </c>
      <c r="W34" s="12">
        <f>IF(V34+X34=0,"",ROUND(V34/9*100,1))</f>
        <v/>
      </c>
      <c r="X34" s="14">
        <f>SUM(E34,G34,I34,K34,M34,O34,Q34,S34,U34)</f>
        <v/>
      </c>
      <c r="Y34" s="12">
        <f>IF(V34+X34=0,"",ROUND(X34/9*100,1))</f>
        <v/>
      </c>
      <c r="Z34" s="25">
        <f>IF(W34="","",IF(W34&gt;=80,"Хангалттай эзэмшиж байна",IF(W34&gt;=50,"Ахиж байна","Хөгжиж байна")))</f>
        <v/>
      </c>
    </row>
    <row r="35" ht="17" customHeight="1">
      <c r="A35" s="12" t="n">
        <v>26</v>
      </c>
      <c r="B35" s="13">
        <f>IF(Нэгтгэл!B32="","",Нэгтгэл!B32)</f>
        <v/>
      </c>
      <c r="C35" s="8" t="n"/>
      <c r="D35" s="12" t="n"/>
      <c r="E35" s="12" t="n"/>
      <c r="F35" s="12" t="n"/>
      <c r="G35" s="12" t="n"/>
      <c r="H35" s="12" t="n"/>
      <c r="I35" s="12" t="n"/>
      <c r="J35" s="12" t="n"/>
      <c r="K35" s="12" t="n"/>
      <c r="L35" s="12" t="n"/>
      <c r="M35" s="12" t="n"/>
      <c r="N35" s="12" t="n"/>
      <c r="O35" s="12" t="n"/>
      <c r="P35" s="12" t="n"/>
      <c r="Q35" s="12" t="n"/>
      <c r="R35" s="12" t="n"/>
      <c r="S35" s="12" t="n"/>
      <c r="T35" s="12" t="n"/>
      <c r="U35" s="12" t="n"/>
      <c r="V35" s="14">
        <f>SUM(D35,F35,H35,J35,L35,N35,P35,R35,T35)</f>
        <v/>
      </c>
      <c r="W35" s="12">
        <f>IF(V35+X35=0,"",ROUND(V35/9*100,1))</f>
        <v/>
      </c>
      <c r="X35" s="14">
        <f>SUM(E35,G35,I35,K35,M35,O35,Q35,S35,U35)</f>
        <v/>
      </c>
      <c r="Y35" s="12">
        <f>IF(V35+X35=0,"",ROUND(X35/9*100,1))</f>
        <v/>
      </c>
      <c r="Z35" s="25">
        <f>IF(W35="","",IF(W35&gt;=80,"Хангалттай эзэмшиж байна",IF(W35&gt;=50,"Ахиж байна","Хөгжиж байна")))</f>
        <v/>
      </c>
    </row>
    <row r="36" ht="17" customHeight="1">
      <c r="A36" s="12" t="n">
        <v>27</v>
      </c>
      <c r="B36" s="13">
        <f>IF(Нэгтгэл!B33="","",Нэгтгэл!B33)</f>
        <v/>
      </c>
      <c r="C36" s="8" t="n"/>
      <c r="D36" s="12" t="n"/>
      <c r="E36" s="12" t="n"/>
      <c r="F36" s="12" t="n"/>
      <c r="G36" s="12" t="n"/>
      <c r="H36" s="12" t="n"/>
      <c r="I36" s="12" t="n"/>
      <c r="J36" s="12" t="n"/>
      <c r="K36" s="12" t="n"/>
      <c r="L36" s="12" t="n"/>
      <c r="M36" s="12" t="n"/>
      <c r="N36" s="12" t="n"/>
      <c r="O36" s="12" t="n"/>
      <c r="P36" s="12" t="n"/>
      <c r="Q36" s="12" t="n"/>
      <c r="R36" s="12" t="n"/>
      <c r="S36" s="12" t="n"/>
      <c r="T36" s="12" t="n"/>
      <c r="U36" s="12" t="n"/>
      <c r="V36" s="14">
        <f>SUM(D36,F36,H36,J36,L36,N36,P36,R36,T36)</f>
        <v/>
      </c>
      <c r="W36" s="12">
        <f>IF(V36+X36=0,"",ROUND(V36/9*100,1))</f>
        <v/>
      </c>
      <c r="X36" s="14">
        <f>SUM(E36,G36,I36,K36,M36,O36,Q36,S36,U36)</f>
        <v/>
      </c>
      <c r="Y36" s="12">
        <f>IF(V36+X36=0,"",ROUND(X36/9*100,1))</f>
        <v/>
      </c>
      <c r="Z36" s="25">
        <f>IF(W36="","",IF(W36&gt;=80,"Хангалттай эзэмшиж байна",IF(W36&gt;=50,"Ахиж байна","Хөгжиж байна")))</f>
        <v/>
      </c>
    </row>
    <row r="37" ht="17" customHeight="1">
      <c r="A37" s="12" t="n">
        <v>28</v>
      </c>
      <c r="B37" s="13">
        <f>IF(Нэгтгэл!B34="","",Нэгтгэл!B34)</f>
        <v/>
      </c>
      <c r="C37" s="8" t="n"/>
      <c r="D37" s="12" t="n"/>
      <c r="E37" s="12" t="n"/>
      <c r="F37" s="12" t="n"/>
      <c r="G37" s="12" t="n"/>
      <c r="H37" s="12" t="n"/>
      <c r="I37" s="12" t="n"/>
      <c r="J37" s="12" t="n"/>
      <c r="K37" s="12" t="n"/>
      <c r="L37" s="12" t="n"/>
      <c r="M37" s="12" t="n"/>
      <c r="N37" s="12" t="n"/>
      <c r="O37" s="12" t="n"/>
      <c r="P37" s="12" t="n"/>
      <c r="Q37" s="12" t="n"/>
      <c r="R37" s="12" t="n"/>
      <c r="S37" s="12" t="n"/>
      <c r="T37" s="12" t="n"/>
      <c r="U37" s="12" t="n"/>
      <c r="V37" s="14">
        <f>SUM(D37,F37,H37,J37,L37,N37,P37,R37,T37)</f>
        <v/>
      </c>
      <c r="W37" s="12">
        <f>IF(V37+X37=0,"",ROUND(V37/9*100,1))</f>
        <v/>
      </c>
      <c r="X37" s="14">
        <f>SUM(E37,G37,I37,K37,M37,O37,Q37,S37,U37)</f>
        <v/>
      </c>
      <c r="Y37" s="12">
        <f>IF(V37+X37=0,"",ROUND(X37/9*100,1))</f>
        <v/>
      </c>
      <c r="Z37" s="25">
        <f>IF(W37="","",IF(W37&gt;=80,"Хангалттай эзэмшиж байна",IF(W37&gt;=50,"Ахиж байна","Хөгжиж байна")))</f>
        <v/>
      </c>
    </row>
    <row r="38" ht="17" customHeight="1">
      <c r="A38" s="12" t="n">
        <v>29</v>
      </c>
      <c r="B38" s="13">
        <f>IF(Нэгтгэл!B35="","",Нэгтгэл!B35)</f>
        <v/>
      </c>
      <c r="C38" s="8" t="n"/>
      <c r="D38" s="12" t="n"/>
      <c r="E38" s="12" t="n"/>
      <c r="F38" s="12" t="n"/>
      <c r="G38" s="12" t="n"/>
      <c r="H38" s="12" t="n"/>
      <c r="I38" s="12" t="n"/>
      <c r="J38" s="12" t="n"/>
      <c r="K38" s="12" t="n"/>
      <c r="L38" s="12" t="n"/>
      <c r="M38" s="12" t="n"/>
      <c r="N38" s="12" t="n"/>
      <c r="O38" s="12" t="n"/>
      <c r="P38" s="12" t="n"/>
      <c r="Q38" s="12" t="n"/>
      <c r="R38" s="12" t="n"/>
      <c r="S38" s="12" t="n"/>
      <c r="T38" s="12" t="n"/>
      <c r="U38" s="12" t="n"/>
      <c r="V38" s="14">
        <f>SUM(D38,F38,H38,J38,L38,N38,P38,R38,T38)</f>
        <v/>
      </c>
      <c r="W38" s="12">
        <f>IF(V38+X38=0,"",ROUND(V38/9*100,1))</f>
        <v/>
      </c>
      <c r="X38" s="14">
        <f>SUM(E38,G38,I38,K38,M38,O38,Q38,S38,U38)</f>
        <v/>
      </c>
      <c r="Y38" s="12">
        <f>IF(V38+X38=0,"",ROUND(X38/9*100,1))</f>
        <v/>
      </c>
      <c r="Z38" s="25">
        <f>IF(W38="","",IF(W38&gt;=80,"Хангалттай эзэмшиж байна",IF(W38&gt;=50,"Ахиж байна","Хөгжиж байна")))</f>
        <v/>
      </c>
    </row>
    <row r="39" ht="17" customHeight="1">
      <c r="A39" s="12" t="n">
        <v>30</v>
      </c>
      <c r="B39" s="13">
        <f>IF(Нэгтгэл!B36="","",Нэгтгэл!B36)</f>
        <v/>
      </c>
      <c r="C39" s="8" t="n"/>
      <c r="D39" s="12" t="n"/>
      <c r="E39" s="12" t="n"/>
      <c r="F39" s="12" t="n"/>
      <c r="G39" s="12" t="n"/>
      <c r="H39" s="12" t="n"/>
      <c r="I39" s="12" t="n"/>
      <c r="J39" s="12" t="n"/>
      <c r="K39" s="12" t="n"/>
      <c r="L39" s="12" t="n"/>
      <c r="M39" s="12" t="n"/>
      <c r="N39" s="12" t="n"/>
      <c r="O39" s="12" t="n"/>
      <c r="P39" s="12" t="n"/>
      <c r="Q39" s="12" t="n"/>
      <c r="R39" s="12" t="n"/>
      <c r="S39" s="12" t="n"/>
      <c r="T39" s="12" t="n"/>
      <c r="U39" s="12" t="n"/>
      <c r="V39" s="14">
        <f>SUM(D39,F39,H39,J39,L39,N39,P39,R39,T39)</f>
        <v/>
      </c>
      <c r="W39" s="12">
        <f>IF(V39+X39=0,"",ROUND(V39/9*100,1))</f>
        <v/>
      </c>
      <c r="X39" s="14">
        <f>SUM(E39,G39,I39,K39,M39,O39,Q39,S39,U39)</f>
        <v/>
      </c>
      <c r="Y39" s="12">
        <f>IF(V39+X39=0,"",ROUND(X39/9*100,1))</f>
        <v/>
      </c>
      <c r="Z39" s="25">
        <f>IF(W39="","",IF(W39&gt;=80,"Хангалттай эзэмшиж байна",IF(W39&gt;=50,"Ахиж байна","Хөгжиж байна")))</f>
        <v/>
      </c>
    </row>
    <row r="40" ht="18" customHeight="1">
      <c r="A40" s="9" t="inlineStr">
        <is>
          <t>Чадна</t>
        </is>
      </c>
      <c r="B40" s="16" t="n"/>
      <c r="C40" s="16" t="n"/>
      <c r="D40" s="9">
        <f>SUM(D10:D39)</f>
        <v/>
      </c>
      <c r="E40" s="16" t="n"/>
      <c r="F40" s="9">
        <f>SUM(F10:F39)</f>
        <v/>
      </c>
      <c r="G40" s="16" t="n"/>
      <c r="H40" s="9">
        <f>SUM(H10:H39)</f>
        <v/>
      </c>
      <c r="I40" s="16" t="n"/>
      <c r="J40" s="9">
        <f>SUM(J10:J39)</f>
        <v/>
      </c>
      <c r="K40" s="16" t="n"/>
      <c r="L40" s="9">
        <f>SUM(L10:L39)</f>
        <v/>
      </c>
      <c r="M40" s="16" t="n"/>
      <c r="N40" s="9">
        <f>SUM(N10:N39)</f>
        <v/>
      </c>
      <c r="O40" s="16" t="n"/>
      <c r="P40" s="9">
        <f>SUM(P10:P39)</f>
        <v/>
      </c>
      <c r="Q40" s="16" t="n"/>
      <c r="R40" s="9">
        <f>SUM(R10:R39)</f>
        <v/>
      </c>
      <c r="S40" s="16" t="n"/>
      <c r="T40" s="9">
        <f>SUM(T10:T39)</f>
        <v/>
      </c>
      <c r="U40" s="16" t="n"/>
      <c r="V40" s="26" t="inlineStr">
        <is>
          <t>Хангалттай эзэмшиж байна</t>
        </is>
      </c>
      <c r="W40" s="27" t="n"/>
      <c r="X40" s="27" t="n"/>
      <c r="Y40" s="28" t="n"/>
      <c r="Z40" s="9">
        <f>COUNTIF(Z10:Z39,"Хангалттай эзэмшиж байна")</f>
        <v/>
      </c>
    </row>
    <row r="41" ht="18" customHeight="1">
      <c r="A41" s="9" t="inlineStr">
        <is>
          <t>Хувь</t>
        </is>
      </c>
      <c r="B41" s="16" t="n"/>
      <c r="C41" s="16" t="n"/>
      <c r="D41" s="9">
        <f>IF(COUNTIF($B$10:$B$39,"?*")=0,"",ROUND(D40/COUNTIF($B$10:$B$39,"?*")*100,1))</f>
        <v/>
      </c>
      <c r="E41" s="16" t="n"/>
      <c r="F41" s="9">
        <f>IF(COUNTIF($B$10:$B$39,"?*")=0,"",ROUND(F40/COUNTIF($B$10:$B$39,"?*")*100,1))</f>
        <v/>
      </c>
      <c r="G41" s="16" t="n"/>
      <c r="H41" s="9">
        <f>IF(COUNTIF($B$10:$B$39,"?*")=0,"",ROUND(H40/COUNTIF($B$10:$B$39,"?*")*100,1))</f>
        <v/>
      </c>
      <c r="I41" s="16" t="n"/>
      <c r="J41" s="9">
        <f>IF(COUNTIF($B$10:$B$39,"?*")=0,"",ROUND(J40/COUNTIF($B$10:$B$39,"?*")*100,1))</f>
        <v/>
      </c>
      <c r="K41" s="16" t="n"/>
      <c r="L41" s="9">
        <f>IF(COUNTIF($B$10:$B$39,"?*")=0,"",ROUND(L40/COUNTIF($B$10:$B$39,"?*")*100,1))</f>
        <v/>
      </c>
      <c r="M41" s="16" t="n"/>
      <c r="N41" s="9">
        <f>IF(COUNTIF($B$10:$B$39,"?*")=0,"",ROUND(N40/COUNTIF($B$10:$B$39,"?*")*100,1))</f>
        <v/>
      </c>
      <c r="O41" s="16" t="n"/>
      <c r="P41" s="9">
        <f>IF(COUNTIF($B$10:$B$39,"?*")=0,"",ROUND(P40/COUNTIF($B$10:$B$39,"?*")*100,1))</f>
        <v/>
      </c>
      <c r="Q41" s="16" t="n"/>
      <c r="R41" s="9">
        <f>IF(COUNTIF($B$10:$B$39,"?*")=0,"",ROUND(R40/COUNTIF($B$10:$B$39,"?*")*100,1))</f>
        <v/>
      </c>
      <c r="S41" s="16" t="n"/>
      <c r="T41" s="9">
        <f>IF(COUNTIF($B$10:$B$39,"?*")=0,"",ROUND(T40/COUNTIF($B$10:$B$39,"?*")*100,1))</f>
        <v/>
      </c>
      <c r="U41" s="16" t="n"/>
      <c r="V41" s="26" t="inlineStr">
        <is>
          <t>Ахиж байна</t>
        </is>
      </c>
      <c r="W41" s="27" t="n"/>
      <c r="X41" s="27" t="n"/>
      <c r="Y41" s="28" t="n"/>
      <c r="Z41" s="9">
        <f>COUNTIF(Z10:Z39,"Ахиж байна")</f>
        <v/>
      </c>
    </row>
    <row r="42" ht="18" customHeight="1">
      <c r="A42" s="9" t="inlineStr">
        <is>
          <t>Чадахгүй</t>
        </is>
      </c>
      <c r="B42" s="16" t="n"/>
      <c r="C42" s="16" t="n"/>
      <c r="D42" s="9">
        <f>SUM(E10:E39)</f>
        <v/>
      </c>
      <c r="E42" s="16" t="n"/>
      <c r="F42" s="9">
        <f>SUM(G10:G39)</f>
        <v/>
      </c>
      <c r="G42" s="16" t="n"/>
      <c r="H42" s="9">
        <f>SUM(I10:I39)</f>
        <v/>
      </c>
      <c r="I42" s="16" t="n"/>
      <c r="J42" s="9">
        <f>SUM(K10:K39)</f>
        <v/>
      </c>
      <c r="K42" s="16" t="n"/>
      <c r="L42" s="9">
        <f>SUM(M10:M39)</f>
        <v/>
      </c>
      <c r="M42" s="16" t="n"/>
      <c r="N42" s="9">
        <f>SUM(O10:O39)</f>
        <v/>
      </c>
      <c r="O42" s="16" t="n"/>
      <c r="P42" s="9">
        <f>SUM(Q10:Q39)</f>
        <v/>
      </c>
      <c r="Q42" s="16" t="n"/>
      <c r="R42" s="9">
        <f>SUM(S10:S39)</f>
        <v/>
      </c>
      <c r="S42" s="16" t="n"/>
      <c r="T42" s="9">
        <f>SUM(U10:U39)</f>
        <v/>
      </c>
      <c r="U42" s="16" t="n"/>
      <c r="V42" s="26" t="inlineStr">
        <is>
          <t>Хөгжиж байна</t>
        </is>
      </c>
      <c r="W42" s="27" t="n"/>
      <c r="X42" s="27" t="n"/>
      <c r="Y42" s="28" t="n"/>
      <c r="Z42" s="9">
        <f>COUNTIF(Z10:Z39,"Хөгжиж байна")</f>
        <v/>
      </c>
    </row>
    <row r="43" ht="18" customHeight="1">
      <c r="A43" s="9" t="inlineStr">
        <is>
          <t>Хувь</t>
        </is>
      </c>
      <c r="B43" s="16" t="n"/>
      <c r="C43" s="16" t="n"/>
      <c r="D43" s="9">
        <f>IF(COUNTIF($B$10:$B$39,"?*")=0,"",ROUND(D42/COUNTIF($B$10:$B$39,"?*")*100,1))</f>
        <v/>
      </c>
      <c r="E43" s="16" t="n"/>
      <c r="F43" s="9">
        <f>IF(COUNTIF($B$10:$B$39,"?*")=0,"",ROUND(F42/COUNTIF($B$10:$B$39,"?*")*100,1))</f>
        <v/>
      </c>
      <c r="G43" s="16" t="n"/>
      <c r="H43" s="9">
        <f>IF(COUNTIF($B$10:$B$39,"?*")=0,"",ROUND(H42/COUNTIF($B$10:$B$39,"?*")*100,1))</f>
        <v/>
      </c>
      <c r="I43" s="16" t="n"/>
      <c r="J43" s="9">
        <f>IF(COUNTIF($B$10:$B$39,"?*")=0,"",ROUND(J42/COUNTIF($B$10:$B$39,"?*")*100,1))</f>
        <v/>
      </c>
      <c r="K43" s="16" t="n"/>
      <c r="L43" s="9">
        <f>IF(COUNTIF($B$10:$B$39,"?*")=0,"",ROUND(L42/COUNTIF($B$10:$B$39,"?*")*100,1))</f>
        <v/>
      </c>
      <c r="M43" s="16" t="n"/>
      <c r="N43" s="9">
        <f>IF(COUNTIF($B$10:$B$39,"?*")=0,"",ROUND(N42/COUNTIF($B$10:$B$39,"?*")*100,1))</f>
        <v/>
      </c>
      <c r="O43" s="16" t="n"/>
      <c r="P43" s="9">
        <f>IF(COUNTIF($B$10:$B$39,"?*")=0,"",ROUND(P42/COUNTIF($B$10:$B$39,"?*")*100,1))</f>
        <v/>
      </c>
      <c r="Q43" s="16" t="n"/>
      <c r="R43" s="9">
        <f>IF(COUNTIF($B$10:$B$39,"?*")=0,"",ROUND(R42/COUNTIF($B$10:$B$39,"?*")*100,1))</f>
        <v/>
      </c>
      <c r="S43" s="16" t="n"/>
      <c r="T43" s="9">
        <f>IF(COUNTIF($B$10:$B$39,"?*")=0,"",ROUND(T42/COUNTIF($B$10:$B$39,"?*")*100,1))</f>
        <v/>
      </c>
      <c r="U43" s="16" t="n"/>
      <c r="V43" s="16" t="n"/>
      <c r="W43" s="16" t="n"/>
      <c r="X43" s="16" t="n"/>
      <c r="Y43" s="16" t="n"/>
      <c r="Z43" s="16" t="n"/>
    </row>
  </sheetData>
  <mergeCells count="128">
    <mergeCell ref="V41:Y41"/>
    <mergeCell ref="B22:C22"/>
    <mergeCell ref="B31:C31"/>
    <mergeCell ref="B12:C12"/>
    <mergeCell ref="T42:U42"/>
    <mergeCell ref="D6:E6"/>
    <mergeCell ref="B21:C21"/>
    <mergeCell ref="A1:Z1"/>
    <mergeCell ref="P6:Q6"/>
    <mergeCell ref="R6:S6"/>
    <mergeCell ref="B14:C14"/>
    <mergeCell ref="L5:M5"/>
    <mergeCell ref="N5:O5"/>
    <mergeCell ref="A43:C43"/>
    <mergeCell ref="B13:C13"/>
    <mergeCell ref="J4:K4"/>
    <mergeCell ref="B38:C38"/>
    <mergeCell ref="D7:E7"/>
    <mergeCell ref="L4:M4"/>
    <mergeCell ref="D4:E4"/>
    <mergeCell ref="R41:S41"/>
    <mergeCell ref="T41:U41"/>
    <mergeCell ref="L40:M40"/>
    <mergeCell ref="N40:O40"/>
    <mergeCell ref="F43:G43"/>
    <mergeCell ref="B24:C24"/>
    <mergeCell ref="T7:U7"/>
    <mergeCell ref="B33:C33"/>
    <mergeCell ref="P43:Q43"/>
    <mergeCell ref="R43:S43"/>
    <mergeCell ref="T43:U43"/>
    <mergeCell ref="B32:C32"/>
    <mergeCell ref="B26:C26"/>
    <mergeCell ref="B35:C35"/>
    <mergeCell ref="R8:S8"/>
    <mergeCell ref="B16:C16"/>
    <mergeCell ref="L7:M7"/>
    <mergeCell ref="B25:C25"/>
    <mergeCell ref="N7:O7"/>
    <mergeCell ref="A3:A9"/>
    <mergeCell ref="H41:I41"/>
    <mergeCell ref="F6:G6"/>
    <mergeCell ref="W3:W9"/>
    <mergeCell ref="B18:C18"/>
    <mergeCell ref="B27:C27"/>
    <mergeCell ref="B11:C11"/>
    <mergeCell ref="F5:G5"/>
    <mergeCell ref="L42:M42"/>
    <mergeCell ref="N42:O42"/>
    <mergeCell ref="F42:G42"/>
    <mergeCell ref="V42:Y42"/>
    <mergeCell ref="B29:C29"/>
    <mergeCell ref="R42:S42"/>
    <mergeCell ref="B37:C37"/>
    <mergeCell ref="A40:C40"/>
    <mergeCell ref="A2:Z2"/>
    <mergeCell ref="B15:C15"/>
    <mergeCell ref="L6:M6"/>
    <mergeCell ref="N6:O6"/>
    <mergeCell ref="X3:X9"/>
    <mergeCell ref="H5:I5"/>
    <mergeCell ref="Z3:Z9"/>
    <mergeCell ref="N4:O4"/>
    <mergeCell ref="F4:G4"/>
    <mergeCell ref="P4:Q4"/>
    <mergeCell ref="H43:I43"/>
    <mergeCell ref="N41:O41"/>
    <mergeCell ref="P41:Q41"/>
    <mergeCell ref="H40:I40"/>
    <mergeCell ref="F7:G7"/>
    <mergeCell ref="J40:K40"/>
    <mergeCell ref="A42:C42"/>
    <mergeCell ref="L43:M43"/>
    <mergeCell ref="R7:S7"/>
    <mergeCell ref="N43:O43"/>
    <mergeCell ref="B17:C17"/>
    <mergeCell ref="L8:M8"/>
    <mergeCell ref="N8:O8"/>
    <mergeCell ref="F8:G8"/>
    <mergeCell ref="T40:U40"/>
    <mergeCell ref="B19:C19"/>
    <mergeCell ref="B34:C34"/>
    <mergeCell ref="B28:C28"/>
    <mergeCell ref="T8:U8"/>
    <mergeCell ref="B30:C30"/>
    <mergeCell ref="T6:U6"/>
    <mergeCell ref="B20:C20"/>
    <mergeCell ref="D5:E5"/>
    <mergeCell ref="H42:I42"/>
    <mergeCell ref="J42:K42"/>
    <mergeCell ref="P5:Q5"/>
    <mergeCell ref="R5:S5"/>
    <mergeCell ref="A41:C41"/>
    <mergeCell ref="J5:K5"/>
    <mergeCell ref="T5:U5"/>
    <mergeCell ref="H4:I4"/>
    <mergeCell ref="D40:E40"/>
    <mergeCell ref="F40:G40"/>
    <mergeCell ref="R4:S4"/>
    <mergeCell ref="T4:U4"/>
    <mergeCell ref="B39:C39"/>
    <mergeCell ref="P40:Q40"/>
    <mergeCell ref="R40:S40"/>
    <mergeCell ref="H6:I6"/>
    <mergeCell ref="J6:K6"/>
    <mergeCell ref="B3:C9"/>
    <mergeCell ref="P8:Q8"/>
    <mergeCell ref="B23:C23"/>
    <mergeCell ref="V3:V9"/>
    <mergeCell ref="D41:E41"/>
    <mergeCell ref="F41:G41"/>
    <mergeCell ref="D3:U3"/>
    <mergeCell ref="P7:Q7"/>
    <mergeCell ref="H7:I7"/>
    <mergeCell ref="D43:E43"/>
    <mergeCell ref="J7:K7"/>
    <mergeCell ref="B10:C10"/>
    <mergeCell ref="J41:K41"/>
    <mergeCell ref="Y3:Y9"/>
    <mergeCell ref="L41:M41"/>
    <mergeCell ref="D8:E8"/>
    <mergeCell ref="V40:Y40"/>
    <mergeCell ref="J43:K43"/>
    <mergeCell ref="D42:E42"/>
    <mergeCell ref="P42:Q42"/>
    <mergeCell ref="B36:C36"/>
    <mergeCell ref="H8:I8"/>
    <mergeCell ref="J8:K8"/>
  </mergeCells>
  <dataValidations count="1">
    <dataValidation sqref="D10 D11 D12 D13 D14 D15 D16 D17 D18 D19 D20 D21 D22 D23 D24 D25 D26 D27 D28 D29 D30 D31 D32 D33 D34 D35 D36 D37 D38 D39 E10 E11 E12 E13 E14 E15 E16 E17 E18 E19 E20 E21 E22 E23 E24 E25 E26 E27 E28 E29 E30 E31 E32 E33 E34 E35 E36 E37 E38 E39 F10 F11 F12 F13 F14 F15 F16 F17 F18 F19 F20 F21 F22 F23 F24 F25 F26 F27 F28 F29 F30 F31 F32 F33 F34 F35 F36 F37 F38 F39 G10 G11 G12 G13 G14 G15 G16 G17 G18 G19 G20 G21 G22 G23 G24 G25 G26 G27 G28 G29 G30 G31 G32 G33 G34 G35 G36 G37 G38 G39 H10 H11 H12 H13 H14 H15 H16 H17 H18 H19 H20 H21 H22 H23 H24 H25 H26 H27 H28 H29 H30 H31 H32 H33 H34 H35 H36 H37 H38 H39 I10 I11 I12 I13 I14 I15 I16 I17 I18 I19 I20 I21 I22 I23 I24 I25 I26 I27 I28 I29 I30 I31 I32 I33 I34 I35 I36 I37 I38 I39 J10 J11 J12 J13 J14 J15 J16 J17 J18 J19 J20 J21 J22 J23 J24 J25 J26 J27 J28 J29 J30 J31 J32 J33 J34 J35 J36 J37 J38 J39 K10 K11 K12 K13 K14 K15 K16 K17 K18 K19 K20 K21 K22 K23 K24 K25 K26 K27 K28 K29 K30 K31 K32 K33 K34 K35 K36 K37 K38 K39 L10 L11 L12 L13 L14 L15 L16 L17 L18 L19 L20 L21 L22 L23 L24 L25 L26 L27 L28 L29 L30 L31 L32 L33 L34 L35 L36 L37 L38 L39 M10 M11 M12 M13 M14 M15 M16 M17 M18 M19 M20 M21 M22 M23 M24 M25 M26 M27 M28 M29 M30 M31 M32 M33 M34 M35 M36 M37 M38 M39 N10 N11 N12 N13 N14 N15 N16 N17 N18 N19 N20 N21 N22 N23 N24 N25 N26 N27 N28 N29 N30 N31 N32 N33 N34 N35 N36 N37 N38 N39 O10 O11 O12 O13 O14 O15 O16 O17 O18 O19 O20 O21 O22 O23 O24 O25 O26 O27 O28 O29 O30 O31 O32 O33 O34 O35 O36 O37 O38 O39 P10 P11 P12 P13 P14 P15 P16 P17 P18 P19 P20 P21 P22 P23 P24 P25 P26 P27 P28 P29 P30 P31 P32 P33 P34 P35 P36 P37 P38 P39 Q10 Q11 Q12 Q13 Q14 Q15 Q16 Q17 Q18 Q19 Q20 Q21 Q22 Q23 Q24 Q25 Q26 Q27 Q28 Q29 Q30 Q31 Q32 Q33 Q34 Q35 Q36 Q37 Q38 Q39 R10 R11 R12 R13 R14 R15 R16 R17 R18 R19 R20 R21 R22 R23 R24 R25 R26 R27 R28 R29 R30 R31 R32 R33 R34 R35 R36 R37 R38 R39 S10 S11 S12 S13 S14 S15 S16 S17 S18 S19 S20 S21 S22 S23 S24 S25 S26 S27 S28 S29 S30 S31 S32 S33 S34 S35 S36 S37 S38 S39 T10 T11 T12 T13 T14 T15 T16 T17 T18 T19 T20 T21 T22 T23 T24 T25 T26 T27 T28 T29 T30 T31 T32 T33 T34 T35 T36 T37 T38 T39 U10 U11 U12 U13 U14 U15 U16 U17 U18 U19 U20 U21 U22 U23 U24 U25 U26 U27 U28 U29 U30 U31 U32 U33 U34 U35 U36 U37 U38 U39" showDropDown="0" showInputMessage="0" showErrorMessage="1" allowBlank="1" errorTitle="Зөвхөн 1" error="Чадна эсвэл Чадахгүй нүдэнд 1 гэж бичнэ." type="whole" operator="equal">
      <formula1>1</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AT43"/>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2"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7" customWidth="1" min="42" max="42"/>
    <col width="7" customWidth="1" min="43" max="43"/>
    <col width="8" customWidth="1" min="44" max="44"/>
    <col width="7" customWidth="1" min="45" max="45"/>
    <col width="14" customWidth="1" min="46" max="46"/>
  </cols>
  <sheetData>
    <row r="1">
      <c r="A1" s="1" t="inlineStr">
        <is>
          <t>................ ЦЭЦЭРЛЭГИЙН БАГА БҮЛГИЙН (2 НАС) ГАРААНЫ (ОНОШЛОХ) ҮНЭЛГЭЭ</t>
        </is>
      </c>
    </row>
    <row r="2">
      <c r="A2" s="6" t="inlineStr">
        <is>
          <t>Хөгжлийн чиглэл: Танин мэдэхүй          Огноо: 20.... оны .... сар          Багш: ................................          (А/79 журам, I түвшний шалгуур)</t>
        </is>
      </c>
    </row>
    <row r="3">
      <c r="A3" s="7" t="inlineStr">
        <is>
          <t>№</t>
        </is>
      </c>
      <c r="B3" s="7" t="inlineStr">
        <is>
          <t>Хүүхдийн нэр</t>
        </is>
      </c>
      <c r="C3" s="8" t="n"/>
      <c r="D3" s="7" t="inlineStr">
        <is>
          <t>Хөгжлийн чиглэл: Танин мэдэхүй</t>
        </is>
      </c>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9" t="inlineStr">
        <is>
          <t>Чадна</t>
        </is>
      </c>
      <c r="AQ3" s="9" t="inlineStr">
        <is>
          <t>Хувь</t>
        </is>
      </c>
      <c r="AR3" s="9" t="inlineStr">
        <is>
          <t>Чадахгүй</t>
        </is>
      </c>
      <c r="AS3" s="9" t="inlineStr">
        <is>
          <t>Хувь</t>
        </is>
      </c>
      <c r="AT3" s="9" t="inlineStr">
        <is>
          <t>Түвшин</t>
        </is>
      </c>
    </row>
    <row r="4" ht="104" customHeight="1">
      <c r="A4" s="8" t="n"/>
      <c r="B4" s="8" t="n"/>
      <c r="C4" s="8" t="n"/>
      <c r="D4" s="10" t="inlineStr">
        <is>
          <t>[Мэдлэг · 10.5: Хэл яриа] 3. Зурагт номоос танил эд юмсыг нэрлэдэг.</t>
        </is>
      </c>
      <c r="E4" s="19" t="n"/>
      <c r="F4" s="10" t="inlineStr">
        <is>
          <t>[Мэдлэг · 10.5: Танин мэдэхүй] 4. Орчныхоо ургамал, амьтнаас заримыг нь нэрлэдэг.</t>
        </is>
      </c>
      <c r="G4" s="19" t="n"/>
      <c r="H4" s="10" t="inlineStr">
        <is>
          <t>[Мэдлэг · 10.5: Танин мэдэхүй] 5. Цаг агаарын үзэгдлийг таньж нэрлэдэг.</t>
        </is>
      </c>
      <c r="I4" s="19" t="n"/>
      <c r="J4" s="10" t="inlineStr">
        <is>
          <t>[Мэдлэг · 10.5: Танин мэдэхүй] 6. Өөрийн нэр, нас, биеийн эрхтнээ нэрлэдэг.</t>
        </is>
      </c>
      <c r="K4" s="19" t="n"/>
      <c r="L4" s="10" t="inlineStr">
        <is>
          <t>[Мэдлэг · 10.5: Танин мэдэхүй] 8. Үндсэн гурван өнгийг нэрлэдэг.</t>
        </is>
      </c>
      <c r="M4" s="19" t="n"/>
      <c r="N4" s="10" t="inlineStr">
        <is>
          <t>[Мэдлэг · 10.5: Танин мэдэхүй] 9. Тоглоом, юмсын заасан байршил (дээр, доор)-ыг нэрлэдэг.</t>
        </is>
      </c>
      <c r="O4" s="19" t="n"/>
      <c r="P4" s="10" t="inlineStr">
        <is>
          <t>[Чадвар · 10.5: Хэл яриа] 19. Бусдын яриаг сонсож ойлгоод, үг, үйлдэл, дохио зангаагаар харилцдаг.</t>
        </is>
      </c>
      <c r="Q4" s="19" t="n"/>
      <c r="R4" s="10" t="inlineStr">
        <is>
          <t>[Чадвар · 10.5: Хэл яриа] 20. Энгийн өгүүлбэрийг дуурайн хэлдэг.</t>
        </is>
      </c>
      <c r="S4" s="19" t="n"/>
      <c r="T4" s="10" t="inlineStr">
        <is>
          <t>[Чадвар · 10.5: Хэл яриа] 21. Авиа, үгийг сонсоод давтан хэлдэг.</t>
        </is>
      </c>
      <c r="U4" s="19" t="n"/>
      <c r="V4" s="10" t="inlineStr">
        <is>
          <t>[Чадвар · 10.5: Хэл яриа] 22. Ярилцах болон тоглох явцад асуулт асуухыг оролддог.</t>
        </is>
      </c>
      <c r="W4" s="19" t="n"/>
      <c r="X4" s="10" t="inlineStr">
        <is>
          <t>[Чадвар · 10.5: Танин мэдэхүй] 23. 3 хүртэлх тоглоом, юмсыг тоолдог.</t>
        </is>
      </c>
      <c r="Y4" s="19" t="n"/>
      <c r="Z4" s="10" t="inlineStr">
        <is>
          <t>[Чадвар · 10.5: Танин мэдэхүй] 24. Том, жижгийг ялгадаг.</t>
        </is>
      </c>
      <c r="AA4" s="19" t="n"/>
      <c r="AB4" s="10" t="inlineStr">
        <is>
          <t>[Чадвар · 10.5: Танин мэдэхүй] 25. Юмсыг нэг ижил шинжээр нь ангилдаг.</t>
        </is>
      </c>
      <c r="AC4" s="19" t="n"/>
      <c r="AD4" s="10" t="inlineStr">
        <is>
          <t>[Чадвар · 10.5: Өсөлт] 26. Харандаагаар мөр, зураас гаргадаг.</t>
        </is>
      </c>
      <c r="AE4" s="19" t="n"/>
      <c r="AF4" s="10" t="inlineStr">
        <is>
          <t>[Чадвар · 10.5: Өсөлт] 28. Бэлдэц дүрс ашиглан бусдын дэмжлэгтэй наамал хийдэг.</t>
        </is>
      </c>
      <c r="AG4" s="19" t="n"/>
      <c r="AH4" s="10" t="inlineStr">
        <is>
          <t>[Чадвар · 10.5: Өсөлт] 29. Хэв ашиглан хэлбэр гаргадаг.</t>
        </is>
      </c>
      <c r="AI4" s="19" t="n"/>
      <c r="AJ4" s="10" t="inlineStr">
        <is>
          <t>[Чадвар · 10.5: Өсөлт] 30. Тоглоом, эд юмсыг бусдын дэмжлэгтэй өрдөг.</t>
        </is>
      </c>
      <c r="AK4" s="19" t="n"/>
      <c r="AL4" s="10" t="inlineStr">
        <is>
          <t>[Чадвар · 10.5: Танин мэдэхүй] 32. Хүн, амьтны дуу авиаг сонсоод ялгадаг.</t>
        </is>
      </c>
      <c r="AM4" s="19" t="n"/>
      <c r="AN4" s="10" t="inlineStr">
        <is>
          <t>[Чадвар · 10.5: Танин мэдэхүй] 33. Дуу, хөгжмийн хэмнэлийг хөдөлгөөн (алга таших, өвдөг цохих гэх мэт)-өөр илэрхийлдэг.</t>
        </is>
      </c>
      <c r="AO4" s="19" t="n"/>
      <c r="AP4" s="8" t="n"/>
      <c r="AQ4" s="8" t="n"/>
      <c r="AR4" s="8" t="n"/>
      <c r="AS4" s="8" t="n"/>
      <c r="AT4" s="8" t="n"/>
    </row>
    <row r="5" ht="96" customHeight="1">
      <c r="A5" s="8" t="n"/>
      <c r="B5" s="8" t="n"/>
      <c r="C5" s="8" t="n"/>
      <c r="D5" s="20" t="inlineStr">
        <is>
          <t>СҮД: ХЯ1.2в. Танил эд юмсыг нэрлэнэ.</t>
        </is>
      </c>
      <c r="E5" s="21" t="n"/>
      <c r="F5" s="20" t="inlineStr">
        <is>
          <t>СҮД: БНО1.1а. Ойр орчны амьтныг таньж ялгана.</t>
        </is>
      </c>
      <c r="G5" s="21" t="n"/>
      <c r="H5" s="20" t="inlineStr">
        <is>
          <t>СҮД: БНО1.1г. Байгалийн үзэгдлийг зааж нэрлэнэ.
ХЭМ1.2ж. Цаг агаарын үзэгдлийг таньж нэрлэн, насанд хүрэгчийн сануулгыг дуурайн дагана.</t>
        </is>
      </c>
      <c r="I5" s="21" t="n"/>
      <c r="J5" s="20" t="inlineStr">
        <is>
          <t>СҮД: БНО1.2а. Өөрийн нэр, нас, бие, эрхтнээ нэрлэж, тоглоом, эд зүйлсээ танина.</t>
        </is>
      </c>
      <c r="K5" s="21" t="n"/>
      <c r="L5" s="20" t="inlineStr">
        <is>
          <t>СҮД: ЗУ1.2б. Бүтээлээ үндсэн өнгөөр бусдын дэмжлэгтэй будна.</t>
        </is>
      </c>
      <c r="M5" s="21" t="n"/>
      <c r="N5" s="20" t="inlineStr">
        <is>
          <t>СҮД: МАТ1.3в. Юмсын байршлыг танина. (дээр, доор)</t>
        </is>
      </c>
      <c r="O5" s="21" t="n"/>
      <c r="P5" s="20" t="inlineStr">
        <is>
          <t>СҮД: ХЯ1.1а. Бусдын яриаг сонсоод ойлгосноо үг үйлдлээр илэрхийлнэ.</t>
        </is>
      </c>
      <c r="Q5" s="21" t="n"/>
      <c r="R5" s="20" t="inlineStr">
        <is>
          <t>СҮД: ХЯ1.2д. Энгийн өгүүлбэрийг давтан хэлнэ.</t>
        </is>
      </c>
      <c r="S5" s="21" t="n"/>
      <c r="T5" s="20" t="inlineStr">
        <is>
          <t>СҮД: ХЯ1.1б. Хэлсэн авиаг сонсоод давтан хэлнэ.</t>
        </is>
      </c>
      <c r="U5" s="21" t="n"/>
      <c r="V5" s="20" t="inlineStr">
        <is>
          <t>СҮД: ХЯ1.2б. Ярилцахдаа асуулт асуух оролдлого хийнэ.</t>
        </is>
      </c>
      <c r="W5" s="21" t="n"/>
      <c r="X5" s="20" t="inlineStr">
        <is>
          <t>СҮД: МАТ1.1а. Гэр, цэцэрлэгийн орчин тойронд байх юмсаас 1 эсвэл 3 ширхэг тоглоом, юмсыг заах, нэг гэж хэлнэ.</t>
        </is>
      </c>
      <c r="Y5" s="21" t="n"/>
      <c r="Z5" s="20" t="inlineStr">
        <is>
          <t>СҮД: МАТ1.3а. Тоглоом юмсаас тодорхой шинжтэй зүйлийг ялгана.</t>
        </is>
      </c>
      <c r="AA5" s="21" t="n"/>
      <c r="AB5" s="20" t="inlineStr">
        <is>
          <t>СҮД: МАТ1.3а. Тоглоом юмсаас тодорхой шинжтэй зүйлийг ялгана.</t>
        </is>
      </c>
      <c r="AC5" s="21" t="n"/>
      <c r="AD5" s="20" t="inlineStr">
        <is>
          <t>СҮД: ХЯ1.3в. Харандаа барьж, цаасан дээр мөр гаргана.
ЗУ1.2а. Зурах хэрэгслүүдийг ашиглан зурааслаж дүрсэлнэ.</t>
        </is>
      </c>
      <c r="AE5" s="21" t="n"/>
      <c r="AF5" s="20" t="inlineStr">
        <is>
          <t>СҮД: ЗУ1.2д. Бэлдэц дүрсээр бусдын дэмжлэгтэй нааж бүтээл урлана.</t>
        </is>
      </c>
      <c r="AG5" s="21" t="n"/>
      <c r="AH5" s="20" t="inlineStr">
        <is>
          <t>СҮД: ЗУ1.2г. Баримлын шавраар нэг бүтэцтэй зүйлийг бусдын дэмжлэгтэй барина.</t>
        </is>
      </c>
      <c r="AI5" s="21" t="n"/>
      <c r="AJ5" s="20" t="inlineStr">
        <is>
          <t>СҮД: ЗУ1.2е. Өрж байгуулах, эвлүүлэх аргаар тоглоом, эд юмсыг бусдын дэмжлэгтэй бүтээнэ.</t>
        </is>
      </c>
      <c r="AK5" s="21" t="n"/>
      <c r="AL5" s="20" t="inlineStr">
        <is>
          <t>СҮД: ХӨГ1.1а. Хүн, амьтны дуу авиаг ялган таньдаг болно.</t>
        </is>
      </c>
      <c r="AM5" s="21" t="n"/>
      <c r="AN5" s="20" t="inlineStr">
        <is>
          <t>СҮД: ХӨГ1.1в. Дуу, аялгууны хэмнэлд тохируулан хөдөлгөөн хийнэ.</t>
        </is>
      </c>
      <c r="AO5" s="21" t="n"/>
      <c r="AP5" s="8" t="n"/>
      <c r="AQ5" s="8" t="n"/>
      <c r="AR5" s="8" t="n"/>
      <c r="AS5" s="8" t="n"/>
      <c r="AT5" s="8" t="n"/>
    </row>
    <row r="6" ht="14" customHeight="1">
      <c r="A6" s="8" t="n"/>
      <c r="B6" s="8" t="n"/>
      <c r="C6" s="8" t="n"/>
      <c r="D6" s="22" t="inlineStr">
        <is>
          <t>Хүүхдийн хийх үйл:</t>
        </is>
      </c>
      <c r="E6" s="23" t="n"/>
      <c r="F6" s="22" t="inlineStr">
        <is>
          <t>Хүүхдийн хийх үйл:</t>
        </is>
      </c>
      <c r="G6" s="23" t="n"/>
      <c r="H6" s="22" t="inlineStr">
        <is>
          <t>Хүүхдийн хийх үйл:</t>
        </is>
      </c>
      <c r="I6" s="23" t="n"/>
      <c r="J6" s="22" t="inlineStr">
        <is>
          <t>Хүүхдийн хийх үйл:</t>
        </is>
      </c>
      <c r="K6" s="23" t="n"/>
      <c r="L6" s="22" t="inlineStr">
        <is>
          <t>Хүүхдийн хийх үйл:</t>
        </is>
      </c>
      <c r="M6" s="23" t="n"/>
      <c r="N6" s="22" t="inlineStr">
        <is>
          <t>Хүүхдийн хийх үйл:</t>
        </is>
      </c>
      <c r="O6" s="23" t="n"/>
      <c r="P6" s="22" t="inlineStr">
        <is>
          <t>Хүүхдийн хийх үйл:</t>
        </is>
      </c>
      <c r="Q6" s="23" t="n"/>
      <c r="R6" s="22" t="inlineStr">
        <is>
          <t>Хүүхдийн хийх үйл:</t>
        </is>
      </c>
      <c r="S6" s="23" t="n"/>
      <c r="T6" s="22" t="inlineStr">
        <is>
          <t>Хүүхдийн хийх үйл:</t>
        </is>
      </c>
      <c r="U6" s="23" t="n"/>
      <c r="V6" s="22" t="inlineStr">
        <is>
          <t>Хүүхдийн хийх үйл:</t>
        </is>
      </c>
      <c r="W6" s="23" t="n"/>
      <c r="X6" s="22" t="inlineStr">
        <is>
          <t>Хүүхдийн хийх үйл:</t>
        </is>
      </c>
      <c r="Y6" s="23" t="n"/>
      <c r="Z6" s="22" t="inlineStr">
        <is>
          <t>Хүүхдийн хийх үйл:</t>
        </is>
      </c>
      <c r="AA6" s="23" t="n"/>
      <c r="AB6" s="22" t="inlineStr">
        <is>
          <t>Хүүхдийн хийх үйл:</t>
        </is>
      </c>
      <c r="AC6" s="23" t="n"/>
      <c r="AD6" s="22" t="inlineStr">
        <is>
          <t>Хүүхдийн хийх үйл:</t>
        </is>
      </c>
      <c r="AE6" s="23" t="n"/>
      <c r="AF6" s="22" t="inlineStr">
        <is>
          <t>Хүүхдийн хийх үйл:</t>
        </is>
      </c>
      <c r="AG6" s="23" t="n"/>
      <c r="AH6" s="22" t="inlineStr">
        <is>
          <t>Хүүхдийн хийх үйл:</t>
        </is>
      </c>
      <c r="AI6" s="23" t="n"/>
      <c r="AJ6" s="22" t="inlineStr">
        <is>
          <t>Хүүхдийн хийх үйл:</t>
        </is>
      </c>
      <c r="AK6" s="23" t="n"/>
      <c r="AL6" s="22" t="inlineStr">
        <is>
          <t>Хүүхдийн хийх үйл:</t>
        </is>
      </c>
      <c r="AM6" s="23" t="n"/>
      <c r="AN6" s="22" t="inlineStr">
        <is>
          <t>Хүүхдийн хийх үйл:</t>
        </is>
      </c>
      <c r="AO6" s="23" t="n"/>
      <c r="AP6" s="8" t="n"/>
      <c r="AQ6" s="8" t="n"/>
      <c r="AR6" s="8" t="n"/>
      <c r="AS6" s="8" t="n"/>
      <c r="AT6" s="8" t="n"/>
    </row>
    <row r="7" ht="68" customHeight="1">
      <c r="A7" s="8" t="n"/>
      <c r="B7" s="8" t="n"/>
      <c r="C7" s="8" t="n"/>
      <c r="D7" s="24" t="inlineStr">
        <is>
          <t>Зурагт номноос аяга, бөмбөг, гутал зэрэг танил юмсыг зааж нэрлэдэг.</t>
        </is>
      </c>
      <c r="E7" s="23" t="n"/>
      <c r="F7" s="24" t="inlineStr">
        <is>
          <t>Нохой, муур, цэцэг зэрэг 2–3 амьтан, ургамлыг зургаас нэрлэдэг.</t>
        </is>
      </c>
      <c r="G7" s="23" t="n"/>
      <c r="H7" s="24" t="inlineStr">
        <is>
          <t>Нар, бороо, цасыг цонхоор эсвэл зургаас зааж нэрлэдэг.</t>
        </is>
      </c>
      <c r="I7" s="23" t="n"/>
      <c r="J7" s="24" t="inlineStr">
        <is>
          <t>«Чиний нэр хэн бэ? Хэдэн настай вэ?» асуултад хариулж, нүд, хамар, гараа зааж нэрлэдэг.</t>
        </is>
      </c>
      <c r="K7" s="23" t="n"/>
      <c r="L7" s="24" t="inlineStr">
        <is>
          <t>Улаан, шар, цэнхэр өнгийн тоглоомыг өнгөөр нь нэрлэдэг.</t>
        </is>
      </c>
      <c r="M7" s="23" t="n"/>
      <c r="N7" s="24" t="inlineStr">
        <is>
          <t>Тоглоом ширээн «дээр» эсвэл «доор» байгааг хэлдэг.</t>
        </is>
      </c>
      <c r="O7" s="23" t="n"/>
      <c r="P7" s="24" t="inlineStr">
        <is>
          <t>«Номоо авчир» гэх хүсэлтийг ойлгож үг, үйлдэл, дохиогоор хариулдаг.</t>
        </is>
      </c>
      <c r="Q7" s="23" t="n"/>
      <c r="R7" s="24" t="inlineStr">
        <is>
          <t>«Муур мяав гэнэ» гэх мэт энгийн өгүүлбэрийг дуурайн хэлдэг.</t>
        </is>
      </c>
      <c r="S7" s="23" t="n"/>
      <c r="T7" s="24" t="inlineStr">
        <is>
          <t>Багшийн хэлсэн авиа, үгийг сонсоод давтан хэлдэг.</t>
        </is>
      </c>
      <c r="U7" s="23" t="n"/>
      <c r="V7" s="24" t="inlineStr">
        <is>
          <t>Тоглох явцад «Энэ юу вэ?» гэх мэт асуулт асуудаг.</t>
        </is>
      </c>
      <c r="W7" s="23" t="n"/>
      <c r="X7" s="24" t="inlineStr">
        <is>
          <t>3 хүртэлх тоглоомыг нэг нэгээр нь зааж тоолдог.</t>
        </is>
      </c>
      <c r="Y7" s="23" t="n"/>
      <c r="Z7" s="24" t="inlineStr">
        <is>
          <t>Том, жижиг бөмбөгөөс хэлсэн хэмжээтэйг нь сонгож өгдөг.</t>
        </is>
      </c>
      <c r="AA7" s="23" t="n"/>
      <c r="AB7" s="24" t="inlineStr">
        <is>
          <t>Тоглоомыг өнгө эсвэл хэлбэр гэх мэт нэг шинжээр нь ангилдаг.</t>
        </is>
      </c>
      <c r="AC7" s="23" t="n"/>
      <c r="AD7" s="24" t="inlineStr">
        <is>
          <t>Харандаа барьж цаасан дээр мөр, зураас гаргадаг.</t>
        </is>
      </c>
      <c r="AE7" s="23" t="n"/>
      <c r="AF7" s="24" t="inlineStr">
        <is>
          <t>Бэлдэц дүрсийг багшийн дэмжлэгтэй цаасан дээр наадаг.</t>
        </is>
      </c>
      <c r="AG7" s="23" t="n"/>
      <c r="AH7" s="24" t="inlineStr">
        <is>
          <t>Хэв ашиглан шавар, элснээс хэлбэр гаргадаг.</t>
        </is>
      </c>
      <c r="AI7" s="23" t="n"/>
      <c r="AJ7" s="24" t="inlineStr">
        <is>
          <t>Шоо, тоглоомыг багшийн дэмжлэгтэй дээш нь өрдөг.</t>
        </is>
      </c>
      <c r="AK7" s="23" t="n"/>
      <c r="AL7" s="24" t="inlineStr">
        <is>
          <t>Нохой, муур, хүний дуу авиаг сонсоод ялгаж заадаг.</t>
        </is>
      </c>
      <c r="AM7" s="23" t="n"/>
      <c r="AN7" s="24" t="inlineStr">
        <is>
          <t>Дууны хэмнэлд алга ташиж, өвдгөө цохиж хөдөлдөг.</t>
        </is>
      </c>
      <c r="AO7" s="23" t="n"/>
      <c r="AP7" s="8" t="n"/>
      <c r="AQ7" s="8" t="n"/>
      <c r="AR7" s="8" t="n"/>
      <c r="AS7" s="8" t="n"/>
      <c r="AT7" s="8" t="n"/>
    </row>
    <row r="8" ht="15" customHeight="1">
      <c r="A8" s="8" t="n"/>
      <c r="B8" s="8" t="n"/>
      <c r="C8" s="8" t="n"/>
      <c r="D8" s="10" t="inlineStr">
        <is>
          <t>Шалгуур №3</t>
        </is>
      </c>
      <c r="E8" s="19" t="n"/>
      <c r="F8" s="10" t="inlineStr">
        <is>
          <t>Шалгуур №4</t>
        </is>
      </c>
      <c r="G8" s="19" t="n"/>
      <c r="H8" s="10" t="inlineStr">
        <is>
          <t>Шалгуур №5</t>
        </is>
      </c>
      <c r="I8" s="19" t="n"/>
      <c r="J8" s="10" t="inlineStr">
        <is>
          <t>Шалгуур №6</t>
        </is>
      </c>
      <c r="K8" s="19" t="n"/>
      <c r="L8" s="10" t="inlineStr">
        <is>
          <t>Шалгуур №8</t>
        </is>
      </c>
      <c r="M8" s="19" t="n"/>
      <c r="N8" s="10" t="inlineStr">
        <is>
          <t>Шалгуур №9</t>
        </is>
      </c>
      <c r="O8" s="19" t="n"/>
      <c r="P8" s="10" t="inlineStr">
        <is>
          <t>Шалгуур №19</t>
        </is>
      </c>
      <c r="Q8" s="19" t="n"/>
      <c r="R8" s="10" t="inlineStr">
        <is>
          <t>Шалгуур №20</t>
        </is>
      </c>
      <c r="S8" s="19" t="n"/>
      <c r="T8" s="10" t="inlineStr">
        <is>
          <t>Шалгуур №21</t>
        </is>
      </c>
      <c r="U8" s="19" t="n"/>
      <c r="V8" s="10" t="inlineStr">
        <is>
          <t>Шалгуур №22</t>
        </is>
      </c>
      <c r="W8" s="19" t="n"/>
      <c r="X8" s="10" t="inlineStr">
        <is>
          <t>Шалгуур №23</t>
        </is>
      </c>
      <c r="Y8" s="19" t="n"/>
      <c r="Z8" s="10" t="inlineStr">
        <is>
          <t>Шалгуур №24</t>
        </is>
      </c>
      <c r="AA8" s="19" t="n"/>
      <c r="AB8" s="10" t="inlineStr">
        <is>
          <t>Шалгуур №25</t>
        </is>
      </c>
      <c r="AC8" s="19" t="n"/>
      <c r="AD8" s="10" t="inlineStr">
        <is>
          <t>Шалгуур №26</t>
        </is>
      </c>
      <c r="AE8" s="19" t="n"/>
      <c r="AF8" s="10" t="inlineStr">
        <is>
          <t>Шалгуур №28</t>
        </is>
      </c>
      <c r="AG8" s="19" t="n"/>
      <c r="AH8" s="10" t="inlineStr">
        <is>
          <t>Шалгуур №29</t>
        </is>
      </c>
      <c r="AI8" s="19" t="n"/>
      <c r="AJ8" s="10" t="inlineStr">
        <is>
          <t>Шалгуур №30</t>
        </is>
      </c>
      <c r="AK8" s="19" t="n"/>
      <c r="AL8" s="10" t="inlineStr">
        <is>
          <t>Шалгуур №32</t>
        </is>
      </c>
      <c r="AM8" s="19" t="n"/>
      <c r="AN8" s="10" t="inlineStr">
        <is>
          <t>Шалгуур №33</t>
        </is>
      </c>
      <c r="AO8" s="19" t="n"/>
      <c r="AP8" s="8" t="n"/>
      <c r="AQ8" s="8" t="n"/>
      <c r="AR8" s="8" t="n"/>
      <c r="AS8" s="8" t="n"/>
      <c r="AT8" s="8" t="n"/>
    </row>
    <row r="9" ht="24" customHeight="1">
      <c r="A9" s="8" t="n"/>
      <c r="B9" s="8" t="n"/>
      <c r="C9" s="8" t="n"/>
      <c r="D9" s="11" t="inlineStr">
        <is>
          <t>Чадна</t>
        </is>
      </c>
      <c r="E9" s="11" t="inlineStr">
        <is>
          <t>Чадахгүй</t>
        </is>
      </c>
      <c r="F9" s="11" t="inlineStr">
        <is>
          <t>Чадна</t>
        </is>
      </c>
      <c r="G9" s="11" t="inlineStr">
        <is>
          <t>Чадахгүй</t>
        </is>
      </c>
      <c r="H9" s="11" t="inlineStr">
        <is>
          <t>Чадна</t>
        </is>
      </c>
      <c r="I9" s="11" t="inlineStr">
        <is>
          <t>Чадахгүй</t>
        </is>
      </c>
      <c r="J9" s="11" t="inlineStr">
        <is>
          <t>Чадна</t>
        </is>
      </c>
      <c r="K9" s="11" t="inlineStr">
        <is>
          <t>Чадахгүй</t>
        </is>
      </c>
      <c r="L9" s="11" t="inlineStr">
        <is>
          <t>Чадна</t>
        </is>
      </c>
      <c r="M9" s="11" t="inlineStr">
        <is>
          <t>Чадахгүй</t>
        </is>
      </c>
      <c r="N9" s="11" t="inlineStr">
        <is>
          <t>Чадна</t>
        </is>
      </c>
      <c r="O9" s="11" t="inlineStr">
        <is>
          <t>Чадахгүй</t>
        </is>
      </c>
      <c r="P9" s="11" t="inlineStr">
        <is>
          <t>Чадна</t>
        </is>
      </c>
      <c r="Q9" s="11" t="inlineStr">
        <is>
          <t>Чадахгүй</t>
        </is>
      </c>
      <c r="R9" s="11" t="inlineStr">
        <is>
          <t>Чадна</t>
        </is>
      </c>
      <c r="S9" s="11" t="inlineStr">
        <is>
          <t>Чадахгүй</t>
        </is>
      </c>
      <c r="T9" s="11" t="inlineStr">
        <is>
          <t>Чадна</t>
        </is>
      </c>
      <c r="U9" s="11" t="inlineStr">
        <is>
          <t>Чадахгүй</t>
        </is>
      </c>
      <c r="V9" s="11" t="inlineStr">
        <is>
          <t>Чадна</t>
        </is>
      </c>
      <c r="W9" s="11" t="inlineStr">
        <is>
          <t>Чадахгүй</t>
        </is>
      </c>
      <c r="X9" s="11" t="inlineStr">
        <is>
          <t>Чадна</t>
        </is>
      </c>
      <c r="Y9" s="11" t="inlineStr">
        <is>
          <t>Чадахгүй</t>
        </is>
      </c>
      <c r="Z9" s="11" t="inlineStr">
        <is>
          <t>Чадна</t>
        </is>
      </c>
      <c r="AA9" s="11" t="inlineStr">
        <is>
          <t>Чадахгүй</t>
        </is>
      </c>
      <c r="AB9" s="11" t="inlineStr">
        <is>
          <t>Чадна</t>
        </is>
      </c>
      <c r="AC9" s="11" t="inlineStr">
        <is>
          <t>Чадахгүй</t>
        </is>
      </c>
      <c r="AD9" s="11" t="inlineStr">
        <is>
          <t>Чадна</t>
        </is>
      </c>
      <c r="AE9" s="11" t="inlineStr">
        <is>
          <t>Чадахгүй</t>
        </is>
      </c>
      <c r="AF9" s="11" t="inlineStr">
        <is>
          <t>Чадна</t>
        </is>
      </c>
      <c r="AG9" s="11" t="inlineStr">
        <is>
          <t>Чадахгүй</t>
        </is>
      </c>
      <c r="AH9" s="11" t="inlineStr">
        <is>
          <t>Чадна</t>
        </is>
      </c>
      <c r="AI9" s="11" t="inlineStr">
        <is>
          <t>Чадахгүй</t>
        </is>
      </c>
      <c r="AJ9" s="11" t="inlineStr">
        <is>
          <t>Чадна</t>
        </is>
      </c>
      <c r="AK9" s="11" t="inlineStr">
        <is>
          <t>Чадахгүй</t>
        </is>
      </c>
      <c r="AL9" s="11" t="inlineStr">
        <is>
          <t>Чадна</t>
        </is>
      </c>
      <c r="AM9" s="11" t="inlineStr">
        <is>
          <t>Чадахгүй</t>
        </is>
      </c>
      <c r="AN9" s="11" t="inlineStr">
        <is>
          <t>Чадна</t>
        </is>
      </c>
      <c r="AO9" s="11" t="inlineStr">
        <is>
          <t>Чадахгүй</t>
        </is>
      </c>
      <c r="AP9" s="8" t="n"/>
      <c r="AQ9" s="8" t="n"/>
      <c r="AR9" s="8" t="n"/>
      <c r="AS9" s="8" t="n"/>
      <c r="AT9" s="8" t="n"/>
    </row>
    <row r="10" ht="17" customHeight="1">
      <c r="A10" s="12" t="n">
        <v>1</v>
      </c>
      <c r="B10" s="13">
        <f>IF(Нэгтгэл!B7="","",Нэгтгэл!B7)</f>
        <v/>
      </c>
      <c r="C10" s="8"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4">
        <f>SUM(D10,F10,H10,J10,L10,N10,P10,R10,T10,V10,X10,Z10,AB10,AD10,AF10,AH10,AJ10,AL10,AN10)</f>
        <v/>
      </c>
      <c r="AQ10" s="12">
        <f>IF(AP10+AR10=0,"",ROUND(AP10/19*100,1))</f>
        <v/>
      </c>
      <c r="AR10" s="14">
        <f>SUM(E10,G10,I10,K10,M10,O10,Q10,S10,U10,W10,Y10,AA10,AC10,AE10,AG10,AI10,AK10,AM10,AO10)</f>
        <v/>
      </c>
      <c r="AS10" s="12">
        <f>IF(AP10+AR10=0,"",ROUND(AR10/19*100,1))</f>
        <v/>
      </c>
      <c r="AT10" s="25">
        <f>IF(AQ10="","",IF(AQ10&gt;=80,"Хангалттай эзэмшиж байна",IF(AQ10&gt;=50,"Ахиж байна","Хөгжиж байна")))</f>
        <v/>
      </c>
    </row>
    <row r="11" ht="17" customHeight="1">
      <c r="A11" s="12" t="n">
        <v>2</v>
      </c>
      <c r="B11" s="13">
        <f>IF(Нэгтгэл!B8="","",Нэгтгэл!B8)</f>
        <v/>
      </c>
      <c r="C11" s="8"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4">
        <f>SUM(D11,F11,H11,J11,L11,N11,P11,R11,T11,V11,X11,Z11,AB11,AD11,AF11,AH11,AJ11,AL11,AN11)</f>
        <v/>
      </c>
      <c r="AQ11" s="12">
        <f>IF(AP11+AR11=0,"",ROUND(AP11/19*100,1))</f>
        <v/>
      </c>
      <c r="AR11" s="14">
        <f>SUM(E11,G11,I11,K11,M11,O11,Q11,S11,U11,W11,Y11,AA11,AC11,AE11,AG11,AI11,AK11,AM11,AO11)</f>
        <v/>
      </c>
      <c r="AS11" s="12">
        <f>IF(AP11+AR11=0,"",ROUND(AR11/19*100,1))</f>
        <v/>
      </c>
      <c r="AT11" s="25">
        <f>IF(AQ11="","",IF(AQ11&gt;=80,"Хангалттай эзэмшиж байна",IF(AQ11&gt;=50,"Ахиж байна","Хөгжиж байна")))</f>
        <v/>
      </c>
    </row>
    <row r="12" ht="17" customHeight="1">
      <c r="A12" s="12" t="n">
        <v>3</v>
      </c>
      <c r="B12" s="13">
        <f>IF(Нэгтгэл!B9="","",Нэгтгэл!B9)</f>
        <v/>
      </c>
      <c r="C12" s="8"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4">
        <f>SUM(D12,F12,H12,J12,L12,N12,P12,R12,T12,V12,X12,Z12,AB12,AD12,AF12,AH12,AJ12,AL12,AN12)</f>
        <v/>
      </c>
      <c r="AQ12" s="12">
        <f>IF(AP12+AR12=0,"",ROUND(AP12/19*100,1))</f>
        <v/>
      </c>
      <c r="AR12" s="14">
        <f>SUM(E12,G12,I12,K12,M12,O12,Q12,S12,U12,W12,Y12,AA12,AC12,AE12,AG12,AI12,AK12,AM12,AO12)</f>
        <v/>
      </c>
      <c r="AS12" s="12">
        <f>IF(AP12+AR12=0,"",ROUND(AR12/19*100,1))</f>
        <v/>
      </c>
      <c r="AT12" s="25">
        <f>IF(AQ12="","",IF(AQ12&gt;=80,"Хангалттай эзэмшиж байна",IF(AQ12&gt;=50,"Ахиж байна","Хөгжиж байна")))</f>
        <v/>
      </c>
    </row>
    <row r="13" ht="17" customHeight="1">
      <c r="A13" s="12" t="n">
        <v>4</v>
      </c>
      <c r="B13" s="13">
        <f>IF(Нэгтгэл!B10="","",Нэгтгэл!B10)</f>
        <v/>
      </c>
      <c r="C13" s="8"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4">
        <f>SUM(D13,F13,H13,J13,L13,N13,P13,R13,T13,V13,X13,Z13,AB13,AD13,AF13,AH13,AJ13,AL13,AN13)</f>
        <v/>
      </c>
      <c r="AQ13" s="12">
        <f>IF(AP13+AR13=0,"",ROUND(AP13/19*100,1))</f>
        <v/>
      </c>
      <c r="AR13" s="14">
        <f>SUM(E13,G13,I13,K13,M13,O13,Q13,S13,U13,W13,Y13,AA13,AC13,AE13,AG13,AI13,AK13,AM13,AO13)</f>
        <v/>
      </c>
      <c r="AS13" s="12">
        <f>IF(AP13+AR13=0,"",ROUND(AR13/19*100,1))</f>
        <v/>
      </c>
      <c r="AT13" s="25">
        <f>IF(AQ13="","",IF(AQ13&gt;=80,"Хангалттай эзэмшиж байна",IF(AQ13&gt;=50,"Ахиж байна","Хөгжиж байна")))</f>
        <v/>
      </c>
    </row>
    <row r="14" ht="17" customHeight="1">
      <c r="A14" s="12" t="n">
        <v>5</v>
      </c>
      <c r="B14" s="13">
        <f>IF(Нэгтгэл!B11="","",Нэгтгэл!B11)</f>
        <v/>
      </c>
      <c r="C14" s="8"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4">
        <f>SUM(D14,F14,H14,J14,L14,N14,P14,R14,T14,V14,X14,Z14,AB14,AD14,AF14,AH14,AJ14,AL14,AN14)</f>
        <v/>
      </c>
      <c r="AQ14" s="12">
        <f>IF(AP14+AR14=0,"",ROUND(AP14/19*100,1))</f>
        <v/>
      </c>
      <c r="AR14" s="14">
        <f>SUM(E14,G14,I14,K14,M14,O14,Q14,S14,U14,W14,Y14,AA14,AC14,AE14,AG14,AI14,AK14,AM14,AO14)</f>
        <v/>
      </c>
      <c r="AS14" s="12">
        <f>IF(AP14+AR14=0,"",ROUND(AR14/19*100,1))</f>
        <v/>
      </c>
      <c r="AT14" s="25">
        <f>IF(AQ14="","",IF(AQ14&gt;=80,"Хангалттай эзэмшиж байна",IF(AQ14&gt;=50,"Ахиж байна","Хөгжиж байна")))</f>
        <v/>
      </c>
    </row>
    <row r="15" ht="17" customHeight="1">
      <c r="A15" s="12" t="n">
        <v>6</v>
      </c>
      <c r="B15" s="13">
        <f>IF(Нэгтгэл!B12="","",Нэгтгэл!B12)</f>
        <v/>
      </c>
      <c r="C15" s="8"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4">
        <f>SUM(D15,F15,H15,J15,L15,N15,P15,R15,T15,V15,X15,Z15,AB15,AD15,AF15,AH15,AJ15,AL15,AN15)</f>
        <v/>
      </c>
      <c r="AQ15" s="12">
        <f>IF(AP15+AR15=0,"",ROUND(AP15/19*100,1))</f>
        <v/>
      </c>
      <c r="AR15" s="14">
        <f>SUM(E15,G15,I15,K15,M15,O15,Q15,S15,U15,W15,Y15,AA15,AC15,AE15,AG15,AI15,AK15,AM15,AO15)</f>
        <v/>
      </c>
      <c r="AS15" s="12">
        <f>IF(AP15+AR15=0,"",ROUND(AR15/19*100,1))</f>
        <v/>
      </c>
      <c r="AT15" s="25">
        <f>IF(AQ15="","",IF(AQ15&gt;=80,"Хангалттай эзэмшиж байна",IF(AQ15&gt;=50,"Ахиж байна","Хөгжиж байна")))</f>
        <v/>
      </c>
    </row>
    <row r="16" ht="17" customHeight="1">
      <c r="A16" s="12" t="n">
        <v>7</v>
      </c>
      <c r="B16" s="13">
        <f>IF(Нэгтгэл!B13="","",Нэгтгэл!B13)</f>
        <v/>
      </c>
      <c r="C16" s="8"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4">
        <f>SUM(D16,F16,H16,J16,L16,N16,P16,R16,T16,V16,X16,Z16,AB16,AD16,AF16,AH16,AJ16,AL16,AN16)</f>
        <v/>
      </c>
      <c r="AQ16" s="12">
        <f>IF(AP16+AR16=0,"",ROUND(AP16/19*100,1))</f>
        <v/>
      </c>
      <c r="AR16" s="14">
        <f>SUM(E16,G16,I16,K16,M16,O16,Q16,S16,U16,W16,Y16,AA16,AC16,AE16,AG16,AI16,AK16,AM16,AO16)</f>
        <v/>
      </c>
      <c r="AS16" s="12">
        <f>IF(AP16+AR16=0,"",ROUND(AR16/19*100,1))</f>
        <v/>
      </c>
      <c r="AT16" s="25">
        <f>IF(AQ16="","",IF(AQ16&gt;=80,"Хангалттай эзэмшиж байна",IF(AQ16&gt;=50,"Ахиж байна","Хөгжиж байна")))</f>
        <v/>
      </c>
    </row>
    <row r="17" ht="17" customHeight="1">
      <c r="A17" s="12" t="n">
        <v>8</v>
      </c>
      <c r="B17" s="13">
        <f>IF(Нэгтгэл!B14="","",Нэгтгэл!B14)</f>
        <v/>
      </c>
      <c r="C17" s="8"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4">
        <f>SUM(D17,F17,H17,J17,L17,N17,P17,R17,T17,V17,X17,Z17,AB17,AD17,AF17,AH17,AJ17,AL17,AN17)</f>
        <v/>
      </c>
      <c r="AQ17" s="12">
        <f>IF(AP17+AR17=0,"",ROUND(AP17/19*100,1))</f>
        <v/>
      </c>
      <c r="AR17" s="14">
        <f>SUM(E17,G17,I17,K17,M17,O17,Q17,S17,U17,W17,Y17,AA17,AC17,AE17,AG17,AI17,AK17,AM17,AO17)</f>
        <v/>
      </c>
      <c r="AS17" s="12">
        <f>IF(AP17+AR17=0,"",ROUND(AR17/19*100,1))</f>
        <v/>
      </c>
      <c r="AT17" s="25">
        <f>IF(AQ17="","",IF(AQ17&gt;=80,"Хангалттай эзэмшиж байна",IF(AQ17&gt;=50,"Ахиж байна","Хөгжиж байна")))</f>
        <v/>
      </c>
    </row>
    <row r="18" ht="17" customHeight="1">
      <c r="A18" s="12" t="n">
        <v>9</v>
      </c>
      <c r="B18" s="13">
        <f>IF(Нэгтгэл!B15="","",Нэгтгэл!B15)</f>
        <v/>
      </c>
      <c r="C18" s="8"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4">
        <f>SUM(D18,F18,H18,J18,L18,N18,P18,R18,T18,V18,X18,Z18,AB18,AD18,AF18,AH18,AJ18,AL18,AN18)</f>
        <v/>
      </c>
      <c r="AQ18" s="12">
        <f>IF(AP18+AR18=0,"",ROUND(AP18/19*100,1))</f>
        <v/>
      </c>
      <c r="AR18" s="14">
        <f>SUM(E18,G18,I18,K18,M18,O18,Q18,S18,U18,W18,Y18,AA18,AC18,AE18,AG18,AI18,AK18,AM18,AO18)</f>
        <v/>
      </c>
      <c r="AS18" s="12">
        <f>IF(AP18+AR18=0,"",ROUND(AR18/19*100,1))</f>
        <v/>
      </c>
      <c r="AT18" s="25">
        <f>IF(AQ18="","",IF(AQ18&gt;=80,"Хангалттай эзэмшиж байна",IF(AQ18&gt;=50,"Ахиж байна","Хөгжиж байна")))</f>
        <v/>
      </c>
    </row>
    <row r="19" ht="17" customHeight="1">
      <c r="A19" s="12" t="n">
        <v>10</v>
      </c>
      <c r="B19" s="13">
        <f>IF(Нэгтгэл!B16="","",Нэгтгэл!B16)</f>
        <v/>
      </c>
      <c r="C19" s="8"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4">
        <f>SUM(D19,F19,H19,J19,L19,N19,P19,R19,T19,V19,X19,Z19,AB19,AD19,AF19,AH19,AJ19,AL19,AN19)</f>
        <v/>
      </c>
      <c r="AQ19" s="12">
        <f>IF(AP19+AR19=0,"",ROUND(AP19/19*100,1))</f>
        <v/>
      </c>
      <c r="AR19" s="14">
        <f>SUM(E19,G19,I19,K19,M19,O19,Q19,S19,U19,W19,Y19,AA19,AC19,AE19,AG19,AI19,AK19,AM19,AO19)</f>
        <v/>
      </c>
      <c r="AS19" s="12">
        <f>IF(AP19+AR19=0,"",ROUND(AR19/19*100,1))</f>
        <v/>
      </c>
      <c r="AT19" s="25">
        <f>IF(AQ19="","",IF(AQ19&gt;=80,"Хангалттай эзэмшиж байна",IF(AQ19&gt;=50,"Ахиж байна","Хөгжиж байна")))</f>
        <v/>
      </c>
    </row>
    <row r="20" ht="17" customHeight="1">
      <c r="A20" s="12" t="n">
        <v>11</v>
      </c>
      <c r="B20" s="13">
        <f>IF(Нэгтгэл!B17="","",Нэгтгэл!B17)</f>
        <v/>
      </c>
      <c r="C20" s="8"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4">
        <f>SUM(D20,F20,H20,J20,L20,N20,P20,R20,T20,V20,X20,Z20,AB20,AD20,AF20,AH20,AJ20,AL20,AN20)</f>
        <v/>
      </c>
      <c r="AQ20" s="12">
        <f>IF(AP20+AR20=0,"",ROUND(AP20/19*100,1))</f>
        <v/>
      </c>
      <c r="AR20" s="14">
        <f>SUM(E20,G20,I20,K20,M20,O20,Q20,S20,U20,W20,Y20,AA20,AC20,AE20,AG20,AI20,AK20,AM20,AO20)</f>
        <v/>
      </c>
      <c r="AS20" s="12">
        <f>IF(AP20+AR20=0,"",ROUND(AR20/19*100,1))</f>
        <v/>
      </c>
      <c r="AT20" s="25">
        <f>IF(AQ20="","",IF(AQ20&gt;=80,"Хангалттай эзэмшиж байна",IF(AQ20&gt;=50,"Ахиж байна","Хөгжиж байна")))</f>
        <v/>
      </c>
    </row>
    <row r="21" ht="17" customHeight="1">
      <c r="A21" s="12" t="n">
        <v>12</v>
      </c>
      <c r="B21" s="13">
        <f>IF(Нэгтгэл!B18="","",Нэгтгэл!B18)</f>
        <v/>
      </c>
      <c r="C21" s="8"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4">
        <f>SUM(D21,F21,H21,J21,L21,N21,P21,R21,T21,V21,X21,Z21,AB21,AD21,AF21,AH21,AJ21,AL21,AN21)</f>
        <v/>
      </c>
      <c r="AQ21" s="12">
        <f>IF(AP21+AR21=0,"",ROUND(AP21/19*100,1))</f>
        <v/>
      </c>
      <c r="AR21" s="14">
        <f>SUM(E21,G21,I21,K21,M21,O21,Q21,S21,U21,W21,Y21,AA21,AC21,AE21,AG21,AI21,AK21,AM21,AO21)</f>
        <v/>
      </c>
      <c r="AS21" s="12">
        <f>IF(AP21+AR21=0,"",ROUND(AR21/19*100,1))</f>
        <v/>
      </c>
      <c r="AT21" s="25">
        <f>IF(AQ21="","",IF(AQ21&gt;=80,"Хангалттай эзэмшиж байна",IF(AQ21&gt;=50,"Ахиж байна","Хөгжиж байна")))</f>
        <v/>
      </c>
    </row>
    <row r="22" ht="17" customHeight="1">
      <c r="A22" s="12" t="n">
        <v>13</v>
      </c>
      <c r="B22" s="13">
        <f>IF(Нэгтгэл!B19="","",Нэгтгэл!B19)</f>
        <v/>
      </c>
      <c r="C22" s="8"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4">
        <f>SUM(D22,F22,H22,J22,L22,N22,P22,R22,T22,V22,X22,Z22,AB22,AD22,AF22,AH22,AJ22,AL22,AN22)</f>
        <v/>
      </c>
      <c r="AQ22" s="12">
        <f>IF(AP22+AR22=0,"",ROUND(AP22/19*100,1))</f>
        <v/>
      </c>
      <c r="AR22" s="14">
        <f>SUM(E22,G22,I22,K22,M22,O22,Q22,S22,U22,W22,Y22,AA22,AC22,AE22,AG22,AI22,AK22,AM22,AO22)</f>
        <v/>
      </c>
      <c r="AS22" s="12">
        <f>IF(AP22+AR22=0,"",ROUND(AR22/19*100,1))</f>
        <v/>
      </c>
      <c r="AT22" s="25">
        <f>IF(AQ22="","",IF(AQ22&gt;=80,"Хангалттай эзэмшиж байна",IF(AQ22&gt;=50,"Ахиж байна","Хөгжиж байна")))</f>
        <v/>
      </c>
    </row>
    <row r="23" ht="17" customHeight="1">
      <c r="A23" s="12" t="n">
        <v>14</v>
      </c>
      <c r="B23" s="13">
        <f>IF(Нэгтгэл!B20="","",Нэгтгэл!B20)</f>
        <v/>
      </c>
      <c r="C23" s="8"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4">
        <f>SUM(D23,F23,H23,J23,L23,N23,P23,R23,T23,V23,X23,Z23,AB23,AD23,AF23,AH23,AJ23,AL23,AN23)</f>
        <v/>
      </c>
      <c r="AQ23" s="12">
        <f>IF(AP23+AR23=0,"",ROUND(AP23/19*100,1))</f>
        <v/>
      </c>
      <c r="AR23" s="14">
        <f>SUM(E23,G23,I23,K23,M23,O23,Q23,S23,U23,W23,Y23,AA23,AC23,AE23,AG23,AI23,AK23,AM23,AO23)</f>
        <v/>
      </c>
      <c r="AS23" s="12">
        <f>IF(AP23+AR23=0,"",ROUND(AR23/19*100,1))</f>
        <v/>
      </c>
      <c r="AT23" s="25">
        <f>IF(AQ23="","",IF(AQ23&gt;=80,"Хангалттай эзэмшиж байна",IF(AQ23&gt;=50,"Ахиж байна","Хөгжиж байна")))</f>
        <v/>
      </c>
    </row>
    <row r="24" ht="17" customHeight="1">
      <c r="A24" s="12" t="n">
        <v>15</v>
      </c>
      <c r="B24" s="13">
        <f>IF(Нэгтгэл!B21="","",Нэгтгэл!B21)</f>
        <v/>
      </c>
      <c r="C24" s="8"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4">
        <f>SUM(D24,F24,H24,J24,L24,N24,P24,R24,T24,V24,X24,Z24,AB24,AD24,AF24,AH24,AJ24,AL24,AN24)</f>
        <v/>
      </c>
      <c r="AQ24" s="12">
        <f>IF(AP24+AR24=0,"",ROUND(AP24/19*100,1))</f>
        <v/>
      </c>
      <c r="AR24" s="14">
        <f>SUM(E24,G24,I24,K24,M24,O24,Q24,S24,U24,W24,Y24,AA24,AC24,AE24,AG24,AI24,AK24,AM24,AO24)</f>
        <v/>
      </c>
      <c r="AS24" s="12">
        <f>IF(AP24+AR24=0,"",ROUND(AR24/19*100,1))</f>
        <v/>
      </c>
      <c r="AT24" s="25">
        <f>IF(AQ24="","",IF(AQ24&gt;=80,"Хангалттай эзэмшиж байна",IF(AQ24&gt;=50,"Ахиж байна","Хөгжиж байна")))</f>
        <v/>
      </c>
    </row>
    <row r="25" ht="17" customHeight="1">
      <c r="A25" s="12" t="n">
        <v>16</v>
      </c>
      <c r="B25" s="13">
        <f>IF(Нэгтгэл!B22="","",Нэгтгэл!B22)</f>
        <v/>
      </c>
      <c r="C25" s="8"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4">
        <f>SUM(D25,F25,H25,J25,L25,N25,P25,R25,T25,V25,X25,Z25,AB25,AD25,AF25,AH25,AJ25,AL25,AN25)</f>
        <v/>
      </c>
      <c r="AQ25" s="12">
        <f>IF(AP25+AR25=0,"",ROUND(AP25/19*100,1))</f>
        <v/>
      </c>
      <c r="AR25" s="14">
        <f>SUM(E25,G25,I25,K25,M25,O25,Q25,S25,U25,W25,Y25,AA25,AC25,AE25,AG25,AI25,AK25,AM25,AO25)</f>
        <v/>
      </c>
      <c r="AS25" s="12">
        <f>IF(AP25+AR25=0,"",ROUND(AR25/19*100,1))</f>
        <v/>
      </c>
      <c r="AT25" s="25">
        <f>IF(AQ25="","",IF(AQ25&gt;=80,"Хангалттай эзэмшиж байна",IF(AQ25&gt;=50,"Ахиж байна","Хөгжиж байна")))</f>
        <v/>
      </c>
    </row>
    <row r="26" ht="17" customHeight="1">
      <c r="A26" s="12" t="n">
        <v>17</v>
      </c>
      <c r="B26" s="13">
        <f>IF(Нэгтгэл!B23="","",Нэгтгэл!B23)</f>
        <v/>
      </c>
      <c r="C26" s="8"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4">
        <f>SUM(D26,F26,H26,J26,L26,N26,P26,R26,T26,V26,X26,Z26,AB26,AD26,AF26,AH26,AJ26,AL26,AN26)</f>
        <v/>
      </c>
      <c r="AQ26" s="12">
        <f>IF(AP26+AR26=0,"",ROUND(AP26/19*100,1))</f>
        <v/>
      </c>
      <c r="AR26" s="14">
        <f>SUM(E26,G26,I26,K26,M26,O26,Q26,S26,U26,W26,Y26,AA26,AC26,AE26,AG26,AI26,AK26,AM26,AO26)</f>
        <v/>
      </c>
      <c r="AS26" s="12">
        <f>IF(AP26+AR26=0,"",ROUND(AR26/19*100,1))</f>
        <v/>
      </c>
      <c r="AT26" s="25">
        <f>IF(AQ26="","",IF(AQ26&gt;=80,"Хангалттай эзэмшиж байна",IF(AQ26&gt;=50,"Ахиж байна","Хөгжиж байна")))</f>
        <v/>
      </c>
    </row>
    <row r="27" ht="17" customHeight="1">
      <c r="A27" s="12" t="n">
        <v>18</v>
      </c>
      <c r="B27" s="13">
        <f>IF(Нэгтгэл!B24="","",Нэгтгэл!B24)</f>
        <v/>
      </c>
      <c r="C27" s="8"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4">
        <f>SUM(D27,F27,H27,J27,L27,N27,P27,R27,T27,V27,X27,Z27,AB27,AD27,AF27,AH27,AJ27,AL27,AN27)</f>
        <v/>
      </c>
      <c r="AQ27" s="12">
        <f>IF(AP27+AR27=0,"",ROUND(AP27/19*100,1))</f>
        <v/>
      </c>
      <c r="AR27" s="14">
        <f>SUM(E27,G27,I27,K27,M27,O27,Q27,S27,U27,W27,Y27,AA27,AC27,AE27,AG27,AI27,AK27,AM27,AO27)</f>
        <v/>
      </c>
      <c r="AS27" s="12">
        <f>IF(AP27+AR27=0,"",ROUND(AR27/19*100,1))</f>
        <v/>
      </c>
      <c r="AT27" s="25">
        <f>IF(AQ27="","",IF(AQ27&gt;=80,"Хангалттай эзэмшиж байна",IF(AQ27&gt;=50,"Ахиж байна","Хөгжиж байна")))</f>
        <v/>
      </c>
    </row>
    <row r="28" ht="17" customHeight="1">
      <c r="A28" s="12" t="n">
        <v>19</v>
      </c>
      <c r="B28" s="13">
        <f>IF(Нэгтгэл!B25="","",Нэгтгэл!B25)</f>
        <v/>
      </c>
      <c r="C28" s="8"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4">
        <f>SUM(D28,F28,H28,J28,L28,N28,P28,R28,T28,V28,X28,Z28,AB28,AD28,AF28,AH28,AJ28,AL28,AN28)</f>
        <v/>
      </c>
      <c r="AQ28" s="12">
        <f>IF(AP28+AR28=0,"",ROUND(AP28/19*100,1))</f>
        <v/>
      </c>
      <c r="AR28" s="14">
        <f>SUM(E28,G28,I28,K28,M28,O28,Q28,S28,U28,W28,Y28,AA28,AC28,AE28,AG28,AI28,AK28,AM28,AO28)</f>
        <v/>
      </c>
      <c r="AS28" s="12">
        <f>IF(AP28+AR28=0,"",ROUND(AR28/19*100,1))</f>
        <v/>
      </c>
      <c r="AT28" s="25">
        <f>IF(AQ28="","",IF(AQ28&gt;=80,"Хангалттай эзэмшиж байна",IF(AQ28&gt;=50,"Ахиж байна","Хөгжиж байна")))</f>
        <v/>
      </c>
    </row>
    <row r="29" ht="17" customHeight="1">
      <c r="A29" s="12" t="n">
        <v>20</v>
      </c>
      <c r="B29" s="13">
        <f>IF(Нэгтгэл!B26="","",Нэгтгэл!B26)</f>
        <v/>
      </c>
      <c r="C29" s="8"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4">
        <f>SUM(D29,F29,H29,J29,L29,N29,P29,R29,T29,V29,X29,Z29,AB29,AD29,AF29,AH29,AJ29,AL29,AN29)</f>
        <v/>
      </c>
      <c r="AQ29" s="12">
        <f>IF(AP29+AR29=0,"",ROUND(AP29/19*100,1))</f>
        <v/>
      </c>
      <c r="AR29" s="14">
        <f>SUM(E29,G29,I29,K29,M29,O29,Q29,S29,U29,W29,Y29,AA29,AC29,AE29,AG29,AI29,AK29,AM29,AO29)</f>
        <v/>
      </c>
      <c r="AS29" s="12">
        <f>IF(AP29+AR29=0,"",ROUND(AR29/19*100,1))</f>
        <v/>
      </c>
      <c r="AT29" s="25">
        <f>IF(AQ29="","",IF(AQ29&gt;=80,"Хангалттай эзэмшиж байна",IF(AQ29&gt;=50,"Ахиж байна","Хөгжиж байна")))</f>
        <v/>
      </c>
    </row>
    <row r="30" ht="17" customHeight="1">
      <c r="A30" s="12" t="n">
        <v>21</v>
      </c>
      <c r="B30" s="13">
        <f>IF(Нэгтгэл!B27="","",Нэгтгэл!B27)</f>
        <v/>
      </c>
      <c r="C30" s="8"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4">
        <f>SUM(D30,F30,H30,J30,L30,N30,P30,R30,T30,V30,X30,Z30,AB30,AD30,AF30,AH30,AJ30,AL30,AN30)</f>
        <v/>
      </c>
      <c r="AQ30" s="12">
        <f>IF(AP30+AR30=0,"",ROUND(AP30/19*100,1))</f>
        <v/>
      </c>
      <c r="AR30" s="14">
        <f>SUM(E30,G30,I30,K30,M30,O30,Q30,S30,U30,W30,Y30,AA30,AC30,AE30,AG30,AI30,AK30,AM30,AO30)</f>
        <v/>
      </c>
      <c r="AS30" s="12">
        <f>IF(AP30+AR30=0,"",ROUND(AR30/19*100,1))</f>
        <v/>
      </c>
      <c r="AT30" s="25">
        <f>IF(AQ30="","",IF(AQ30&gt;=80,"Хангалттай эзэмшиж байна",IF(AQ30&gt;=50,"Ахиж байна","Хөгжиж байна")))</f>
        <v/>
      </c>
    </row>
    <row r="31" ht="17" customHeight="1">
      <c r="A31" s="12" t="n">
        <v>22</v>
      </c>
      <c r="B31" s="13">
        <f>IF(Нэгтгэл!B28="","",Нэгтгэл!B28)</f>
        <v/>
      </c>
      <c r="C31" s="8"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4">
        <f>SUM(D31,F31,H31,J31,L31,N31,P31,R31,T31,V31,X31,Z31,AB31,AD31,AF31,AH31,AJ31,AL31,AN31)</f>
        <v/>
      </c>
      <c r="AQ31" s="12">
        <f>IF(AP31+AR31=0,"",ROUND(AP31/19*100,1))</f>
        <v/>
      </c>
      <c r="AR31" s="14">
        <f>SUM(E31,G31,I31,K31,M31,O31,Q31,S31,U31,W31,Y31,AA31,AC31,AE31,AG31,AI31,AK31,AM31,AO31)</f>
        <v/>
      </c>
      <c r="AS31" s="12">
        <f>IF(AP31+AR31=0,"",ROUND(AR31/19*100,1))</f>
        <v/>
      </c>
      <c r="AT31" s="25">
        <f>IF(AQ31="","",IF(AQ31&gt;=80,"Хангалттай эзэмшиж байна",IF(AQ31&gt;=50,"Ахиж байна","Хөгжиж байна")))</f>
        <v/>
      </c>
    </row>
    <row r="32" ht="17" customHeight="1">
      <c r="A32" s="12" t="n">
        <v>23</v>
      </c>
      <c r="B32" s="13">
        <f>IF(Нэгтгэл!B29="","",Нэгтгэл!B29)</f>
        <v/>
      </c>
      <c r="C32" s="8"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4">
        <f>SUM(D32,F32,H32,J32,L32,N32,P32,R32,T32,V32,X32,Z32,AB32,AD32,AF32,AH32,AJ32,AL32,AN32)</f>
        <v/>
      </c>
      <c r="AQ32" s="12">
        <f>IF(AP32+AR32=0,"",ROUND(AP32/19*100,1))</f>
        <v/>
      </c>
      <c r="AR32" s="14">
        <f>SUM(E32,G32,I32,K32,M32,O32,Q32,S32,U32,W32,Y32,AA32,AC32,AE32,AG32,AI32,AK32,AM32,AO32)</f>
        <v/>
      </c>
      <c r="AS32" s="12">
        <f>IF(AP32+AR32=0,"",ROUND(AR32/19*100,1))</f>
        <v/>
      </c>
      <c r="AT32" s="25">
        <f>IF(AQ32="","",IF(AQ32&gt;=80,"Хангалттай эзэмшиж байна",IF(AQ32&gt;=50,"Ахиж байна","Хөгжиж байна")))</f>
        <v/>
      </c>
    </row>
    <row r="33" ht="17" customHeight="1">
      <c r="A33" s="12" t="n">
        <v>24</v>
      </c>
      <c r="B33" s="13">
        <f>IF(Нэгтгэл!B30="","",Нэгтгэл!B30)</f>
        <v/>
      </c>
      <c r="C33" s="8"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4">
        <f>SUM(D33,F33,H33,J33,L33,N33,P33,R33,T33,V33,X33,Z33,AB33,AD33,AF33,AH33,AJ33,AL33,AN33)</f>
        <v/>
      </c>
      <c r="AQ33" s="12">
        <f>IF(AP33+AR33=0,"",ROUND(AP33/19*100,1))</f>
        <v/>
      </c>
      <c r="AR33" s="14">
        <f>SUM(E33,G33,I33,K33,M33,O33,Q33,S33,U33,W33,Y33,AA33,AC33,AE33,AG33,AI33,AK33,AM33,AO33)</f>
        <v/>
      </c>
      <c r="AS33" s="12">
        <f>IF(AP33+AR33=0,"",ROUND(AR33/19*100,1))</f>
        <v/>
      </c>
      <c r="AT33" s="25">
        <f>IF(AQ33="","",IF(AQ33&gt;=80,"Хангалттай эзэмшиж байна",IF(AQ33&gt;=50,"Ахиж байна","Хөгжиж байна")))</f>
        <v/>
      </c>
    </row>
    <row r="34" ht="17" customHeight="1">
      <c r="A34" s="12" t="n">
        <v>25</v>
      </c>
      <c r="B34" s="13">
        <f>IF(Нэгтгэл!B31="","",Нэгтгэл!B31)</f>
        <v/>
      </c>
      <c r="C34" s="8"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4">
        <f>SUM(D34,F34,H34,J34,L34,N34,P34,R34,T34,V34,X34,Z34,AB34,AD34,AF34,AH34,AJ34,AL34,AN34)</f>
        <v/>
      </c>
      <c r="AQ34" s="12">
        <f>IF(AP34+AR34=0,"",ROUND(AP34/19*100,1))</f>
        <v/>
      </c>
      <c r="AR34" s="14">
        <f>SUM(E34,G34,I34,K34,M34,O34,Q34,S34,U34,W34,Y34,AA34,AC34,AE34,AG34,AI34,AK34,AM34,AO34)</f>
        <v/>
      </c>
      <c r="AS34" s="12">
        <f>IF(AP34+AR34=0,"",ROUND(AR34/19*100,1))</f>
        <v/>
      </c>
      <c r="AT34" s="25">
        <f>IF(AQ34="","",IF(AQ34&gt;=80,"Хангалттай эзэмшиж байна",IF(AQ34&gt;=50,"Ахиж байна","Хөгжиж байна")))</f>
        <v/>
      </c>
    </row>
    <row r="35" ht="17" customHeight="1">
      <c r="A35" s="12" t="n">
        <v>26</v>
      </c>
      <c r="B35" s="13">
        <f>IF(Нэгтгэл!B32="","",Нэгтгэл!B32)</f>
        <v/>
      </c>
      <c r="C35" s="8"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4">
        <f>SUM(D35,F35,H35,J35,L35,N35,P35,R35,T35,V35,X35,Z35,AB35,AD35,AF35,AH35,AJ35,AL35,AN35)</f>
        <v/>
      </c>
      <c r="AQ35" s="12">
        <f>IF(AP35+AR35=0,"",ROUND(AP35/19*100,1))</f>
        <v/>
      </c>
      <c r="AR35" s="14">
        <f>SUM(E35,G35,I35,K35,M35,O35,Q35,S35,U35,W35,Y35,AA35,AC35,AE35,AG35,AI35,AK35,AM35,AO35)</f>
        <v/>
      </c>
      <c r="AS35" s="12">
        <f>IF(AP35+AR35=0,"",ROUND(AR35/19*100,1))</f>
        <v/>
      </c>
      <c r="AT35" s="25">
        <f>IF(AQ35="","",IF(AQ35&gt;=80,"Хангалттай эзэмшиж байна",IF(AQ35&gt;=50,"Ахиж байна","Хөгжиж байна")))</f>
        <v/>
      </c>
    </row>
    <row r="36" ht="17" customHeight="1">
      <c r="A36" s="12" t="n">
        <v>27</v>
      </c>
      <c r="B36" s="13">
        <f>IF(Нэгтгэл!B33="","",Нэгтгэл!B33)</f>
        <v/>
      </c>
      <c r="C36" s="8"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4">
        <f>SUM(D36,F36,H36,J36,L36,N36,P36,R36,T36,V36,X36,Z36,AB36,AD36,AF36,AH36,AJ36,AL36,AN36)</f>
        <v/>
      </c>
      <c r="AQ36" s="12">
        <f>IF(AP36+AR36=0,"",ROUND(AP36/19*100,1))</f>
        <v/>
      </c>
      <c r="AR36" s="14">
        <f>SUM(E36,G36,I36,K36,M36,O36,Q36,S36,U36,W36,Y36,AA36,AC36,AE36,AG36,AI36,AK36,AM36,AO36)</f>
        <v/>
      </c>
      <c r="AS36" s="12">
        <f>IF(AP36+AR36=0,"",ROUND(AR36/19*100,1))</f>
        <v/>
      </c>
      <c r="AT36" s="25">
        <f>IF(AQ36="","",IF(AQ36&gt;=80,"Хангалттай эзэмшиж байна",IF(AQ36&gt;=50,"Ахиж байна","Хөгжиж байна")))</f>
        <v/>
      </c>
    </row>
    <row r="37" ht="17" customHeight="1">
      <c r="A37" s="12" t="n">
        <v>28</v>
      </c>
      <c r="B37" s="13">
        <f>IF(Нэгтгэл!B34="","",Нэгтгэл!B34)</f>
        <v/>
      </c>
      <c r="C37" s="8"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4">
        <f>SUM(D37,F37,H37,J37,L37,N37,P37,R37,T37,V37,X37,Z37,AB37,AD37,AF37,AH37,AJ37,AL37,AN37)</f>
        <v/>
      </c>
      <c r="AQ37" s="12">
        <f>IF(AP37+AR37=0,"",ROUND(AP37/19*100,1))</f>
        <v/>
      </c>
      <c r="AR37" s="14">
        <f>SUM(E37,G37,I37,K37,M37,O37,Q37,S37,U37,W37,Y37,AA37,AC37,AE37,AG37,AI37,AK37,AM37,AO37)</f>
        <v/>
      </c>
      <c r="AS37" s="12">
        <f>IF(AP37+AR37=0,"",ROUND(AR37/19*100,1))</f>
        <v/>
      </c>
      <c r="AT37" s="25">
        <f>IF(AQ37="","",IF(AQ37&gt;=80,"Хангалттай эзэмшиж байна",IF(AQ37&gt;=50,"Ахиж байна","Хөгжиж байна")))</f>
        <v/>
      </c>
    </row>
    <row r="38" ht="17" customHeight="1">
      <c r="A38" s="12" t="n">
        <v>29</v>
      </c>
      <c r="B38" s="13">
        <f>IF(Нэгтгэл!B35="","",Нэгтгэл!B35)</f>
        <v/>
      </c>
      <c r="C38" s="8"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4">
        <f>SUM(D38,F38,H38,J38,L38,N38,P38,R38,T38,V38,X38,Z38,AB38,AD38,AF38,AH38,AJ38,AL38,AN38)</f>
        <v/>
      </c>
      <c r="AQ38" s="12">
        <f>IF(AP38+AR38=0,"",ROUND(AP38/19*100,1))</f>
        <v/>
      </c>
      <c r="AR38" s="14">
        <f>SUM(E38,G38,I38,K38,M38,O38,Q38,S38,U38,W38,Y38,AA38,AC38,AE38,AG38,AI38,AK38,AM38,AO38)</f>
        <v/>
      </c>
      <c r="AS38" s="12">
        <f>IF(AP38+AR38=0,"",ROUND(AR38/19*100,1))</f>
        <v/>
      </c>
      <c r="AT38" s="25">
        <f>IF(AQ38="","",IF(AQ38&gt;=80,"Хангалттай эзэмшиж байна",IF(AQ38&gt;=50,"Ахиж байна","Хөгжиж байна")))</f>
        <v/>
      </c>
    </row>
    <row r="39" ht="17" customHeight="1">
      <c r="A39" s="12" t="n">
        <v>30</v>
      </c>
      <c r="B39" s="13">
        <f>IF(Нэгтгэл!B36="","",Нэгтгэл!B36)</f>
        <v/>
      </c>
      <c r="C39" s="8"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4">
        <f>SUM(D39,F39,H39,J39,L39,N39,P39,R39,T39,V39,X39,Z39,AB39,AD39,AF39,AH39,AJ39,AL39,AN39)</f>
        <v/>
      </c>
      <c r="AQ39" s="12">
        <f>IF(AP39+AR39=0,"",ROUND(AP39/19*100,1))</f>
        <v/>
      </c>
      <c r="AR39" s="14">
        <f>SUM(E39,G39,I39,K39,M39,O39,Q39,S39,U39,W39,Y39,AA39,AC39,AE39,AG39,AI39,AK39,AM39,AO39)</f>
        <v/>
      </c>
      <c r="AS39" s="12">
        <f>IF(AP39+AR39=0,"",ROUND(AR39/19*100,1))</f>
        <v/>
      </c>
      <c r="AT39" s="25">
        <f>IF(AQ39="","",IF(AQ39&gt;=80,"Хангалттай эзэмшиж байна",IF(AQ39&gt;=50,"Ахиж байна","Хөгжиж байна")))</f>
        <v/>
      </c>
    </row>
    <row r="40" ht="18" customHeight="1">
      <c r="A40" s="9" t="inlineStr">
        <is>
          <t>Чадна</t>
        </is>
      </c>
      <c r="B40" s="16" t="n"/>
      <c r="C40" s="16" t="n"/>
      <c r="D40" s="9">
        <f>SUM(D10:D39)</f>
        <v/>
      </c>
      <c r="E40" s="16" t="n"/>
      <c r="F40" s="9">
        <f>SUM(F10:F39)</f>
        <v/>
      </c>
      <c r="G40" s="16" t="n"/>
      <c r="H40" s="9">
        <f>SUM(H10:H39)</f>
        <v/>
      </c>
      <c r="I40" s="16" t="n"/>
      <c r="J40" s="9">
        <f>SUM(J10:J39)</f>
        <v/>
      </c>
      <c r="K40" s="16" t="n"/>
      <c r="L40" s="9">
        <f>SUM(L10:L39)</f>
        <v/>
      </c>
      <c r="M40" s="16" t="n"/>
      <c r="N40" s="9">
        <f>SUM(N10:N39)</f>
        <v/>
      </c>
      <c r="O40" s="16" t="n"/>
      <c r="P40" s="9">
        <f>SUM(P10:P39)</f>
        <v/>
      </c>
      <c r="Q40" s="16" t="n"/>
      <c r="R40" s="9">
        <f>SUM(R10:R39)</f>
        <v/>
      </c>
      <c r="S40" s="16" t="n"/>
      <c r="T40" s="9">
        <f>SUM(T10:T39)</f>
        <v/>
      </c>
      <c r="U40" s="16" t="n"/>
      <c r="V40" s="9">
        <f>SUM(V10:V39)</f>
        <v/>
      </c>
      <c r="W40" s="16" t="n"/>
      <c r="X40" s="9">
        <f>SUM(X10:X39)</f>
        <v/>
      </c>
      <c r="Y40" s="16" t="n"/>
      <c r="Z40" s="9">
        <f>SUM(Z10:Z39)</f>
        <v/>
      </c>
      <c r="AA40" s="16" t="n"/>
      <c r="AB40" s="9">
        <f>SUM(AB10:AB39)</f>
        <v/>
      </c>
      <c r="AC40" s="16" t="n"/>
      <c r="AD40" s="9">
        <f>SUM(AD10:AD39)</f>
        <v/>
      </c>
      <c r="AE40" s="16" t="n"/>
      <c r="AF40" s="9">
        <f>SUM(AF10:AF39)</f>
        <v/>
      </c>
      <c r="AG40" s="16" t="n"/>
      <c r="AH40" s="9">
        <f>SUM(AH10:AH39)</f>
        <v/>
      </c>
      <c r="AI40" s="16" t="n"/>
      <c r="AJ40" s="9">
        <f>SUM(AJ10:AJ39)</f>
        <v/>
      </c>
      <c r="AK40" s="16" t="n"/>
      <c r="AL40" s="9">
        <f>SUM(AL10:AL39)</f>
        <v/>
      </c>
      <c r="AM40" s="16" t="n"/>
      <c r="AN40" s="9">
        <f>SUM(AN10:AN39)</f>
        <v/>
      </c>
      <c r="AO40" s="16" t="n"/>
      <c r="AP40" s="26" t="inlineStr">
        <is>
          <t>Хангалттай эзэмшиж байна</t>
        </is>
      </c>
      <c r="AQ40" s="27" t="n"/>
      <c r="AR40" s="27" t="n"/>
      <c r="AS40" s="28" t="n"/>
      <c r="AT40" s="9">
        <f>COUNTIF(AT10:AT39,"Хангалттай эзэмшиж байна")</f>
        <v/>
      </c>
    </row>
    <row r="41" ht="18" customHeight="1">
      <c r="A41" s="9" t="inlineStr">
        <is>
          <t>Хувь</t>
        </is>
      </c>
      <c r="B41" s="16" t="n"/>
      <c r="C41" s="16" t="n"/>
      <c r="D41" s="9">
        <f>IF(COUNTIF($B$10:$B$39,"?*")=0,"",ROUND(D40/COUNTIF($B$10:$B$39,"?*")*100,1))</f>
        <v/>
      </c>
      <c r="E41" s="16" t="n"/>
      <c r="F41" s="9">
        <f>IF(COUNTIF($B$10:$B$39,"?*")=0,"",ROUND(F40/COUNTIF($B$10:$B$39,"?*")*100,1))</f>
        <v/>
      </c>
      <c r="G41" s="16" t="n"/>
      <c r="H41" s="9">
        <f>IF(COUNTIF($B$10:$B$39,"?*")=0,"",ROUND(H40/COUNTIF($B$10:$B$39,"?*")*100,1))</f>
        <v/>
      </c>
      <c r="I41" s="16" t="n"/>
      <c r="J41" s="9">
        <f>IF(COUNTIF($B$10:$B$39,"?*")=0,"",ROUND(J40/COUNTIF($B$10:$B$39,"?*")*100,1))</f>
        <v/>
      </c>
      <c r="K41" s="16" t="n"/>
      <c r="L41" s="9">
        <f>IF(COUNTIF($B$10:$B$39,"?*")=0,"",ROUND(L40/COUNTIF($B$10:$B$39,"?*")*100,1))</f>
        <v/>
      </c>
      <c r="M41" s="16" t="n"/>
      <c r="N41" s="9">
        <f>IF(COUNTIF($B$10:$B$39,"?*")=0,"",ROUND(N40/COUNTIF($B$10:$B$39,"?*")*100,1))</f>
        <v/>
      </c>
      <c r="O41" s="16" t="n"/>
      <c r="P41" s="9">
        <f>IF(COUNTIF($B$10:$B$39,"?*")=0,"",ROUND(P40/COUNTIF($B$10:$B$39,"?*")*100,1))</f>
        <v/>
      </c>
      <c r="Q41" s="16" t="n"/>
      <c r="R41" s="9">
        <f>IF(COUNTIF($B$10:$B$39,"?*")=0,"",ROUND(R40/COUNTIF($B$10:$B$39,"?*")*100,1))</f>
        <v/>
      </c>
      <c r="S41" s="16" t="n"/>
      <c r="T41" s="9">
        <f>IF(COUNTIF($B$10:$B$39,"?*")=0,"",ROUND(T40/COUNTIF($B$10:$B$39,"?*")*100,1))</f>
        <v/>
      </c>
      <c r="U41" s="16" t="n"/>
      <c r="V41" s="9">
        <f>IF(COUNTIF($B$10:$B$39,"?*")=0,"",ROUND(V40/COUNTIF($B$10:$B$39,"?*")*100,1))</f>
        <v/>
      </c>
      <c r="W41" s="16" t="n"/>
      <c r="X41" s="9">
        <f>IF(COUNTIF($B$10:$B$39,"?*")=0,"",ROUND(X40/COUNTIF($B$10:$B$39,"?*")*100,1))</f>
        <v/>
      </c>
      <c r="Y41" s="16" t="n"/>
      <c r="Z41" s="9">
        <f>IF(COUNTIF($B$10:$B$39,"?*")=0,"",ROUND(Z40/COUNTIF($B$10:$B$39,"?*")*100,1))</f>
        <v/>
      </c>
      <c r="AA41" s="16" t="n"/>
      <c r="AB41" s="9">
        <f>IF(COUNTIF($B$10:$B$39,"?*")=0,"",ROUND(AB40/COUNTIF($B$10:$B$39,"?*")*100,1))</f>
        <v/>
      </c>
      <c r="AC41" s="16" t="n"/>
      <c r="AD41" s="9">
        <f>IF(COUNTIF($B$10:$B$39,"?*")=0,"",ROUND(AD40/COUNTIF($B$10:$B$39,"?*")*100,1))</f>
        <v/>
      </c>
      <c r="AE41" s="16" t="n"/>
      <c r="AF41" s="9">
        <f>IF(COUNTIF($B$10:$B$39,"?*")=0,"",ROUND(AF40/COUNTIF($B$10:$B$39,"?*")*100,1))</f>
        <v/>
      </c>
      <c r="AG41" s="16" t="n"/>
      <c r="AH41" s="9">
        <f>IF(COUNTIF($B$10:$B$39,"?*")=0,"",ROUND(AH40/COUNTIF($B$10:$B$39,"?*")*100,1))</f>
        <v/>
      </c>
      <c r="AI41" s="16" t="n"/>
      <c r="AJ41" s="9">
        <f>IF(COUNTIF($B$10:$B$39,"?*")=0,"",ROUND(AJ40/COUNTIF($B$10:$B$39,"?*")*100,1))</f>
        <v/>
      </c>
      <c r="AK41" s="16" t="n"/>
      <c r="AL41" s="9">
        <f>IF(COUNTIF($B$10:$B$39,"?*")=0,"",ROUND(AL40/COUNTIF($B$10:$B$39,"?*")*100,1))</f>
        <v/>
      </c>
      <c r="AM41" s="16" t="n"/>
      <c r="AN41" s="9">
        <f>IF(COUNTIF($B$10:$B$39,"?*")=0,"",ROUND(AN40/COUNTIF($B$10:$B$39,"?*")*100,1))</f>
        <v/>
      </c>
      <c r="AO41" s="16" t="n"/>
      <c r="AP41" s="26" t="inlineStr">
        <is>
          <t>Ахиж байна</t>
        </is>
      </c>
      <c r="AQ41" s="27" t="n"/>
      <c r="AR41" s="27" t="n"/>
      <c r="AS41" s="28" t="n"/>
      <c r="AT41" s="9">
        <f>COUNTIF(AT10:AT39,"Ахиж байна")</f>
        <v/>
      </c>
    </row>
    <row r="42" ht="18" customHeight="1">
      <c r="A42" s="9" t="inlineStr">
        <is>
          <t>Чадахгүй</t>
        </is>
      </c>
      <c r="B42" s="16" t="n"/>
      <c r="C42" s="16" t="n"/>
      <c r="D42" s="9">
        <f>SUM(E10:E39)</f>
        <v/>
      </c>
      <c r="E42" s="16" t="n"/>
      <c r="F42" s="9">
        <f>SUM(G10:G39)</f>
        <v/>
      </c>
      <c r="G42" s="16" t="n"/>
      <c r="H42" s="9">
        <f>SUM(I10:I39)</f>
        <v/>
      </c>
      <c r="I42" s="16" t="n"/>
      <c r="J42" s="9">
        <f>SUM(K10:K39)</f>
        <v/>
      </c>
      <c r="K42" s="16" t="n"/>
      <c r="L42" s="9">
        <f>SUM(M10:M39)</f>
        <v/>
      </c>
      <c r="M42" s="16" t="n"/>
      <c r="N42" s="9">
        <f>SUM(O10:O39)</f>
        <v/>
      </c>
      <c r="O42" s="16" t="n"/>
      <c r="P42" s="9">
        <f>SUM(Q10:Q39)</f>
        <v/>
      </c>
      <c r="Q42" s="16" t="n"/>
      <c r="R42" s="9">
        <f>SUM(S10:S39)</f>
        <v/>
      </c>
      <c r="S42" s="16" t="n"/>
      <c r="T42" s="9">
        <f>SUM(U10:U39)</f>
        <v/>
      </c>
      <c r="U42" s="16" t="n"/>
      <c r="V42" s="9">
        <f>SUM(W10:W39)</f>
        <v/>
      </c>
      <c r="W42" s="16" t="n"/>
      <c r="X42" s="9">
        <f>SUM(Y10:Y39)</f>
        <v/>
      </c>
      <c r="Y42" s="16" t="n"/>
      <c r="Z42" s="9">
        <f>SUM(AA10:AA39)</f>
        <v/>
      </c>
      <c r="AA42" s="16" t="n"/>
      <c r="AB42" s="9">
        <f>SUM(AC10:AC39)</f>
        <v/>
      </c>
      <c r="AC42" s="16" t="n"/>
      <c r="AD42" s="9">
        <f>SUM(AE10:AE39)</f>
        <v/>
      </c>
      <c r="AE42" s="16" t="n"/>
      <c r="AF42" s="9">
        <f>SUM(AG10:AG39)</f>
        <v/>
      </c>
      <c r="AG42" s="16" t="n"/>
      <c r="AH42" s="9">
        <f>SUM(AI10:AI39)</f>
        <v/>
      </c>
      <c r="AI42" s="16" t="n"/>
      <c r="AJ42" s="9">
        <f>SUM(AK10:AK39)</f>
        <v/>
      </c>
      <c r="AK42" s="16" t="n"/>
      <c r="AL42" s="9">
        <f>SUM(AM10:AM39)</f>
        <v/>
      </c>
      <c r="AM42" s="16" t="n"/>
      <c r="AN42" s="9">
        <f>SUM(AO10:AO39)</f>
        <v/>
      </c>
      <c r="AO42" s="16" t="n"/>
      <c r="AP42" s="26" t="inlineStr">
        <is>
          <t>Хөгжиж байна</t>
        </is>
      </c>
      <c r="AQ42" s="27" t="n"/>
      <c r="AR42" s="27" t="n"/>
      <c r="AS42" s="28" t="n"/>
      <c r="AT42" s="9">
        <f>COUNTIF(AT10:AT39,"Хөгжиж байна")</f>
        <v/>
      </c>
    </row>
    <row r="43" ht="18" customHeight="1">
      <c r="A43" s="9" t="inlineStr">
        <is>
          <t>Хувь</t>
        </is>
      </c>
      <c r="B43" s="16" t="n"/>
      <c r="C43" s="16" t="n"/>
      <c r="D43" s="9">
        <f>IF(COUNTIF($B$10:$B$39,"?*")=0,"",ROUND(D42/COUNTIF($B$10:$B$39,"?*")*100,1))</f>
        <v/>
      </c>
      <c r="E43" s="16" t="n"/>
      <c r="F43" s="9">
        <f>IF(COUNTIF($B$10:$B$39,"?*")=0,"",ROUND(F42/COUNTIF($B$10:$B$39,"?*")*100,1))</f>
        <v/>
      </c>
      <c r="G43" s="16" t="n"/>
      <c r="H43" s="9">
        <f>IF(COUNTIF($B$10:$B$39,"?*")=0,"",ROUND(H42/COUNTIF($B$10:$B$39,"?*")*100,1))</f>
        <v/>
      </c>
      <c r="I43" s="16" t="n"/>
      <c r="J43" s="9">
        <f>IF(COUNTIF($B$10:$B$39,"?*")=0,"",ROUND(J42/COUNTIF($B$10:$B$39,"?*")*100,1))</f>
        <v/>
      </c>
      <c r="K43" s="16" t="n"/>
      <c r="L43" s="9">
        <f>IF(COUNTIF($B$10:$B$39,"?*")=0,"",ROUND(L42/COUNTIF($B$10:$B$39,"?*")*100,1))</f>
        <v/>
      </c>
      <c r="M43" s="16" t="n"/>
      <c r="N43" s="9">
        <f>IF(COUNTIF($B$10:$B$39,"?*")=0,"",ROUND(N42/COUNTIF($B$10:$B$39,"?*")*100,1))</f>
        <v/>
      </c>
      <c r="O43" s="16" t="n"/>
      <c r="P43" s="9">
        <f>IF(COUNTIF($B$10:$B$39,"?*")=0,"",ROUND(P42/COUNTIF($B$10:$B$39,"?*")*100,1))</f>
        <v/>
      </c>
      <c r="Q43" s="16" t="n"/>
      <c r="R43" s="9">
        <f>IF(COUNTIF($B$10:$B$39,"?*")=0,"",ROUND(R42/COUNTIF($B$10:$B$39,"?*")*100,1))</f>
        <v/>
      </c>
      <c r="S43" s="16" t="n"/>
      <c r="T43" s="9">
        <f>IF(COUNTIF($B$10:$B$39,"?*")=0,"",ROUND(T42/COUNTIF($B$10:$B$39,"?*")*100,1))</f>
        <v/>
      </c>
      <c r="U43" s="16" t="n"/>
      <c r="V43" s="9">
        <f>IF(COUNTIF($B$10:$B$39,"?*")=0,"",ROUND(V42/COUNTIF($B$10:$B$39,"?*")*100,1))</f>
        <v/>
      </c>
      <c r="W43" s="16" t="n"/>
      <c r="X43" s="9">
        <f>IF(COUNTIF($B$10:$B$39,"?*")=0,"",ROUND(X42/COUNTIF($B$10:$B$39,"?*")*100,1))</f>
        <v/>
      </c>
      <c r="Y43" s="16" t="n"/>
      <c r="Z43" s="9">
        <f>IF(COUNTIF($B$10:$B$39,"?*")=0,"",ROUND(Z42/COUNTIF($B$10:$B$39,"?*")*100,1))</f>
        <v/>
      </c>
      <c r="AA43" s="16" t="n"/>
      <c r="AB43" s="9">
        <f>IF(COUNTIF($B$10:$B$39,"?*")=0,"",ROUND(AB42/COUNTIF($B$10:$B$39,"?*")*100,1))</f>
        <v/>
      </c>
      <c r="AC43" s="16" t="n"/>
      <c r="AD43" s="9">
        <f>IF(COUNTIF($B$10:$B$39,"?*")=0,"",ROUND(AD42/COUNTIF($B$10:$B$39,"?*")*100,1))</f>
        <v/>
      </c>
      <c r="AE43" s="16" t="n"/>
      <c r="AF43" s="9">
        <f>IF(COUNTIF($B$10:$B$39,"?*")=0,"",ROUND(AF42/COUNTIF($B$10:$B$39,"?*")*100,1))</f>
        <v/>
      </c>
      <c r="AG43" s="16" t="n"/>
      <c r="AH43" s="9">
        <f>IF(COUNTIF($B$10:$B$39,"?*")=0,"",ROUND(AH42/COUNTIF($B$10:$B$39,"?*")*100,1))</f>
        <v/>
      </c>
      <c r="AI43" s="16" t="n"/>
      <c r="AJ43" s="9">
        <f>IF(COUNTIF($B$10:$B$39,"?*")=0,"",ROUND(AJ42/COUNTIF($B$10:$B$39,"?*")*100,1))</f>
        <v/>
      </c>
      <c r="AK43" s="16" t="n"/>
      <c r="AL43" s="9">
        <f>IF(COUNTIF($B$10:$B$39,"?*")=0,"",ROUND(AL42/COUNTIF($B$10:$B$39,"?*")*100,1))</f>
        <v/>
      </c>
      <c r="AM43" s="16" t="n"/>
      <c r="AN43" s="9">
        <f>IF(COUNTIF($B$10:$B$39,"?*")=0,"",ROUND(AN42/COUNTIF($B$10:$B$39,"?*")*100,1))</f>
        <v/>
      </c>
      <c r="AO43" s="16" t="n"/>
      <c r="AP43" s="16" t="n"/>
      <c r="AQ43" s="16" t="n"/>
      <c r="AR43" s="16" t="n"/>
      <c r="AS43" s="16" t="n"/>
      <c r="AT43" s="16" t="n"/>
    </row>
  </sheetData>
  <mergeCells count="218">
    <mergeCell ref="AJ43:AK43"/>
    <mergeCell ref="V42:W42"/>
    <mergeCell ref="AB5:AC5"/>
    <mergeCell ref="B22:C22"/>
    <mergeCell ref="AD5:AE5"/>
    <mergeCell ref="B31:C31"/>
    <mergeCell ref="AJ42:AK42"/>
    <mergeCell ref="AN5:AO5"/>
    <mergeCell ref="B12:C12"/>
    <mergeCell ref="T42:U42"/>
    <mergeCell ref="D6:E6"/>
    <mergeCell ref="B21:C21"/>
    <mergeCell ref="P6:Q6"/>
    <mergeCell ref="R6:S6"/>
    <mergeCell ref="B14:C14"/>
    <mergeCell ref="L5:M5"/>
    <mergeCell ref="N5:O5"/>
    <mergeCell ref="A43:C43"/>
    <mergeCell ref="AD40:AE40"/>
    <mergeCell ref="B13:C13"/>
    <mergeCell ref="J4:K4"/>
    <mergeCell ref="V6:W6"/>
    <mergeCell ref="B38:C38"/>
    <mergeCell ref="D7:E7"/>
    <mergeCell ref="L4:M4"/>
    <mergeCell ref="X6:Y6"/>
    <mergeCell ref="X42:Y42"/>
    <mergeCell ref="AH6:AI6"/>
    <mergeCell ref="AJ6:AK6"/>
    <mergeCell ref="D4:E4"/>
    <mergeCell ref="R41:S41"/>
    <mergeCell ref="AT3:AT9"/>
    <mergeCell ref="T41:U41"/>
    <mergeCell ref="A1:AT1"/>
    <mergeCell ref="L40:M40"/>
    <mergeCell ref="N40:O40"/>
    <mergeCell ref="F43:G43"/>
    <mergeCell ref="AB7:AC7"/>
    <mergeCell ref="AJ4:AK4"/>
    <mergeCell ref="B24:C24"/>
    <mergeCell ref="T7:U7"/>
    <mergeCell ref="AD7:AE7"/>
    <mergeCell ref="AL4:AM4"/>
    <mergeCell ref="B33:C33"/>
    <mergeCell ref="AF40:AG40"/>
    <mergeCell ref="P43:Q43"/>
    <mergeCell ref="AN7:AO7"/>
    <mergeCell ref="R43:S43"/>
    <mergeCell ref="T43:U43"/>
    <mergeCell ref="AP40:AS40"/>
    <mergeCell ref="B32:C32"/>
    <mergeCell ref="AH41:AI41"/>
    <mergeCell ref="B26:C26"/>
    <mergeCell ref="B35:C35"/>
    <mergeCell ref="R8:S8"/>
    <mergeCell ref="AN40:AO40"/>
    <mergeCell ref="V43:W43"/>
    <mergeCell ref="AF43:AG43"/>
    <mergeCell ref="X43:Y43"/>
    <mergeCell ref="B16:C16"/>
    <mergeCell ref="L7:M7"/>
    <mergeCell ref="AD8:AE8"/>
    <mergeCell ref="B25:C25"/>
    <mergeCell ref="N7:O7"/>
    <mergeCell ref="X40:Y40"/>
    <mergeCell ref="A3:A9"/>
    <mergeCell ref="AJ40:AK40"/>
    <mergeCell ref="F6:G6"/>
    <mergeCell ref="H41:I41"/>
    <mergeCell ref="V8:W8"/>
    <mergeCell ref="Z41:AA41"/>
    <mergeCell ref="X8:Y8"/>
    <mergeCell ref="B18:C18"/>
    <mergeCell ref="B27:C27"/>
    <mergeCell ref="AB41:AC41"/>
    <mergeCell ref="AP41:AS41"/>
    <mergeCell ref="AH8:AI8"/>
    <mergeCell ref="AJ8:AK8"/>
    <mergeCell ref="B11:C11"/>
    <mergeCell ref="Z43:AA43"/>
    <mergeCell ref="F5:G5"/>
    <mergeCell ref="L42:M42"/>
    <mergeCell ref="N42:O42"/>
    <mergeCell ref="AF6:AG6"/>
    <mergeCell ref="F42:G42"/>
    <mergeCell ref="AP42:AS42"/>
    <mergeCell ref="B29:C29"/>
    <mergeCell ref="R42:S42"/>
    <mergeCell ref="B37:C37"/>
    <mergeCell ref="X5:Y5"/>
    <mergeCell ref="A40:C40"/>
    <mergeCell ref="AP3:AP9"/>
    <mergeCell ref="Z5:AA5"/>
    <mergeCell ref="AF42:AG42"/>
    <mergeCell ref="AR3:AR9"/>
    <mergeCell ref="AJ5:AK5"/>
    <mergeCell ref="AL5:AM5"/>
    <mergeCell ref="X4:Y4"/>
    <mergeCell ref="Z4:AA4"/>
    <mergeCell ref="B15:C15"/>
    <mergeCell ref="L6:M6"/>
    <mergeCell ref="N6:O6"/>
    <mergeCell ref="H5:I5"/>
    <mergeCell ref="AD4:AE4"/>
    <mergeCell ref="Z40:AA40"/>
    <mergeCell ref="N4:O4"/>
    <mergeCell ref="F4:G4"/>
    <mergeCell ref="P4:Q4"/>
    <mergeCell ref="AL40:AM40"/>
    <mergeCell ref="AN6:AO6"/>
    <mergeCell ref="H43:I43"/>
    <mergeCell ref="N41:O41"/>
    <mergeCell ref="P41:Q41"/>
    <mergeCell ref="H40:I40"/>
    <mergeCell ref="F7:G7"/>
    <mergeCell ref="J40:K40"/>
    <mergeCell ref="X7:Y7"/>
    <mergeCell ref="AF4:AG4"/>
    <mergeCell ref="AB40:AC40"/>
    <mergeCell ref="Z7:AA7"/>
    <mergeCell ref="AH4:AI4"/>
    <mergeCell ref="A42:C42"/>
    <mergeCell ref="R7:S7"/>
    <mergeCell ref="L43:M43"/>
    <mergeCell ref="N43:O43"/>
    <mergeCell ref="AJ7:AK7"/>
    <mergeCell ref="AL7:AM7"/>
    <mergeCell ref="AH43:AI43"/>
    <mergeCell ref="AL41:AM41"/>
    <mergeCell ref="AN41:AO41"/>
    <mergeCell ref="AS3:AS9"/>
    <mergeCell ref="B17:C17"/>
    <mergeCell ref="L8:M8"/>
    <mergeCell ref="N8:O8"/>
    <mergeCell ref="F8:G8"/>
    <mergeCell ref="Z8:AA8"/>
    <mergeCell ref="T40:U40"/>
    <mergeCell ref="AN43:AO43"/>
    <mergeCell ref="B19:C19"/>
    <mergeCell ref="B34:C34"/>
    <mergeCell ref="Z42:AA42"/>
    <mergeCell ref="B28:C28"/>
    <mergeCell ref="AF5:AG5"/>
    <mergeCell ref="AL42:AM42"/>
    <mergeCell ref="T8:U8"/>
    <mergeCell ref="AN42:AO42"/>
    <mergeCell ref="AL43:AM43"/>
    <mergeCell ref="AF8:AG8"/>
    <mergeCell ref="B30:C30"/>
    <mergeCell ref="T6:U6"/>
    <mergeCell ref="B20:C20"/>
    <mergeCell ref="D5:E5"/>
    <mergeCell ref="H42:I42"/>
    <mergeCell ref="J42:K42"/>
    <mergeCell ref="P5:Q5"/>
    <mergeCell ref="R5:S5"/>
    <mergeCell ref="A41:C41"/>
    <mergeCell ref="Z6:AA6"/>
    <mergeCell ref="J5:K5"/>
    <mergeCell ref="AB6:AC6"/>
    <mergeCell ref="T5:U5"/>
    <mergeCell ref="AL6:AM6"/>
    <mergeCell ref="V5:W5"/>
    <mergeCell ref="A2:AT2"/>
    <mergeCell ref="H4:I4"/>
    <mergeCell ref="D40:E40"/>
    <mergeCell ref="F40:G40"/>
    <mergeCell ref="AH5:AI5"/>
    <mergeCell ref="R4:S4"/>
    <mergeCell ref="AB4:AC4"/>
    <mergeCell ref="T4:U4"/>
    <mergeCell ref="B39:C39"/>
    <mergeCell ref="P40:Q40"/>
    <mergeCell ref="V4:W4"/>
    <mergeCell ref="R40:S40"/>
    <mergeCell ref="AH42:AI42"/>
    <mergeCell ref="AN4:AO4"/>
    <mergeCell ref="H6:I6"/>
    <mergeCell ref="J6:K6"/>
    <mergeCell ref="B3:C9"/>
    <mergeCell ref="P8:Q8"/>
    <mergeCell ref="AD6:AE6"/>
    <mergeCell ref="B23:C23"/>
    <mergeCell ref="D41:E41"/>
    <mergeCell ref="V40:W40"/>
    <mergeCell ref="F41:G41"/>
    <mergeCell ref="AH40:AI40"/>
    <mergeCell ref="AB43:AC43"/>
    <mergeCell ref="P7:Q7"/>
    <mergeCell ref="H7:I7"/>
    <mergeCell ref="D43:E43"/>
    <mergeCell ref="J7:K7"/>
    <mergeCell ref="B10:C10"/>
    <mergeCell ref="J41:K41"/>
    <mergeCell ref="L41:M41"/>
    <mergeCell ref="AD41:AE41"/>
    <mergeCell ref="AB8:AC8"/>
    <mergeCell ref="V41:W41"/>
    <mergeCell ref="AF41:AG41"/>
    <mergeCell ref="X41:Y41"/>
    <mergeCell ref="D8:E8"/>
    <mergeCell ref="AL8:AM8"/>
    <mergeCell ref="V7:W7"/>
    <mergeCell ref="AN8:AO8"/>
    <mergeCell ref="J43:K43"/>
    <mergeCell ref="D42:E42"/>
    <mergeCell ref="AF7:AG7"/>
    <mergeCell ref="AH7:AI7"/>
    <mergeCell ref="AD43:AE43"/>
    <mergeCell ref="P42:Q42"/>
    <mergeCell ref="AJ41:AK41"/>
    <mergeCell ref="B36:C36"/>
    <mergeCell ref="D3:AO3"/>
    <mergeCell ref="AQ3:AQ9"/>
    <mergeCell ref="H8:I8"/>
    <mergeCell ref="AB42:AC42"/>
    <mergeCell ref="J8:K8"/>
    <mergeCell ref="AD42:AE42"/>
  </mergeCells>
  <dataValidations count="1">
    <dataValidation sqref="D10 D11 D12 D13 D14 D15 D16 D17 D18 D19 D20 D21 D22 D23 D24 D25 D26 D27 D28 D29 D30 D31 D32 D33 D34 D35 D36 D37 D38 D39 E10 E11 E12 E13 E14 E15 E16 E17 E18 E19 E20 E21 E22 E23 E24 E25 E26 E27 E28 E29 E30 E31 E32 E33 E34 E35 E36 E37 E38 E39 F10 F11 F12 F13 F14 F15 F16 F17 F18 F19 F20 F21 F22 F23 F24 F25 F26 F27 F28 F29 F30 F31 F32 F33 F34 F35 F36 F37 F38 F39 G10 G11 G12 G13 G14 G15 G16 G17 G18 G19 G20 G21 G22 G23 G24 G25 G26 G27 G28 G29 G30 G31 G32 G33 G34 G35 G36 G37 G38 G39 H10 H11 H12 H13 H14 H15 H16 H17 H18 H19 H20 H21 H22 H23 H24 H25 H26 H27 H28 H29 H30 H31 H32 H33 H34 H35 H36 H37 H38 H39 I10 I11 I12 I13 I14 I15 I16 I17 I18 I19 I20 I21 I22 I23 I24 I25 I26 I27 I28 I29 I30 I31 I32 I33 I34 I35 I36 I37 I38 I39 J10 J11 J12 J13 J14 J15 J16 J17 J18 J19 J20 J21 J22 J23 J24 J25 J26 J27 J28 J29 J30 J31 J32 J33 J34 J35 J36 J37 J38 J39 K10 K11 K12 K13 K14 K15 K16 K17 K18 K19 K20 K21 K22 K23 K24 K25 K26 K27 K28 K29 K30 K31 K32 K33 K34 K35 K36 K37 K38 K39 L10 L11 L12 L13 L14 L15 L16 L17 L18 L19 L20 L21 L22 L23 L24 L25 L26 L27 L28 L29 L30 L31 L32 L33 L34 L35 L36 L37 L38 L39 M10 M11 M12 M13 M14 M15 M16 M17 M18 M19 M20 M21 M22 M23 M24 M25 M26 M27 M28 M29 M30 M31 M32 M33 M34 M35 M36 M37 M38 M39 N10 N11 N12 N13 N14 N15 N16 N17 N18 N19 N20 N21 N22 N23 N24 N25 N26 N27 N28 N29 N30 N31 N32 N33 N34 N35 N36 N37 N38 N39 O10 O11 O12 O13 O14 O15 O16 O17 O18 O19 O20 O21 O22 O23 O24 O25 O26 O27 O28 O29 O30 O31 O32 O33 O34 O35 O36 O37 O38 O39 P10 P11 P12 P13 P14 P15 P16 P17 P18 P19 P20 P21 P22 P23 P24 P25 P26 P27 P28 P29 P30 P31 P32 P33 P34 P35 P36 P37 P38 P39 Q10 Q11 Q12 Q13 Q14 Q15 Q16 Q17 Q18 Q19 Q20 Q21 Q22 Q23 Q24 Q25 Q26 Q27 Q28 Q29 Q30 Q31 Q32 Q33 Q34 Q35 Q36 Q37 Q38 Q39 R10 R11 R12 R13 R14 R15 R16 R17 R18 R19 R20 R21 R22 R23 R24 R25 R26 R27 R28 R29 R30 R31 R32 R33 R34 R35 R36 R37 R38 R39 S10 S11 S12 S13 S14 S15 S16 S17 S18 S19 S20 S21 S22 S23 S24 S25 S26 S27 S28 S29 S30 S31 S32 S33 S34 S35 S36 S37 S38 S39 T10 T11 T12 T13 T14 T15 T16 T17 T18 T19 T20 T21 T22 T23 T24 T25 T26 T27 T28 T29 T30 T31 T32 T33 T34 T35 T36 T37 T38 T39 U10 U11 U12 U13 U14 U15 U16 U17 U18 U19 U20 U21 U22 U23 U24 U25 U26 U27 U28 U29 U30 U31 U32 U33 U34 U35 U36 U37 U38 U39 V10 V11 V12 V13 V14 V15 V16 V17 V18 V19 V20 V21 V22 V23 V24 V25 V26 V27 V28 V29 V30 V31 V32 V33 V34 V35 V36 V37 V38 V39 W10 W11 W12 W13 W14 W15 W16 W17 W18 W19 W20 W21 W22 W23 W24 W25 W26 W27 W28 W29 W30 W31 W32 W33 W34 W35 W36 W37 W38 W39 X10 X11 X12 X13 X14 X15 X16 X17 X18 X19 X20 X21 X22 X23 X24 X25 X26 X27 X28 X29 X30 X31 X32 X33 X34 X35 X36 X37 X38 X39 Y10 Y11 Y12 Y13 Y14 Y15 Y16 Y17 Y18 Y19 Y20 Y21 Y22 Y23 Y24 Y25 Y26 Y27 Y28 Y29 Y30 Y31 Y32 Y33 Y34 Y35 Y36 Y37 Y38 Y39 Z10 Z11 Z12 Z13 Z14 Z15 Z16 Z17 Z18 Z19 Z20 Z21 Z22 Z23 Z24 Z25 Z26 Z27 Z28 Z29 Z30 Z31 Z32 Z33 Z34 Z35 Z36 Z37 Z38 Z39 AA10 AA11 AA12 AA13 AA14 AA15 AA16 AA17 AA18 AA19 AA20 AA21 AA22 AA23 AA24 AA25 AA26 AA27 AA28 AA29 AA30 AA31 AA32 AA33 AA34 AA35 AA36 AA37 AA38 AA39 AB10 AB11 AB12 AB13 AB14 AB15 AB16 AB17 AB18 AB19 AB20 AB21 AB22 AB23 AB24 AB25 AB26 AB27 AB28 AB29 AB30 AB31 AB32 AB33 AB34 AB35 AB36 AB37 AB38 AB39 AC10 AC11 AC12 AC13 AC14 AC15 AC16 AC17 AC18 AC19 AC20 AC21 AC22 AC23 AC24 AC25 AC26 AC27 AC28 AC29 AC30 AC31 AC32 AC33 AC34 AC35 AC36 AC37 AC38 AC39 AD10 AD11 AD12 AD13 AD14 AD15 AD16 AD17 AD18 AD19 AD20 AD21 AD22 AD23 AD24 AD25 AD26 AD27 AD28 AD29 AD30 AD31 AD32 AD33 AD34 AD35 AD36 AD37 AD38 AD39 AE10 AE11 AE12 AE13 AE14 AE15 AE16 AE17 AE18 AE19 AE20 AE21 AE22 AE23 AE24 AE25 AE26 AE27 AE28 AE29 AE30 AE31 AE32 AE33 AE34 AE35 AE36 AE37 AE38 AE39 AF10 AF11 AF12 AF13 AF14 AF15 AF16 AF17 AF18 AF19 AF20 AF21 AF22 AF23 AF24 AF25 AF26 AF27 AF28 AF29 AF30 AF31 AF32 AF33 AF34 AF35 AF36 AF37 AF38 AF39 AG10 AG11 AG12 AG13 AG14 AG15 AG16 AG17 AG18 AG19 AG20 AG21 AG22 AG23 AG24 AG25 AG26 AG27 AG28 AG29 AG30 AG31 AG32 AG33 AG34 AG35 AG36 AG37 AG38 AG39 AH10 AH11 AH12 AH13 AH14 AH15 AH16 AH17 AH18 AH19 AH20 AH21 AH22 AH23 AH24 AH25 AH26 AH27 AH28 AH29 AH30 AH31 AH32 AH33 AH34 AH35 AH36 AH37 AH38 AH39 AI10 AI11 AI12 AI13 AI14 AI15 AI16 AI17 AI18 AI19 AI20 AI21 AI22 AI23 AI24 AI25 AI26 AI27 AI28 AI29 AI30 AI31 AI32 AI33 AI34 AI35 AI36 AI37 AI38 AI39 AJ10 AJ11 AJ12 AJ13 AJ14 AJ15 AJ16 AJ17 AJ18 AJ19 AJ20 AJ21 AJ22 AJ23 AJ24 AJ25 AJ26 AJ27 AJ28 AJ29 AJ30 AJ31 AJ32 AJ33 AJ34 AJ35 AJ36 AJ37 AJ38 AJ39 AK10 AK11 AK12 AK13 AK14 AK15 AK16 AK17 AK18 AK19 AK20 AK21 AK22 AK23 AK24 AK25 AK26 AK27 AK28 AK29 AK30 AK31 AK32 AK33 AK34 AK35 AK36 AK37 AK38 AK39 AL10 AL11 AL12 AL13 AL14 AL15 AL16 AL17 AL18 AL19 AL20 AL21 AL22 AL23 AL24 AL25 AL26 AL27 AL28 AL29 AL30 AL31 AL32 AL33 AL34 AL35 AL36 AL37 AL38 AL39 AM10 AM11 AM12 AM13 AM14 AM15 AM16 AM17 AM18 AM19 AM20 AM21 AM22 AM23 AM24 AM25 AM26 AM27 AM28 AM29 AM30 AM31 AM32 AM33 AM34 AM35 AM36 AM37 AM38 AM39 AN10 AN11 AN12 AN13 AN14 AN15 AN16 AN17 AN18 AN19 AN20 AN21 AN22 AN23 AN24 AN25 AN26 AN27 AN28 AN29 AN30 AN31 AN32 AN33 AN34 AN35 AN36 AN37 AN38 AN39 AO10 AO11 AO12 AO13 AO14 AO15 AO16 AO17 AO18 AO19 AO20 AO21 AO22 AO23 AO24 AO25 AO26 AO27 AO28 AO29 AO30 AO31 AO32 AO33 AO34 AO35 AO36 AO37 AO38 AO39" showDropDown="0" showInputMessage="0" showErrorMessage="1" allowBlank="1" errorTitle="Зөвхөн 1" error="Чадна эсвэл Чадахгүй нүдэнд 1 гэж бичнэ." type="whole" operator="equal">
      <formula1>1</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5.xml><?xml version="1.0" encoding="utf-8"?>
<worksheet xmlns="http://schemas.openxmlformats.org/spreadsheetml/2006/main">
  <sheetPr>
    <outlinePr summaryBelow="1" summaryRight="1"/>
    <pageSetUpPr fitToPage="1"/>
  </sheetPr>
  <dimension ref="A1:Z43"/>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2"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7" customWidth="1" min="22" max="22"/>
    <col width="7" customWidth="1" min="23" max="23"/>
    <col width="8" customWidth="1" min="24" max="24"/>
    <col width="7" customWidth="1" min="25" max="25"/>
    <col width="14" customWidth="1" min="26" max="26"/>
  </cols>
  <sheetData>
    <row r="1">
      <c r="A1" s="1" t="inlineStr">
        <is>
          <t>................ ЦЭЦЭРЛЭГИЙН БАГА БҮЛГИЙН (2 НАС) ГАРААНЫ (ОНОШЛОХ) ҮНЭЛГЭЭ</t>
        </is>
      </c>
    </row>
    <row r="2">
      <c r="A2" s="6" t="inlineStr">
        <is>
          <t>Хөгжлийн чиглэл: Нийгэмшил          Огноо: 20.... оны .... сар          Багш: ................................          (А/79 журам, I түвшний шалгуур)</t>
        </is>
      </c>
    </row>
    <row r="3">
      <c r="A3" s="7" t="inlineStr">
        <is>
          <t>№</t>
        </is>
      </c>
      <c r="B3" s="7" t="inlineStr">
        <is>
          <t>Хүүхдийн нэр</t>
        </is>
      </c>
      <c r="C3" s="8" t="n"/>
      <c r="D3" s="7" t="inlineStr">
        <is>
          <t>Хөгжлийн чиглэл: Нийгэмшил</t>
        </is>
      </c>
      <c r="E3" s="8" t="n"/>
      <c r="F3" s="8" t="n"/>
      <c r="G3" s="8" t="n"/>
      <c r="H3" s="8" t="n"/>
      <c r="I3" s="8" t="n"/>
      <c r="J3" s="8" t="n"/>
      <c r="K3" s="8" t="n"/>
      <c r="L3" s="8" t="n"/>
      <c r="M3" s="8" t="n"/>
      <c r="N3" s="8" t="n"/>
      <c r="O3" s="8" t="n"/>
      <c r="P3" s="8" t="n"/>
      <c r="Q3" s="8" t="n"/>
      <c r="R3" s="8" t="n"/>
      <c r="S3" s="8" t="n"/>
      <c r="T3" s="8" t="n"/>
      <c r="U3" s="8" t="n"/>
      <c r="V3" s="9" t="inlineStr">
        <is>
          <t>Чадна</t>
        </is>
      </c>
      <c r="W3" s="9" t="inlineStr">
        <is>
          <t>Хувь</t>
        </is>
      </c>
      <c r="X3" s="9" t="inlineStr">
        <is>
          <t>Чадахгүй</t>
        </is>
      </c>
      <c r="Y3" s="9" t="inlineStr">
        <is>
          <t>Хувь</t>
        </is>
      </c>
      <c r="Z3" s="9" t="inlineStr">
        <is>
          <t>Түвшин</t>
        </is>
      </c>
    </row>
    <row r="4" ht="104" customHeight="1">
      <c r="A4" s="8" t="n"/>
      <c r="B4" s="8" t="n"/>
      <c r="C4" s="8" t="n"/>
      <c r="D4" s="10" t="inlineStr">
        <is>
          <t>[Мэдлэг · 10.5: Танин мэдэхүй] 7. Үндэсний хувцас (дээл, гутал, малгай)-ыг нэрлэдэг.</t>
        </is>
      </c>
      <c r="E4" s="19" t="n"/>
      <c r="F4" s="10" t="inlineStr">
        <is>
          <t>[Мэдлэг · 10.5: Танин мэдэхүй] 10. Болно, болохгүйг ойлгодог.</t>
        </is>
      </c>
      <c r="G4" s="19" t="n"/>
      <c r="H4" s="10" t="inlineStr">
        <is>
          <t>[Мэдлэг · 10.5: Хэл яриа] 11. Бусдын нүүрний хувирал, гарын дохио, дуу авиа, үгээр илэрхийлсэн харилцааг ойлгодог.</t>
        </is>
      </c>
      <c r="I4" s="19" t="n"/>
      <c r="J4" s="10" t="inlineStr">
        <is>
          <t>[Чадвар · 10.5: Танин мэдэхүй] 27. Бусдын үйлийг ажиглаж дуурайдаг.</t>
        </is>
      </c>
      <c r="K4" s="19" t="n"/>
      <c r="L4" s="10" t="inlineStr">
        <is>
          <t>[Чадвар · 10.5: Хэл яриа] 31. Өөрийн хэрэгцээ, биеийн зарим мэдрэмжээ нүүрний хувирал, биеийн хөдөлгөөн, үгээр илэрхийлдэг.</t>
        </is>
      </c>
      <c r="M4" s="19" t="n"/>
      <c r="N4" s="10" t="inlineStr">
        <is>
          <t>[Төлөвшил · 10.5: Танин мэдэхүй] 34. Бусдын бүтээлийг ажиглаж сонирхдог.</t>
        </is>
      </c>
      <c r="O4" s="19" t="n"/>
      <c r="P4" s="10" t="inlineStr">
        <is>
          <t>[Төлөвшил · 10.5: Эрүүл мэнд] 35. Хогийг хогийн саванд хийдэг.</t>
        </is>
      </c>
      <c r="Q4" s="19" t="n"/>
      <c r="R4" s="10" t="inlineStr">
        <is>
          <t>[Төлөвшил · 10.5: Эрүүл мэнд] 36. Өөр хэн нэгэн аргадах (уурлаж тавгүйтсэн, уйлсан үед)-д тайвширдаг.</t>
        </is>
      </c>
      <c r="S4" s="19" t="n"/>
      <c r="T4" s="10" t="inlineStr">
        <is>
          <t>[Төлөвшил · 10.5: Эрүүл мэнд] 37. Хэрэглэсэн эд зүйл, тоглоомоо хураадаг.</t>
        </is>
      </c>
      <c r="U4" s="19" t="n"/>
      <c r="V4" s="8" t="n"/>
      <c r="W4" s="8" t="n"/>
      <c r="X4" s="8" t="n"/>
      <c r="Y4" s="8" t="n"/>
      <c r="Z4" s="8" t="n"/>
    </row>
    <row r="5" ht="129" customHeight="1">
      <c r="A5" s="8" t="n"/>
      <c r="B5" s="8" t="n"/>
      <c r="C5" s="8" t="n"/>
      <c r="D5" s="20" t="inlineStr">
        <is>
          <t>СҮД: БНО1.2д. Үндэсний хувцас (малгай, дээл, гутал)-ыг таньж нэрлэнэ.</t>
        </is>
      </c>
      <c r="E5" s="21" t="n"/>
      <c r="F5" s="20" t="inlineStr">
        <is>
          <t>СҮД: НСХ1.2в. Насанд хүрэгчийн тусламжтай зарим зан үйлүүдийг таньдаг болно.</t>
        </is>
      </c>
      <c r="G5" s="21" t="n"/>
      <c r="H5" s="20" t="inlineStr">
        <is>
          <t>СҮД: НСХ1.2а. Бусдын биеийн зарим мэдрэмжийг ойлгодог болно.</t>
        </is>
      </c>
      <c r="I5" s="21" t="n"/>
      <c r="J5" s="20" t="inlineStr">
        <is>
          <t>СҮД: НСХ1.3б. Бусад хүмүүс ижил зүйл хийж байгааг ажиглаж мэддэг болно.</t>
        </is>
      </c>
      <c r="K5" s="21" t="n"/>
      <c r="L5" s="20" t="inlineStr">
        <is>
          <t>СҮД: НСХ1.1а. Биеийн зарим мэдрэмжээ нүүр, гар, биеийн хөдөлгөөн, дуу авиа, үгээр илэрхийлдэг болно.
НСХ1.1б. Өөрийн хэрэгцээг нүүр, гар, биеийн хөдөлгөөн, дуу авиа, үгээр илэрхийлдэг болно.</t>
        </is>
      </c>
      <c r="M5" s="21" t="n"/>
      <c r="N5" s="20" t="inlineStr">
        <is>
          <t>СҮД: ЗУ1.1а. Уран зургийн бүтээлийг ажиглаж хүн, амьтныг ялгаж танина.</t>
        </is>
      </c>
      <c r="O5" s="21" t="n"/>
      <c r="P5" s="20" t="inlineStr">
        <is>
          <t>СҮД: БНО1.2г. Өөрийн хэрэглэсэн эд зүйлс, тоглоомоо байранд нь хурааж, зориулалтын саванд хог хаяхыг оролдоно.</t>
        </is>
      </c>
      <c r="Q5" s="21" t="n"/>
      <c r="R5" s="20" t="inlineStr">
        <is>
          <t>СҮД: НСХ1.1в. Уурлаж тавгүйтсэн үедээ насанд хүрэгчээр аргадуулж тайвширдаг болно.</t>
        </is>
      </c>
      <c r="S5" s="21" t="n"/>
      <c r="T5" s="20" t="inlineStr">
        <is>
          <t>СҮД: НСХ1.3а. Насанд хүрэгчийн тусламжтайгаар байнга хэрэглэдэг эд юмсыг байранд нь хураадаг болно.</t>
        </is>
      </c>
      <c r="U5" s="21" t="n"/>
      <c r="V5" s="8" t="n"/>
      <c r="W5" s="8" t="n"/>
      <c r="X5" s="8" t="n"/>
      <c r="Y5" s="8" t="n"/>
      <c r="Z5" s="8" t="n"/>
    </row>
    <row r="6" ht="14" customHeight="1">
      <c r="A6" s="8" t="n"/>
      <c r="B6" s="8" t="n"/>
      <c r="C6" s="8" t="n"/>
      <c r="D6" s="22" t="inlineStr">
        <is>
          <t>Хүүхдийн хийх үйл:</t>
        </is>
      </c>
      <c r="E6" s="23" t="n"/>
      <c r="F6" s="22" t="inlineStr">
        <is>
          <t>Хүүхдийн хийх үйл:</t>
        </is>
      </c>
      <c r="G6" s="23" t="n"/>
      <c r="H6" s="22" t="inlineStr">
        <is>
          <t>Хүүхдийн хийх үйл:</t>
        </is>
      </c>
      <c r="I6" s="23" t="n"/>
      <c r="J6" s="22" t="inlineStr">
        <is>
          <t>Хүүхдийн хийх үйл:</t>
        </is>
      </c>
      <c r="K6" s="23" t="n"/>
      <c r="L6" s="22" t="inlineStr">
        <is>
          <t>Хүүхдийн хийх үйл:</t>
        </is>
      </c>
      <c r="M6" s="23" t="n"/>
      <c r="N6" s="22" t="inlineStr">
        <is>
          <t>Хүүхдийн хийх үйл:</t>
        </is>
      </c>
      <c r="O6" s="23" t="n"/>
      <c r="P6" s="22" t="inlineStr">
        <is>
          <t>Хүүхдийн хийх үйл:</t>
        </is>
      </c>
      <c r="Q6" s="23" t="n"/>
      <c r="R6" s="22" t="inlineStr">
        <is>
          <t>Хүүхдийн хийх үйл:</t>
        </is>
      </c>
      <c r="S6" s="23" t="n"/>
      <c r="T6" s="22" t="inlineStr">
        <is>
          <t>Хүүхдийн хийх үйл:</t>
        </is>
      </c>
      <c r="U6" s="23" t="n"/>
      <c r="V6" s="8" t="n"/>
      <c r="W6" s="8" t="n"/>
      <c r="X6" s="8" t="n"/>
      <c r="Y6" s="8" t="n"/>
      <c r="Z6" s="8" t="n"/>
    </row>
    <row r="7" ht="80" customHeight="1">
      <c r="A7" s="8" t="n"/>
      <c r="B7" s="8" t="n"/>
      <c r="C7" s="8" t="n"/>
      <c r="D7" s="24" t="inlineStr">
        <is>
          <t>Дээл, малгай, гутлыг зургаас сонгож нэрлэдэг.</t>
        </is>
      </c>
      <c r="E7" s="23" t="n"/>
      <c r="F7" s="24" t="inlineStr">
        <is>
          <t>«Болохгүй» гэхэд үйлдлээ зогсоож, зөвшөөрсөн үйлийг хийдэг.</t>
        </is>
      </c>
      <c r="G7" s="23" t="n"/>
      <c r="H7" s="24" t="inlineStr">
        <is>
          <t>Багшийн инээмсэглэл, даллах, «нааш ир» дохиог ойлгож хариу үйлдэл хийдэг.</t>
        </is>
      </c>
      <c r="I7" s="23" t="n"/>
      <c r="J7" s="24" t="inlineStr">
        <is>
          <t>Багш, найзынхаа үйлдлийг ажиглаж дуурайн хийдэг.</t>
        </is>
      </c>
      <c r="K7" s="23" t="n"/>
      <c r="L7" s="24" t="inlineStr">
        <is>
          <t>Өлссөн, ядарсан, бие засах хэрэгцээгээ нүүрний хувирал, дохио, үгээр илэрхийлдэг.</t>
        </is>
      </c>
      <c r="M7" s="23" t="n"/>
      <c r="N7" s="24" t="inlineStr">
        <is>
          <t>Найзынхаа зураг, бүтээлийг ажиглаж сонирхдог.</t>
        </is>
      </c>
      <c r="O7" s="23" t="n"/>
      <c r="P7" s="24" t="inlineStr">
        <is>
          <t>Хогоо хогийн саванд хийдэг.</t>
        </is>
      </c>
      <c r="Q7" s="23" t="n"/>
      <c r="R7" s="24" t="inlineStr">
        <is>
          <t>Уйлж, уурласан үедээ багшийн аргадахад тайвширдаг.</t>
        </is>
      </c>
      <c r="S7" s="23" t="n"/>
      <c r="T7" s="24" t="inlineStr">
        <is>
          <t>Тоглосны дараа тоглоом, эд зүйлээ байранд нь хураадаг.</t>
        </is>
      </c>
      <c r="U7" s="23" t="n"/>
      <c r="V7" s="8" t="n"/>
      <c r="W7" s="8" t="n"/>
      <c r="X7" s="8" t="n"/>
      <c r="Y7" s="8" t="n"/>
      <c r="Z7" s="8" t="n"/>
    </row>
    <row r="8" ht="15" customHeight="1">
      <c r="A8" s="8" t="n"/>
      <c r="B8" s="8" t="n"/>
      <c r="C8" s="8" t="n"/>
      <c r="D8" s="10" t="inlineStr">
        <is>
          <t>Шалгуур №7</t>
        </is>
      </c>
      <c r="E8" s="19" t="n"/>
      <c r="F8" s="10" t="inlineStr">
        <is>
          <t>Шалгуур №10</t>
        </is>
      </c>
      <c r="G8" s="19" t="n"/>
      <c r="H8" s="10" t="inlineStr">
        <is>
          <t>Шалгуур №11</t>
        </is>
      </c>
      <c r="I8" s="19" t="n"/>
      <c r="J8" s="10" t="inlineStr">
        <is>
          <t>Шалгуур №27</t>
        </is>
      </c>
      <c r="K8" s="19" t="n"/>
      <c r="L8" s="10" t="inlineStr">
        <is>
          <t>Шалгуур №31</t>
        </is>
      </c>
      <c r="M8" s="19" t="n"/>
      <c r="N8" s="10" t="inlineStr">
        <is>
          <t>Шалгуур №34</t>
        </is>
      </c>
      <c r="O8" s="19" t="n"/>
      <c r="P8" s="10" t="inlineStr">
        <is>
          <t>Шалгуур №35</t>
        </is>
      </c>
      <c r="Q8" s="19" t="n"/>
      <c r="R8" s="10" t="inlineStr">
        <is>
          <t>Шалгуур №36</t>
        </is>
      </c>
      <c r="S8" s="19" t="n"/>
      <c r="T8" s="10" t="inlineStr">
        <is>
          <t>Шалгуур №37</t>
        </is>
      </c>
      <c r="U8" s="19" t="n"/>
      <c r="V8" s="8" t="n"/>
      <c r="W8" s="8" t="n"/>
      <c r="X8" s="8" t="n"/>
      <c r="Y8" s="8" t="n"/>
      <c r="Z8" s="8" t="n"/>
    </row>
    <row r="9" ht="24" customHeight="1">
      <c r="A9" s="8" t="n"/>
      <c r="B9" s="8" t="n"/>
      <c r="C9" s="8" t="n"/>
      <c r="D9" s="11" t="inlineStr">
        <is>
          <t>Чадна</t>
        </is>
      </c>
      <c r="E9" s="11" t="inlineStr">
        <is>
          <t>Чадахгүй</t>
        </is>
      </c>
      <c r="F9" s="11" t="inlineStr">
        <is>
          <t>Чадна</t>
        </is>
      </c>
      <c r="G9" s="11" t="inlineStr">
        <is>
          <t>Чадахгүй</t>
        </is>
      </c>
      <c r="H9" s="11" t="inlineStr">
        <is>
          <t>Чадна</t>
        </is>
      </c>
      <c r="I9" s="11" t="inlineStr">
        <is>
          <t>Чадахгүй</t>
        </is>
      </c>
      <c r="J9" s="11" t="inlineStr">
        <is>
          <t>Чадна</t>
        </is>
      </c>
      <c r="K9" s="11" t="inlineStr">
        <is>
          <t>Чадахгүй</t>
        </is>
      </c>
      <c r="L9" s="11" t="inlineStr">
        <is>
          <t>Чадна</t>
        </is>
      </c>
      <c r="M9" s="11" t="inlineStr">
        <is>
          <t>Чадахгүй</t>
        </is>
      </c>
      <c r="N9" s="11" t="inlineStr">
        <is>
          <t>Чадна</t>
        </is>
      </c>
      <c r="O9" s="11" t="inlineStr">
        <is>
          <t>Чадахгүй</t>
        </is>
      </c>
      <c r="P9" s="11" t="inlineStr">
        <is>
          <t>Чадна</t>
        </is>
      </c>
      <c r="Q9" s="11" t="inlineStr">
        <is>
          <t>Чадахгүй</t>
        </is>
      </c>
      <c r="R9" s="11" t="inlineStr">
        <is>
          <t>Чадна</t>
        </is>
      </c>
      <c r="S9" s="11" t="inlineStr">
        <is>
          <t>Чадахгүй</t>
        </is>
      </c>
      <c r="T9" s="11" t="inlineStr">
        <is>
          <t>Чадна</t>
        </is>
      </c>
      <c r="U9" s="11" t="inlineStr">
        <is>
          <t>Чадахгүй</t>
        </is>
      </c>
      <c r="V9" s="8" t="n"/>
      <c r="W9" s="8" t="n"/>
      <c r="X9" s="8" t="n"/>
      <c r="Y9" s="8" t="n"/>
      <c r="Z9" s="8" t="n"/>
    </row>
    <row r="10" ht="17" customHeight="1">
      <c r="A10" s="12" t="n">
        <v>1</v>
      </c>
      <c r="B10" s="13">
        <f>IF(Нэгтгэл!B7="","",Нэгтгэл!B7)</f>
        <v/>
      </c>
      <c r="C10" s="8" t="n"/>
      <c r="D10" s="12" t="n"/>
      <c r="E10" s="12" t="n"/>
      <c r="F10" s="12" t="n"/>
      <c r="G10" s="12" t="n"/>
      <c r="H10" s="12" t="n"/>
      <c r="I10" s="12" t="n"/>
      <c r="J10" s="12" t="n"/>
      <c r="K10" s="12" t="n"/>
      <c r="L10" s="12" t="n"/>
      <c r="M10" s="12" t="n"/>
      <c r="N10" s="12" t="n"/>
      <c r="O10" s="12" t="n"/>
      <c r="P10" s="12" t="n"/>
      <c r="Q10" s="12" t="n"/>
      <c r="R10" s="12" t="n"/>
      <c r="S10" s="12" t="n"/>
      <c r="T10" s="12" t="n"/>
      <c r="U10" s="12" t="n"/>
      <c r="V10" s="14">
        <f>SUM(D10,F10,H10,J10,L10,N10,P10,R10,T10)</f>
        <v/>
      </c>
      <c r="W10" s="12">
        <f>IF(V10+X10=0,"",ROUND(V10/9*100,1))</f>
        <v/>
      </c>
      <c r="X10" s="14">
        <f>SUM(E10,G10,I10,K10,M10,O10,Q10,S10,U10)</f>
        <v/>
      </c>
      <c r="Y10" s="12">
        <f>IF(V10+X10=0,"",ROUND(X10/9*100,1))</f>
        <v/>
      </c>
      <c r="Z10" s="25">
        <f>IF(W10="","",IF(W10&gt;=80,"Хангалттай эзэмшиж байна",IF(W10&gt;=50,"Ахиж байна","Хөгжиж байна")))</f>
        <v/>
      </c>
    </row>
    <row r="11" ht="17" customHeight="1">
      <c r="A11" s="12" t="n">
        <v>2</v>
      </c>
      <c r="B11" s="13">
        <f>IF(Нэгтгэл!B8="","",Нэгтгэл!B8)</f>
        <v/>
      </c>
      <c r="C11" s="8" t="n"/>
      <c r="D11" s="12" t="n"/>
      <c r="E11" s="12" t="n"/>
      <c r="F11" s="12" t="n"/>
      <c r="G11" s="12" t="n"/>
      <c r="H11" s="12" t="n"/>
      <c r="I11" s="12" t="n"/>
      <c r="J11" s="12" t="n"/>
      <c r="K11" s="12" t="n"/>
      <c r="L11" s="12" t="n"/>
      <c r="M11" s="12" t="n"/>
      <c r="N11" s="12" t="n"/>
      <c r="O11" s="12" t="n"/>
      <c r="P11" s="12" t="n"/>
      <c r="Q11" s="12" t="n"/>
      <c r="R11" s="12" t="n"/>
      <c r="S11" s="12" t="n"/>
      <c r="T11" s="12" t="n"/>
      <c r="U11" s="12" t="n"/>
      <c r="V11" s="14">
        <f>SUM(D11,F11,H11,J11,L11,N11,P11,R11,T11)</f>
        <v/>
      </c>
      <c r="W11" s="12">
        <f>IF(V11+X11=0,"",ROUND(V11/9*100,1))</f>
        <v/>
      </c>
      <c r="X11" s="14">
        <f>SUM(E11,G11,I11,K11,M11,O11,Q11,S11,U11)</f>
        <v/>
      </c>
      <c r="Y11" s="12">
        <f>IF(V11+X11=0,"",ROUND(X11/9*100,1))</f>
        <v/>
      </c>
      <c r="Z11" s="25">
        <f>IF(W11="","",IF(W11&gt;=80,"Хангалттай эзэмшиж байна",IF(W11&gt;=50,"Ахиж байна","Хөгжиж байна")))</f>
        <v/>
      </c>
    </row>
    <row r="12" ht="17" customHeight="1">
      <c r="A12" s="12" t="n">
        <v>3</v>
      </c>
      <c r="B12" s="13">
        <f>IF(Нэгтгэл!B9="","",Нэгтгэл!B9)</f>
        <v/>
      </c>
      <c r="C12" s="8" t="n"/>
      <c r="D12" s="12" t="n"/>
      <c r="E12" s="12" t="n"/>
      <c r="F12" s="12" t="n"/>
      <c r="G12" s="12" t="n"/>
      <c r="H12" s="12" t="n"/>
      <c r="I12" s="12" t="n"/>
      <c r="J12" s="12" t="n"/>
      <c r="K12" s="12" t="n"/>
      <c r="L12" s="12" t="n"/>
      <c r="M12" s="12" t="n"/>
      <c r="N12" s="12" t="n"/>
      <c r="O12" s="12" t="n"/>
      <c r="P12" s="12" t="n"/>
      <c r="Q12" s="12" t="n"/>
      <c r="R12" s="12" t="n"/>
      <c r="S12" s="12" t="n"/>
      <c r="T12" s="12" t="n"/>
      <c r="U12" s="12" t="n"/>
      <c r="V12" s="14">
        <f>SUM(D12,F12,H12,J12,L12,N12,P12,R12,T12)</f>
        <v/>
      </c>
      <c r="W12" s="12">
        <f>IF(V12+X12=0,"",ROUND(V12/9*100,1))</f>
        <v/>
      </c>
      <c r="X12" s="14">
        <f>SUM(E12,G12,I12,K12,M12,O12,Q12,S12,U12)</f>
        <v/>
      </c>
      <c r="Y12" s="12">
        <f>IF(V12+X12=0,"",ROUND(X12/9*100,1))</f>
        <v/>
      </c>
      <c r="Z12" s="25">
        <f>IF(W12="","",IF(W12&gt;=80,"Хангалттай эзэмшиж байна",IF(W12&gt;=50,"Ахиж байна","Хөгжиж байна")))</f>
        <v/>
      </c>
    </row>
    <row r="13" ht="17" customHeight="1">
      <c r="A13" s="12" t="n">
        <v>4</v>
      </c>
      <c r="B13" s="13">
        <f>IF(Нэгтгэл!B10="","",Нэгтгэл!B10)</f>
        <v/>
      </c>
      <c r="C13" s="8" t="n"/>
      <c r="D13" s="12" t="n"/>
      <c r="E13" s="12" t="n"/>
      <c r="F13" s="12" t="n"/>
      <c r="G13" s="12" t="n"/>
      <c r="H13" s="12" t="n"/>
      <c r="I13" s="12" t="n"/>
      <c r="J13" s="12" t="n"/>
      <c r="K13" s="12" t="n"/>
      <c r="L13" s="12" t="n"/>
      <c r="M13" s="12" t="n"/>
      <c r="N13" s="12" t="n"/>
      <c r="O13" s="12" t="n"/>
      <c r="P13" s="12" t="n"/>
      <c r="Q13" s="12" t="n"/>
      <c r="R13" s="12" t="n"/>
      <c r="S13" s="12" t="n"/>
      <c r="T13" s="12" t="n"/>
      <c r="U13" s="12" t="n"/>
      <c r="V13" s="14">
        <f>SUM(D13,F13,H13,J13,L13,N13,P13,R13,T13)</f>
        <v/>
      </c>
      <c r="W13" s="12">
        <f>IF(V13+X13=0,"",ROUND(V13/9*100,1))</f>
        <v/>
      </c>
      <c r="X13" s="14">
        <f>SUM(E13,G13,I13,K13,M13,O13,Q13,S13,U13)</f>
        <v/>
      </c>
      <c r="Y13" s="12">
        <f>IF(V13+X13=0,"",ROUND(X13/9*100,1))</f>
        <v/>
      </c>
      <c r="Z13" s="25">
        <f>IF(W13="","",IF(W13&gt;=80,"Хангалттай эзэмшиж байна",IF(W13&gt;=50,"Ахиж байна","Хөгжиж байна")))</f>
        <v/>
      </c>
    </row>
    <row r="14" ht="17" customHeight="1">
      <c r="A14" s="12" t="n">
        <v>5</v>
      </c>
      <c r="B14" s="13">
        <f>IF(Нэгтгэл!B11="","",Нэгтгэл!B11)</f>
        <v/>
      </c>
      <c r="C14" s="8" t="n"/>
      <c r="D14" s="12" t="n"/>
      <c r="E14" s="12" t="n"/>
      <c r="F14" s="12" t="n"/>
      <c r="G14" s="12" t="n"/>
      <c r="H14" s="12" t="n"/>
      <c r="I14" s="12" t="n"/>
      <c r="J14" s="12" t="n"/>
      <c r="K14" s="12" t="n"/>
      <c r="L14" s="12" t="n"/>
      <c r="M14" s="12" t="n"/>
      <c r="N14" s="12" t="n"/>
      <c r="O14" s="12" t="n"/>
      <c r="P14" s="12" t="n"/>
      <c r="Q14" s="12" t="n"/>
      <c r="R14" s="12" t="n"/>
      <c r="S14" s="12" t="n"/>
      <c r="T14" s="12" t="n"/>
      <c r="U14" s="12" t="n"/>
      <c r="V14" s="14">
        <f>SUM(D14,F14,H14,J14,L14,N14,P14,R14,T14)</f>
        <v/>
      </c>
      <c r="W14" s="12">
        <f>IF(V14+X14=0,"",ROUND(V14/9*100,1))</f>
        <v/>
      </c>
      <c r="X14" s="14">
        <f>SUM(E14,G14,I14,K14,M14,O14,Q14,S14,U14)</f>
        <v/>
      </c>
      <c r="Y14" s="12">
        <f>IF(V14+X14=0,"",ROUND(X14/9*100,1))</f>
        <v/>
      </c>
      <c r="Z14" s="25">
        <f>IF(W14="","",IF(W14&gt;=80,"Хангалттай эзэмшиж байна",IF(W14&gt;=50,"Ахиж байна","Хөгжиж байна")))</f>
        <v/>
      </c>
    </row>
    <row r="15" ht="17" customHeight="1">
      <c r="A15" s="12" t="n">
        <v>6</v>
      </c>
      <c r="B15" s="13">
        <f>IF(Нэгтгэл!B12="","",Нэгтгэл!B12)</f>
        <v/>
      </c>
      <c r="C15" s="8" t="n"/>
      <c r="D15" s="12" t="n"/>
      <c r="E15" s="12" t="n"/>
      <c r="F15" s="12" t="n"/>
      <c r="G15" s="12" t="n"/>
      <c r="H15" s="12" t="n"/>
      <c r="I15" s="12" t="n"/>
      <c r="J15" s="12" t="n"/>
      <c r="K15" s="12" t="n"/>
      <c r="L15" s="12" t="n"/>
      <c r="M15" s="12" t="n"/>
      <c r="N15" s="12" t="n"/>
      <c r="O15" s="12" t="n"/>
      <c r="P15" s="12" t="n"/>
      <c r="Q15" s="12" t="n"/>
      <c r="R15" s="12" t="n"/>
      <c r="S15" s="12" t="n"/>
      <c r="T15" s="12" t="n"/>
      <c r="U15" s="12" t="n"/>
      <c r="V15" s="14">
        <f>SUM(D15,F15,H15,J15,L15,N15,P15,R15,T15)</f>
        <v/>
      </c>
      <c r="W15" s="12">
        <f>IF(V15+X15=0,"",ROUND(V15/9*100,1))</f>
        <v/>
      </c>
      <c r="X15" s="14">
        <f>SUM(E15,G15,I15,K15,M15,O15,Q15,S15,U15)</f>
        <v/>
      </c>
      <c r="Y15" s="12">
        <f>IF(V15+X15=0,"",ROUND(X15/9*100,1))</f>
        <v/>
      </c>
      <c r="Z15" s="25">
        <f>IF(W15="","",IF(W15&gt;=80,"Хангалттай эзэмшиж байна",IF(W15&gt;=50,"Ахиж байна","Хөгжиж байна")))</f>
        <v/>
      </c>
    </row>
    <row r="16" ht="17" customHeight="1">
      <c r="A16" s="12" t="n">
        <v>7</v>
      </c>
      <c r="B16" s="13">
        <f>IF(Нэгтгэл!B13="","",Нэгтгэл!B13)</f>
        <v/>
      </c>
      <c r="C16" s="8" t="n"/>
      <c r="D16" s="12" t="n"/>
      <c r="E16" s="12" t="n"/>
      <c r="F16" s="12" t="n"/>
      <c r="G16" s="12" t="n"/>
      <c r="H16" s="12" t="n"/>
      <c r="I16" s="12" t="n"/>
      <c r="J16" s="12" t="n"/>
      <c r="K16" s="12" t="n"/>
      <c r="L16" s="12" t="n"/>
      <c r="M16" s="12" t="n"/>
      <c r="N16" s="12" t="n"/>
      <c r="O16" s="12" t="n"/>
      <c r="P16" s="12" t="n"/>
      <c r="Q16" s="12" t="n"/>
      <c r="R16" s="12" t="n"/>
      <c r="S16" s="12" t="n"/>
      <c r="T16" s="12" t="n"/>
      <c r="U16" s="12" t="n"/>
      <c r="V16" s="14">
        <f>SUM(D16,F16,H16,J16,L16,N16,P16,R16,T16)</f>
        <v/>
      </c>
      <c r="W16" s="12">
        <f>IF(V16+X16=0,"",ROUND(V16/9*100,1))</f>
        <v/>
      </c>
      <c r="X16" s="14">
        <f>SUM(E16,G16,I16,K16,M16,O16,Q16,S16,U16)</f>
        <v/>
      </c>
      <c r="Y16" s="12">
        <f>IF(V16+X16=0,"",ROUND(X16/9*100,1))</f>
        <v/>
      </c>
      <c r="Z16" s="25">
        <f>IF(W16="","",IF(W16&gt;=80,"Хангалттай эзэмшиж байна",IF(W16&gt;=50,"Ахиж байна","Хөгжиж байна")))</f>
        <v/>
      </c>
    </row>
    <row r="17" ht="17" customHeight="1">
      <c r="A17" s="12" t="n">
        <v>8</v>
      </c>
      <c r="B17" s="13">
        <f>IF(Нэгтгэл!B14="","",Нэгтгэл!B14)</f>
        <v/>
      </c>
      <c r="C17" s="8" t="n"/>
      <c r="D17" s="12" t="n"/>
      <c r="E17" s="12" t="n"/>
      <c r="F17" s="12" t="n"/>
      <c r="G17" s="12" t="n"/>
      <c r="H17" s="12" t="n"/>
      <c r="I17" s="12" t="n"/>
      <c r="J17" s="12" t="n"/>
      <c r="K17" s="12" t="n"/>
      <c r="L17" s="12" t="n"/>
      <c r="M17" s="12" t="n"/>
      <c r="N17" s="12" t="n"/>
      <c r="O17" s="12" t="n"/>
      <c r="P17" s="12" t="n"/>
      <c r="Q17" s="12" t="n"/>
      <c r="R17" s="12" t="n"/>
      <c r="S17" s="12" t="n"/>
      <c r="T17" s="12" t="n"/>
      <c r="U17" s="12" t="n"/>
      <c r="V17" s="14">
        <f>SUM(D17,F17,H17,J17,L17,N17,P17,R17,T17)</f>
        <v/>
      </c>
      <c r="W17" s="12">
        <f>IF(V17+X17=0,"",ROUND(V17/9*100,1))</f>
        <v/>
      </c>
      <c r="X17" s="14">
        <f>SUM(E17,G17,I17,K17,M17,O17,Q17,S17,U17)</f>
        <v/>
      </c>
      <c r="Y17" s="12">
        <f>IF(V17+X17=0,"",ROUND(X17/9*100,1))</f>
        <v/>
      </c>
      <c r="Z17" s="25">
        <f>IF(W17="","",IF(W17&gt;=80,"Хангалттай эзэмшиж байна",IF(W17&gt;=50,"Ахиж байна","Хөгжиж байна")))</f>
        <v/>
      </c>
    </row>
    <row r="18" ht="17" customHeight="1">
      <c r="A18" s="12" t="n">
        <v>9</v>
      </c>
      <c r="B18" s="13">
        <f>IF(Нэгтгэл!B15="","",Нэгтгэл!B15)</f>
        <v/>
      </c>
      <c r="C18" s="8" t="n"/>
      <c r="D18" s="12" t="n"/>
      <c r="E18" s="12" t="n"/>
      <c r="F18" s="12" t="n"/>
      <c r="G18" s="12" t="n"/>
      <c r="H18" s="12" t="n"/>
      <c r="I18" s="12" t="n"/>
      <c r="J18" s="12" t="n"/>
      <c r="K18" s="12" t="n"/>
      <c r="L18" s="12" t="n"/>
      <c r="M18" s="12" t="n"/>
      <c r="N18" s="12" t="n"/>
      <c r="O18" s="12" t="n"/>
      <c r="P18" s="12" t="n"/>
      <c r="Q18" s="12" t="n"/>
      <c r="R18" s="12" t="n"/>
      <c r="S18" s="12" t="n"/>
      <c r="T18" s="12" t="n"/>
      <c r="U18" s="12" t="n"/>
      <c r="V18" s="14">
        <f>SUM(D18,F18,H18,J18,L18,N18,P18,R18,T18)</f>
        <v/>
      </c>
      <c r="W18" s="12">
        <f>IF(V18+X18=0,"",ROUND(V18/9*100,1))</f>
        <v/>
      </c>
      <c r="X18" s="14">
        <f>SUM(E18,G18,I18,K18,M18,O18,Q18,S18,U18)</f>
        <v/>
      </c>
      <c r="Y18" s="12">
        <f>IF(V18+X18=0,"",ROUND(X18/9*100,1))</f>
        <v/>
      </c>
      <c r="Z18" s="25">
        <f>IF(W18="","",IF(W18&gt;=80,"Хангалттай эзэмшиж байна",IF(W18&gt;=50,"Ахиж байна","Хөгжиж байна")))</f>
        <v/>
      </c>
    </row>
    <row r="19" ht="17" customHeight="1">
      <c r="A19" s="12" t="n">
        <v>10</v>
      </c>
      <c r="B19" s="13">
        <f>IF(Нэгтгэл!B16="","",Нэгтгэл!B16)</f>
        <v/>
      </c>
      <c r="C19" s="8" t="n"/>
      <c r="D19" s="12" t="n"/>
      <c r="E19" s="12" t="n"/>
      <c r="F19" s="12" t="n"/>
      <c r="G19" s="12" t="n"/>
      <c r="H19" s="12" t="n"/>
      <c r="I19" s="12" t="n"/>
      <c r="J19" s="12" t="n"/>
      <c r="K19" s="12" t="n"/>
      <c r="L19" s="12" t="n"/>
      <c r="M19" s="12" t="n"/>
      <c r="N19" s="12" t="n"/>
      <c r="O19" s="12" t="n"/>
      <c r="P19" s="12" t="n"/>
      <c r="Q19" s="12" t="n"/>
      <c r="R19" s="12" t="n"/>
      <c r="S19" s="12" t="n"/>
      <c r="T19" s="12" t="n"/>
      <c r="U19" s="12" t="n"/>
      <c r="V19" s="14">
        <f>SUM(D19,F19,H19,J19,L19,N19,P19,R19,T19)</f>
        <v/>
      </c>
      <c r="W19" s="12">
        <f>IF(V19+X19=0,"",ROUND(V19/9*100,1))</f>
        <v/>
      </c>
      <c r="X19" s="14">
        <f>SUM(E19,G19,I19,K19,M19,O19,Q19,S19,U19)</f>
        <v/>
      </c>
      <c r="Y19" s="12">
        <f>IF(V19+X19=0,"",ROUND(X19/9*100,1))</f>
        <v/>
      </c>
      <c r="Z19" s="25">
        <f>IF(W19="","",IF(W19&gt;=80,"Хангалттай эзэмшиж байна",IF(W19&gt;=50,"Ахиж байна","Хөгжиж байна")))</f>
        <v/>
      </c>
    </row>
    <row r="20" ht="17" customHeight="1">
      <c r="A20" s="12" t="n">
        <v>11</v>
      </c>
      <c r="B20" s="13">
        <f>IF(Нэгтгэл!B17="","",Нэгтгэл!B17)</f>
        <v/>
      </c>
      <c r="C20" s="8" t="n"/>
      <c r="D20" s="12" t="n"/>
      <c r="E20" s="12" t="n"/>
      <c r="F20" s="12" t="n"/>
      <c r="G20" s="12" t="n"/>
      <c r="H20" s="12" t="n"/>
      <c r="I20" s="12" t="n"/>
      <c r="J20" s="12" t="n"/>
      <c r="K20" s="12" t="n"/>
      <c r="L20" s="12" t="n"/>
      <c r="M20" s="12" t="n"/>
      <c r="N20" s="12" t="n"/>
      <c r="O20" s="12" t="n"/>
      <c r="P20" s="12" t="n"/>
      <c r="Q20" s="12" t="n"/>
      <c r="R20" s="12" t="n"/>
      <c r="S20" s="12" t="n"/>
      <c r="T20" s="12" t="n"/>
      <c r="U20" s="12" t="n"/>
      <c r="V20" s="14">
        <f>SUM(D20,F20,H20,J20,L20,N20,P20,R20,T20)</f>
        <v/>
      </c>
      <c r="W20" s="12">
        <f>IF(V20+X20=0,"",ROUND(V20/9*100,1))</f>
        <v/>
      </c>
      <c r="X20" s="14">
        <f>SUM(E20,G20,I20,K20,M20,O20,Q20,S20,U20)</f>
        <v/>
      </c>
      <c r="Y20" s="12">
        <f>IF(V20+X20=0,"",ROUND(X20/9*100,1))</f>
        <v/>
      </c>
      <c r="Z20" s="25">
        <f>IF(W20="","",IF(W20&gt;=80,"Хангалттай эзэмшиж байна",IF(W20&gt;=50,"Ахиж байна","Хөгжиж байна")))</f>
        <v/>
      </c>
    </row>
    <row r="21" ht="17" customHeight="1">
      <c r="A21" s="12" t="n">
        <v>12</v>
      </c>
      <c r="B21" s="13">
        <f>IF(Нэгтгэл!B18="","",Нэгтгэл!B18)</f>
        <v/>
      </c>
      <c r="C21" s="8" t="n"/>
      <c r="D21" s="12" t="n"/>
      <c r="E21" s="12" t="n"/>
      <c r="F21" s="12" t="n"/>
      <c r="G21" s="12" t="n"/>
      <c r="H21" s="12" t="n"/>
      <c r="I21" s="12" t="n"/>
      <c r="J21" s="12" t="n"/>
      <c r="K21" s="12" t="n"/>
      <c r="L21" s="12" t="n"/>
      <c r="M21" s="12" t="n"/>
      <c r="N21" s="12" t="n"/>
      <c r="O21" s="12" t="n"/>
      <c r="P21" s="12" t="n"/>
      <c r="Q21" s="12" t="n"/>
      <c r="R21" s="12" t="n"/>
      <c r="S21" s="12" t="n"/>
      <c r="T21" s="12" t="n"/>
      <c r="U21" s="12" t="n"/>
      <c r="V21" s="14">
        <f>SUM(D21,F21,H21,J21,L21,N21,P21,R21,T21)</f>
        <v/>
      </c>
      <c r="W21" s="12">
        <f>IF(V21+X21=0,"",ROUND(V21/9*100,1))</f>
        <v/>
      </c>
      <c r="X21" s="14">
        <f>SUM(E21,G21,I21,K21,M21,O21,Q21,S21,U21)</f>
        <v/>
      </c>
      <c r="Y21" s="12">
        <f>IF(V21+X21=0,"",ROUND(X21/9*100,1))</f>
        <v/>
      </c>
      <c r="Z21" s="25">
        <f>IF(W21="","",IF(W21&gt;=80,"Хангалттай эзэмшиж байна",IF(W21&gt;=50,"Ахиж байна","Хөгжиж байна")))</f>
        <v/>
      </c>
    </row>
    <row r="22" ht="17" customHeight="1">
      <c r="A22" s="12" t="n">
        <v>13</v>
      </c>
      <c r="B22" s="13">
        <f>IF(Нэгтгэл!B19="","",Нэгтгэл!B19)</f>
        <v/>
      </c>
      <c r="C22" s="8" t="n"/>
      <c r="D22" s="12" t="n"/>
      <c r="E22" s="12" t="n"/>
      <c r="F22" s="12" t="n"/>
      <c r="G22" s="12" t="n"/>
      <c r="H22" s="12" t="n"/>
      <c r="I22" s="12" t="n"/>
      <c r="J22" s="12" t="n"/>
      <c r="K22" s="12" t="n"/>
      <c r="L22" s="12" t="n"/>
      <c r="M22" s="12" t="n"/>
      <c r="N22" s="12" t="n"/>
      <c r="O22" s="12" t="n"/>
      <c r="P22" s="12" t="n"/>
      <c r="Q22" s="12" t="n"/>
      <c r="R22" s="12" t="n"/>
      <c r="S22" s="12" t="n"/>
      <c r="T22" s="12" t="n"/>
      <c r="U22" s="12" t="n"/>
      <c r="V22" s="14">
        <f>SUM(D22,F22,H22,J22,L22,N22,P22,R22,T22)</f>
        <v/>
      </c>
      <c r="W22" s="12">
        <f>IF(V22+X22=0,"",ROUND(V22/9*100,1))</f>
        <v/>
      </c>
      <c r="X22" s="14">
        <f>SUM(E22,G22,I22,K22,M22,O22,Q22,S22,U22)</f>
        <v/>
      </c>
      <c r="Y22" s="12">
        <f>IF(V22+X22=0,"",ROUND(X22/9*100,1))</f>
        <v/>
      </c>
      <c r="Z22" s="25">
        <f>IF(W22="","",IF(W22&gt;=80,"Хангалттай эзэмшиж байна",IF(W22&gt;=50,"Ахиж байна","Хөгжиж байна")))</f>
        <v/>
      </c>
    </row>
    <row r="23" ht="17" customHeight="1">
      <c r="A23" s="12" t="n">
        <v>14</v>
      </c>
      <c r="B23" s="13">
        <f>IF(Нэгтгэл!B20="","",Нэгтгэл!B20)</f>
        <v/>
      </c>
      <c r="C23" s="8" t="n"/>
      <c r="D23" s="12" t="n"/>
      <c r="E23" s="12" t="n"/>
      <c r="F23" s="12" t="n"/>
      <c r="G23" s="12" t="n"/>
      <c r="H23" s="12" t="n"/>
      <c r="I23" s="12" t="n"/>
      <c r="J23" s="12" t="n"/>
      <c r="K23" s="12" t="n"/>
      <c r="L23" s="12" t="n"/>
      <c r="M23" s="12" t="n"/>
      <c r="N23" s="12" t="n"/>
      <c r="O23" s="12" t="n"/>
      <c r="P23" s="12" t="n"/>
      <c r="Q23" s="12" t="n"/>
      <c r="R23" s="12" t="n"/>
      <c r="S23" s="12" t="n"/>
      <c r="T23" s="12" t="n"/>
      <c r="U23" s="12" t="n"/>
      <c r="V23" s="14">
        <f>SUM(D23,F23,H23,J23,L23,N23,P23,R23,T23)</f>
        <v/>
      </c>
      <c r="W23" s="12">
        <f>IF(V23+X23=0,"",ROUND(V23/9*100,1))</f>
        <v/>
      </c>
      <c r="X23" s="14">
        <f>SUM(E23,G23,I23,K23,M23,O23,Q23,S23,U23)</f>
        <v/>
      </c>
      <c r="Y23" s="12">
        <f>IF(V23+X23=0,"",ROUND(X23/9*100,1))</f>
        <v/>
      </c>
      <c r="Z23" s="25">
        <f>IF(W23="","",IF(W23&gt;=80,"Хангалттай эзэмшиж байна",IF(W23&gt;=50,"Ахиж байна","Хөгжиж байна")))</f>
        <v/>
      </c>
    </row>
    <row r="24" ht="17" customHeight="1">
      <c r="A24" s="12" t="n">
        <v>15</v>
      </c>
      <c r="B24" s="13">
        <f>IF(Нэгтгэл!B21="","",Нэгтгэл!B21)</f>
        <v/>
      </c>
      <c r="C24" s="8" t="n"/>
      <c r="D24" s="12" t="n"/>
      <c r="E24" s="12" t="n"/>
      <c r="F24" s="12" t="n"/>
      <c r="G24" s="12" t="n"/>
      <c r="H24" s="12" t="n"/>
      <c r="I24" s="12" t="n"/>
      <c r="J24" s="12" t="n"/>
      <c r="K24" s="12" t="n"/>
      <c r="L24" s="12" t="n"/>
      <c r="M24" s="12" t="n"/>
      <c r="N24" s="12" t="n"/>
      <c r="O24" s="12" t="n"/>
      <c r="P24" s="12" t="n"/>
      <c r="Q24" s="12" t="n"/>
      <c r="R24" s="12" t="n"/>
      <c r="S24" s="12" t="n"/>
      <c r="T24" s="12" t="n"/>
      <c r="U24" s="12" t="n"/>
      <c r="V24" s="14">
        <f>SUM(D24,F24,H24,J24,L24,N24,P24,R24,T24)</f>
        <v/>
      </c>
      <c r="W24" s="12">
        <f>IF(V24+X24=0,"",ROUND(V24/9*100,1))</f>
        <v/>
      </c>
      <c r="X24" s="14">
        <f>SUM(E24,G24,I24,K24,M24,O24,Q24,S24,U24)</f>
        <v/>
      </c>
      <c r="Y24" s="12">
        <f>IF(V24+X24=0,"",ROUND(X24/9*100,1))</f>
        <v/>
      </c>
      <c r="Z24" s="25">
        <f>IF(W24="","",IF(W24&gt;=80,"Хангалттай эзэмшиж байна",IF(W24&gt;=50,"Ахиж байна","Хөгжиж байна")))</f>
        <v/>
      </c>
    </row>
    <row r="25" ht="17" customHeight="1">
      <c r="A25" s="12" t="n">
        <v>16</v>
      </c>
      <c r="B25" s="13">
        <f>IF(Нэгтгэл!B22="","",Нэгтгэл!B22)</f>
        <v/>
      </c>
      <c r="C25" s="8" t="n"/>
      <c r="D25" s="12" t="n"/>
      <c r="E25" s="12" t="n"/>
      <c r="F25" s="12" t="n"/>
      <c r="G25" s="12" t="n"/>
      <c r="H25" s="12" t="n"/>
      <c r="I25" s="12" t="n"/>
      <c r="J25" s="12" t="n"/>
      <c r="K25" s="12" t="n"/>
      <c r="L25" s="12" t="n"/>
      <c r="M25" s="12" t="n"/>
      <c r="N25" s="12" t="n"/>
      <c r="O25" s="12" t="n"/>
      <c r="P25" s="12" t="n"/>
      <c r="Q25" s="12" t="n"/>
      <c r="R25" s="12" t="n"/>
      <c r="S25" s="12" t="n"/>
      <c r="T25" s="12" t="n"/>
      <c r="U25" s="12" t="n"/>
      <c r="V25" s="14">
        <f>SUM(D25,F25,H25,J25,L25,N25,P25,R25,T25)</f>
        <v/>
      </c>
      <c r="W25" s="12">
        <f>IF(V25+X25=0,"",ROUND(V25/9*100,1))</f>
        <v/>
      </c>
      <c r="X25" s="14">
        <f>SUM(E25,G25,I25,K25,M25,O25,Q25,S25,U25)</f>
        <v/>
      </c>
      <c r="Y25" s="12">
        <f>IF(V25+X25=0,"",ROUND(X25/9*100,1))</f>
        <v/>
      </c>
      <c r="Z25" s="25">
        <f>IF(W25="","",IF(W25&gt;=80,"Хангалттай эзэмшиж байна",IF(W25&gt;=50,"Ахиж байна","Хөгжиж байна")))</f>
        <v/>
      </c>
    </row>
    <row r="26" ht="17" customHeight="1">
      <c r="A26" s="12" t="n">
        <v>17</v>
      </c>
      <c r="B26" s="13">
        <f>IF(Нэгтгэл!B23="","",Нэгтгэл!B23)</f>
        <v/>
      </c>
      <c r="C26" s="8" t="n"/>
      <c r="D26" s="12" t="n"/>
      <c r="E26" s="12" t="n"/>
      <c r="F26" s="12" t="n"/>
      <c r="G26" s="12" t="n"/>
      <c r="H26" s="12" t="n"/>
      <c r="I26" s="12" t="n"/>
      <c r="J26" s="12" t="n"/>
      <c r="K26" s="12" t="n"/>
      <c r="L26" s="12" t="n"/>
      <c r="M26" s="12" t="n"/>
      <c r="N26" s="12" t="n"/>
      <c r="O26" s="12" t="n"/>
      <c r="P26" s="12" t="n"/>
      <c r="Q26" s="12" t="n"/>
      <c r="R26" s="12" t="n"/>
      <c r="S26" s="12" t="n"/>
      <c r="T26" s="12" t="n"/>
      <c r="U26" s="12" t="n"/>
      <c r="V26" s="14">
        <f>SUM(D26,F26,H26,J26,L26,N26,P26,R26,T26)</f>
        <v/>
      </c>
      <c r="W26" s="12">
        <f>IF(V26+X26=0,"",ROUND(V26/9*100,1))</f>
        <v/>
      </c>
      <c r="X26" s="14">
        <f>SUM(E26,G26,I26,K26,M26,O26,Q26,S26,U26)</f>
        <v/>
      </c>
      <c r="Y26" s="12">
        <f>IF(V26+X26=0,"",ROUND(X26/9*100,1))</f>
        <v/>
      </c>
      <c r="Z26" s="25">
        <f>IF(W26="","",IF(W26&gt;=80,"Хангалттай эзэмшиж байна",IF(W26&gt;=50,"Ахиж байна","Хөгжиж байна")))</f>
        <v/>
      </c>
    </row>
    <row r="27" ht="17" customHeight="1">
      <c r="A27" s="12" t="n">
        <v>18</v>
      </c>
      <c r="B27" s="13">
        <f>IF(Нэгтгэл!B24="","",Нэгтгэл!B24)</f>
        <v/>
      </c>
      <c r="C27" s="8" t="n"/>
      <c r="D27" s="12" t="n"/>
      <c r="E27" s="12" t="n"/>
      <c r="F27" s="12" t="n"/>
      <c r="G27" s="12" t="n"/>
      <c r="H27" s="12" t="n"/>
      <c r="I27" s="12" t="n"/>
      <c r="J27" s="12" t="n"/>
      <c r="K27" s="12" t="n"/>
      <c r="L27" s="12" t="n"/>
      <c r="M27" s="12" t="n"/>
      <c r="N27" s="12" t="n"/>
      <c r="O27" s="12" t="n"/>
      <c r="P27" s="12" t="n"/>
      <c r="Q27" s="12" t="n"/>
      <c r="R27" s="12" t="n"/>
      <c r="S27" s="12" t="n"/>
      <c r="T27" s="12" t="n"/>
      <c r="U27" s="12" t="n"/>
      <c r="V27" s="14">
        <f>SUM(D27,F27,H27,J27,L27,N27,P27,R27,T27)</f>
        <v/>
      </c>
      <c r="W27" s="12">
        <f>IF(V27+X27=0,"",ROUND(V27/9*100,1))</f>
        <v/>
      </c>
      <c r="X27" s="14">
        <f>SUM(E27,G27,I27,K27,M27,O27,Q27,S27,U27)</f>
        <v/>
      </c>
      <c r="Y27" s="12">
        <f>IF(V27+X27=0,"",ROUND(X27/9*100,1))</f>
        <v/>
      </c>
      <c r="Z27" s="25">
        <f>IF(W27="","",IF(W27&gt;=80,"Хангалттай эзэмшиж байна",IF(W27&gt;=50,"Ахиж байна","Хөгжиж байна")))</f>
        <v/>
      </c>
    </row>
    <row r="28" ht="17" customHeight="1">
      <c r="A28" s="12" t="n">
        <v>19</v>
      </c>
      <c r="B28" s="13">
        <f>IF(Нэгтгэл!B25="","",Нэгтгэл!B25)</f>
        <v/>
      </c>
      <c r="C28" s="8" t="n"/>
      <c r="D28" s="12" t="n"/>
      <c r="E28" s="12" t="n"/>
      <c r="F28" s="12" t="n"/>
      <c r="G28" s="12" t="n"/>
      <c r="H28" s="12" t="n"/>
      <c r="I28" s="12" t="n"/>
      <c r="J28" s="12" t="n"/>
      <c r="K28" s="12" t="n"/>
      <c r="L28" s="12" t="n"/>
      <c r="M28" s="12" t="n"/>
      <c r="N28" s="12" t="n"/>
      <c r="O28" s="12" t="n"/>
      <c r="P28" s="12" t="n"/>
      <c r="Q28" s="12" t="n"/>
      <c r="R28" s="12" t="n"/>
      <c r="S28" s="12" t="n"/>
      <c r="T28" s="12" t="n"/>
      <c r="U28" s="12" t="n"/>
      <c r="V28" s="14">
        <f>SUM(D28,F28,H28,J28,L28,N28,P28,R28,T28)</f>
        <v/>
      </c>
      <c r="W28" s="12">
        <f>IF(V28+X28=0,"",ROUND(V28/9*100,1))</f>
        <v/>
      </c>
      <c r="X28" s="14">
        <f>SUM(E28,G28,I28,K28,M28,O28,Q28,S28,U28)</f>
        <v/>
      </c>
      <c r="Y28" s="12">
        <f>IF(V28+X28=0,"",ROUND(X28/9*100,1))</f>
        <v/>
      </c>
      <c r="Z28" s="25">
        <f>IF(W28="","",IF(W28&gt;=80,"Хангалттай эзэмшиж байна",IF(W28&gt;=50,"Ахиж байна","Хөгжиж байна")))</f>
        <v/>
      </c>
    </row>
    <row r="29" ht="17" customHeight="1">
      <c r="A29" s="12" t="n">
        <v>20</v>
      </c>
      <c r="B29" s="13">
        <f>IF(Нэгтгэл!B26="","",Нэгтгэл!B26)</f>
        <v/>
      </c>
      <c r="C29" s="8" t="n"/>
      <c r="D29" s="12" t="n"/>
      <c r="E29" s="12" t="n"/>
      <c r="F29" s="12" t="n"/>
      <c r="G29" s="12" t="n"/>
      <c r="H29" s="12" t="n"/>
      <c r="I29" s="12" t="n"/>
      <c r="J29" s="12" t="n"/>
      <c r="K29" s="12" t="n"/>
      <c r="L29" s="12" t="n"/>
      <c r="M29" s="12" t="n"/>
      <c r="N29" s="12" t="n"/>
      <c r="O29" s="12" t="n"/>
      <c r="P29" s="12" t="n"/>
      <c r="Q29" s="12" t="n"/>
      <c r="R29" s="12" t="n"/>
      <c r="S29" s="12" t="n"/>
      <c r="T29" s="12" t="n"/>
      <c r="U29" s="12" t="n"/>
      <c r="V29" s="14">
        <f>SUM(D29,F29,H29,J29,L29,N29,P29,R29,T29)</f>
        <v/>
      </c>
      <c r="W29" s="12">
        <f>IF(V29+X29=0,"",ROUND(V29/9*100,1))</f>
        <v/>
      </c>
      <c r="X29" s="14">
        <f>SUM(E29,G29,I29,K29,M29,O29,Q29,S29,U29)</f>
        <v/>
      </c>
      <c r="Y29" s="12">
        <f>IF(V29+X29=0,"",ROUND(X29/9*100,1))</f>
        <v/>
      </c>
      <c r="Z29" s="25">
        <f>IF(W29="","",IF(W29&gt;=80,"Хангалттай эзэмшиж байна",IF(W29&gt;=50,"Ахиж байна","Хөгжиж байна")))</f>
        <v/>
      </c>
    </row>
    <row r="30" ht="17" customHeight="1">
      <c r="A30" s="12" t="n">
        <v>21</v>
      </c>
      <c r="B30" s="13">
        <f>IF(Нэгтгэл!B27="","",Нэгтгэл!B27)</f>
        <v/>
      </c>
      <c r="C30" s="8" t="n"/>
      <c r="D30" s="12" t="n"/>
      <c r="E30" s="12" t="n"/>
      <c r="F30" s="12" t="n"/>
      <c r="G30" s="12" t="n"/>
      <c r="H30" s="12" t="n"/>
      <c r="I30" s="12" t="n"/>
      <c r="J30" s="12" t="n"/>
      <c r="K30" s="12" t="n"/>
      <c r="L30" s="12" t="n"/>
      <c r="M30" s="12" t="n"/>
      <c r="N30" s="12" t="n"/>
      <c r="O30" s="12" t="n"/>
      <c r="P30" s="12" t="n"/>
      <c r="Q30" s="12" t="n"/>
      <c r="R30" s="12" t="n"/>
      <c r="S30" s="12" t="n"/>
      <c r="T30" s="12" t="n"/>
      <c r="U30" s="12" t="n"/>
      <c r="V30" s="14">
        <f>SUM(D30,F30,H30,J30,L30,N30,P30,R30,T30)</f>
        <v/>
      </c>
      <c r="W30" s="12">
        <f>IF(V30+X30=0,"",ROUND(V30/9*100,1))</f>
        <v/>
      </c>
      <c r="X30" s="14">
        <f>SUM(E30,G30,I30,K30,M30,O30,Q30,S30,U30)</f>
        <v/>
      </c>
      <c r="Y30" s="12">
        <f>IF(V30+X30=0,"",ROUND(X30/9*100,1))</f>
        <v/>
      </c>
      <c r="Z30" s="25">
        <f>IF(W30="","",IF(W30&gt;=80,"Хангалттай эзэмшиж байна",IF(W30&gt;=50,"Ахиж байна","Хөгжиж байна")))</f>
        <v/>
      </c>
    </row>
    <row r="31" ht="17" customHeight="1">
      <c r="A31" s="12" t="n">
        <v>22</v>
      </c>
      <c r="B31" s="13">
        <f>IF(Нэгтгэл!B28="","",Нэгтгэл!B28)</f>
        <v/>
      </c>
      <c r="C31" s="8" t="n"/>
      <c r="D31" s="12" t="n"/>
      <c r="E31" s="12" t="n"/>
      <c r="F31" s="12" t="n"/>
      <c r="G31" s="12" t="n"/>
      <c r="H31" s="12" t="n"/>
      <c r="I31" s="12" t="n"/>
      <c r="J31" s="12" t="n"/>
      <c r="K31" s="12" t="n"/>
      <c r="L31" s="12" t="n"/>
      <c r="M31" s="12" t="n"/>
      <c r="N31" s="12" t="n"/>
      <c r="O31" s="12" t="n"/>
      <c r="P31" s="12" t="n"/>
      <c r="Q31" s="12" t="n"/>
      <c r="R31" s="12" t="n"/>
      <c r="S31" s="12" t="n"/>
      <c r="T31" s="12" t="n"/>
      <c r="U31" s="12" t="n"/>
      <c r="V31" s="14">
        <f>SUM(D31,F31,H31,J31,L31,N31,P31,R31,T31)</f>
        <v/>
      </c>
      <c r="W31" s="12">
        <f>IF(V31+X31=0,"",ROUND(V31/9*100,1))</f>
        <v/>
      </c>
      <c r="X31" s="14">
        <f>SUM(E31,G31,I31,K31,M31,O31,Q31,S31,U31)</f>
        <v/>
      </c>
      <c r="Y31" s="12">
        <f>IF(V31+X31=0,"",ROUND(X31/9*100,1))</f>
        <v/>
      </c>
      <c r="Z31" s="25">
        <f>IF(W31="","",IF(W31&gt;=80,"Хангалттай эзэмшиж байна",IF(W31&gt;=50,"Ахиж байна","Хөгжиж байна")))</f>
        <v/>
      </c>
    </row>
    <row r="32" ht="17" customHeight="1">
      <c r="A32" s="12" t="n">
        <v>23</v>
      </c>
      <c r="B32" s="13">
        <f>IF(Нэгтгэл!B29="","",Нэгтгэл!B29)</f>
        <v/>
      </c>
      <c r="C32" s="8" t="n"/>
      <c r="D32" s="12" t="n"/>
      <c r="E32" s="12" t="n"/>
      <c r="F32" s="12" t="n"/>
      <c r="G32" s="12" t="n"/>
      <c r="H32" s="12" t="n"/>
      <c r="I32" s="12" t="n"/>
      <c r="J32" s="12" t="n"/>
      <c r="K32" s="12" t="n"/>
      <c r="L32" s="12" t="n"/>
      <c r="M32" s="12" t="n"/>
      <c r="N32" s="12" t="n"/>
      <c r="O32" s="12" t="n"/>
      <c r="P32" s="12" t="n"/>
      <c r="Q32" s="12" t="n"/>
      <c r="R32" s="12" t="n"/>
      <c r="S32" s="12" t="n"/>
      <c r="T32" s="12" t="n"/>
      <c r="U32" s="12" t="n"/>
      <c r="V32" s="14">
        <f>SUM(D32,F32,H32,J32,L32,N32,P32,R32,T32)</f>
        <v/>
      </c>
      <c r="W32" s="12">
        <f>IF(V32+X32=0,"",ROUND(V32/9*100,1))</f>
        <v/>
      </c>
      <c r="X32" s="14">
        <f>SUM(E32,G32,I32,K32,M32,O32,Q32,S32,U32)</f>
        <v/>
      </c>
      <c r="Y32" s="12">
        <f>IF(V32+X32=0,"",ROUND(X32/9*100,1))</f>
        <v/>
      </c>
      <c r="Z32" s="25">
        <f>IF(W32="","",IF(W32&gt;=80,"Хангалттай эзэмшиж байна",IF(W32&gt;=50,"Ахиж байна","Хөгжиж байна")))</f>
        <v/>
      </c>
    </row>
    <row r="33" ht="17" customHeight="1">
      <c r="A33" s="12" t="n">
        <v>24</v>
      </c>
      <c r="B33" s="13">
        <f>IF(Нэгтгэл!B30="","",Нэгтгэл!B30)</f>
        <v/>
      </c>
      <c r="C33" s="8" t="n"/>
      <c r="D33" s="12" t="n"/>
      <c r="E33" s="12" t="n"/>
      <c r="F33" s="12" t="n"/>
      <c r="G33" s="12" t="n"/>
      <c r="H33" s="12" t="n"/>
      <c r="I33" s="12" t="n"/>
      <c r="J33" s="12" t="n"/>
      <c r="K33" s="12" t="n"/>
      <c r="L33" s="12" t="n"/>
      <c r="M33" s="12" t="n"/>
      <c r="N33" s="12" t="n"/>
      <c r="O33" s="12" t="n"/>
      <c r="P33" s="12" t="n"/>
      <c r="Q33" s="12" t="n"/>
      <c r="R33" s="12" t="n"/>
      <c r="S33" s="12" t="n"/>
      <c r="T33" s="12" t="n"/>
      <c r="U33" s="12" t="n"/>
      <c r="V33" s="14">
        <f>SUM(D33,F33,H33,J33,L33,N33,P33,R33,T33)</f>
        <v/>
      </c>
      <c r="W33" s="12">
        <f>IF(V33+X33=0,"",ROUND(V33/9*100,1))</f>
        <v/>
      </c>
      <c r="X33" s="14">
        <f>SUM(E33,G33,I33,K33,M33,O33,Q33,S33,U33)</f>
        <v/>
      </c>
      <c r="Y33" s="12">
        <f>IF(V33+X33=0,"",ROUND(X33/9*100,1))</f>
        <v/>
      </c>
      <c r="Z33" s="25">
        <f>IF(W33="","",IF(W33&gt;=80,"Хангалттай эзэмшиж байна",IF(W33&gt;=50,"Ахиж байна","Хөгжиж байна")))</f>
        <v/>
      </c>
    </row>
    <row r="34" ht="17" customHeight="1">
      <c r="A34" s="12" t="n">
        <v>25</v>
      </c>
      <c r="B34" s="13">
        <f>IF(Нэгтгэл!B31="","",Нэгтгэл!B31)</f>
        <v/>
      </c>
      <c r="C34" s="8" t="n"/>
      <c r="D34" s="12" t="n"/>
      <c r="E34" s="12" t="n"/>
      <c r="F34" s="12" t="n"/>
      <c r="G34" s="12" t="n"/>
      <c r="H34" s="12" t="n"/>
      <c r="I34" s="12" t="n"/>
      <c r="J34" s="12" t="n"/>
      <c r="K34" s="12" t="n"/>
      <c r="L34" s="12" t="n"/>
      <c r="M34" s="12" t="n"/>
      <c r="N34" s="12" t="n"/>
      <c r="O34" s="12" t="n"/>
      <c r="P34" s="12" t="n"/>
      <c r="Q34" s="12" t="n"/>
      <c r="R34" s="12" t="n"/>
      <c r="S34" s="12" t="n"/>
      <c r="T34" s="12" t="n"/>
      <c r="U34" s="12" t="n"/>
      <c r="V34" s="14">
        <f>SUM(D34,F34,H34,J34,L34,N34,P34,R34,T34)</f>
        <v/>
      </c>
      <c r="W34" s="12">
        <f>IF(V34+X34=0,"",ROUND(V34/9*100,1))</f>
        <v/>
      </c>
      <c r="X34" s="14">
        <f>SUM(E34,G34,I34,K34,M34,O34,Q34,S34,U34)</f>
        <v/>
      </c>
      <c r="Y34" s="12">
        <f>IF(V34+X34=0,"",ROUND(X34/9*100,1))</f>
        <v/>
      </c>
      <c r="Z34" s="25">
        <f>IF(W34="","",IF(W34&gt;=80,"Хангалттай эзэмшиж байна",IF(W34&gt;=50,"Ахиж байна","Хөгжиж байна")))</f>
        <v/>
      </c>
    </row>
    <row r="35" ht="17" customHeight="1">
      <c r="A35" s="12" t="n">
        <v>26</v>
      </c>
      <c r="B35" s="13">
        <f>IF(Нэгтгэл!B32="","",Нэгтгэл!B32)</f>
        <v/>
      </c>
      <c r="C35" s="8" t="n"/>
      <c r="D35" s="12" t="n"/>
      <c r="E35" s="12" t="n"/>
      <c r="F35" s="12" t="n"/>
      <c r="G35" s="12" t="n"/>
      <c r="H35" s="12" t="n"/>
      <c r="I35" s="12" t="n"/>
      <c r="J35" s="12" t="n"/>
      <c r="K35" s="12" t="n"/>
      <c r="L35" s="12" t="n"/>
      <c r="M35" s="12" t="n"/>
      <c r="N35" s="12" t="n"/>
      <c r="O35" s="12" t="n"/>
      <c r="P35" s="12" t="n"/>
      <c r="Q35" s="12" t="n"/>
      <c r="R35" s="12" t="n"/>
      <c r="S35" s="12" t="n"/>
      <c r="T35" s="12" t="n"/>
      <c r="U35" s="12" t="n"/>
      <c r="V35" s="14">
        <f>SUM(D35,F35,H35,J35,L35,N35,P35,R35,T35)</f>
        <v/>
      </c>
      <c r="W35" s="12">
        <f>IF(V35+X35=0,"",ROUND(V35/9*100,1))</f>
        <v/>
      </c>
      <c r="X35" s="14">
        <f>SUM(E35,G35,I35,K35,M35,O35,Q35,S35,U35)</f>
        <v/>
      </c>
      <c r="Y35" s="12">
        <f>IF(V35+X35=0,"",ROUND(X35/9*100,1))</f>
        <v/>
      </c>
      <c r="Z35" s="25">
        <f>IF(W35="","",IF(W35&gt;=80,"Хангалттай эзэмшиж байна",IF(W35&gt;=50,"Ахиж байна","Хөгжиж байна")))</f>
        <v/>
      </c>
    </row>
    <row r="36" ht="17" customHeight="1">
      <c r="A36" s="12" t="n">
        <v>27</v>
      </c>
      <c r="B36" s="13">
        <f>IF(Нэгтгэл!B33="","",Нэгтгэл!B33)</f>
        <v/>
      </c>
      <c r="C36" s="8" t="n"/>
      <c r="D36" s="12" t="n"/>
      <c r="E36" s="12" t="n"/>
      <c r="F36" s="12" t="n"/>
      <c r="G36" s="12" t="n"/>
      <c r="H36" s="12" t="n"/>
      <c r="I36" s="12" t="n"/>
      <c r="J36" s="12" t="n"/>
      <c r="K36" s="12" t="n"/>
      <c r="L36" s="12" t="n"/>
      <c r="M36" s="12" t="n"/>
      <c r="N36" s="12" t="n"/>
      <c r="O36" s="12" t="n"/>
      <c r="P36" s="12" t="n"/>
      <c r="Q36" s="12" t="n"/>
      <c r="R36" s="12" t="n"/>
      <c r="S36" s="12" t="n"/>
      <c r="T36" s="12" t="n"/>
      <c r="U36" s="12" t="n"/>
      <c r="V36" s="14">
        <f>SUM(D36,F36,H36,J36,L36,N36,P36,R36,T36)</f>
        <v/>
      </c>
      <c r="W36" s="12">
        <f>IF(V36+X36=0,"",ROUND(V36/9*100,1))</f>
        <v/>
      </c>
      <c r="X36" s="14">
        <f>SUM(E36,G36,I36,K36,M36,O36,Q36,S36,U36)</f>
        <v/>
      </c>
      <c r="Y36" s="12">
        <f>IF(V36+X36=0,"",ROUND(X36/9*100,1))</f>
        <v/>
      </c>
      <c r="Z36" s="25">
        <f>IF(W36="","",IF(W36&gt;=80,"Хангалттай эзэмшиж байна",IF(W36&gt;=50,"Ахиж байна","Хөгжиж байна")))</f>
        <v/>
      </c>
    </row>
    <row r="37" ht="17" customHeight="1">
      <c r="A37" s="12" t="n">
        <v>28</v>
      </c>
      <c r="B37" s="13">
        <f>IF(Нэгтгэл!B34="","",Нэгтгэл!B34)</f>
        <v/>
      </c>
      <c r="C37" s="8" t="n"/>
      <c r="D37" s="12" t="n"/>
      <c r="E37" s="12" t="n"/>
      <c r="F37" s="12" t="n"/>
      <c r="G37" s="12" t="n"/>
      <c r="H37" s="12" t="n"/>
      <c r="I37" s="12" t="n"/>
      <c r="J37" s="12" t="n"/>
      <c r="K37" s="12" t="n"/>
      <c r="L37" s="12" t="n"/>
      <c r="M37" s="12" t="n"/>
      <c r="N37" s="12" t="n"/>
      <c r="O37" s="12" t="n"/>
      <c r="P37" s="12" t="n"/>
      <c r="Q37" s="12" t="n"/>
      <c r="R37" s="12" t="n"/>
      <c r="S37" s="12" t="n"/>
      <c r="T37" s="12" t="n"/>
      <c r="U37" s="12" t="n"/>
      <c r="V37" s="14">
        <f>SUM(D37,F37,H37,J37,L37,N37,P37,R37,T37)</f>
        <v/>
      </c>
      <c r="W37" s="12">
        <f>IF(V37+X37=0,"",ROUND(V37/9*100,1))</f>
        <v/>
      </c>
      <c r="X37" s="14">
        <f>SUM(E37,G37,I37,K37,M37,O37,Q37,S37,U37)</f>
        <v/>
      </c>
      <c r="Y37" s="12">
        <f>IF(V37+X37=0,"",ROUND(X37/9*100,1))</f>
        <v/>
      </c>
      <c r="Z37" s="25">
        <f>IF(W37="","",IF(W37&gt;=80,"Хангалттай эзэмшиж байна",IF(W37&gt;=50,"Ахиж байна","Хөгжиж байна")))</f>
        <v/>
      </c>
    </row>
    <row r="38" ht="17" customHeight="1">
      <c r="A38" s="12" t="n">
        <v>29</v>
      </c>
      <c r="B38" s="13">
        <f>IF(Нэгтгэл!B35="","",Нэгтгэл!B35)</f>
        <v/>
      </c>
      <c r="C38" s="8" t="n"/>
      <c r="D38" s="12" t="n"/>
      <c r="E38" s="12" t="n"/>
      <c r="F38" s="12" t="n"/>
      <c r="G38" s="12" t="n"/>
      <c r="H38" s="12" t="n"/>
      <c r="I38" s="12" t="n"/>
      <c r="J38" s="12" t="n"/>
      <c r="K38" s="12" t="n"/>
      <c r="L38" s="12" t="n"/>
      <c r="M38" s="12" t="n"/>
      <c r="N38" s="12" t="n"/>
      <c r="O38" s="12" t="n"/>
      <c r="P38" s="12" t="n"/>
      <c r="Q38" s="12" t="n"/>
      <c r="R38" s="12" t="n"/>
      <c r="S38" s="12" t="n"/>
      <c r="T38" s="12" t="n"/>
      <c r="U38" s="12" t="n"/>
      <c r="V38" s="14">
        <f>SUM(D38,F38,H38,J38,L38,N38,P38,R38,T38)</f>
        <v/>
      </c>
      <c r="W38" s="12">
        <f>IF(V38+X38=0,"",ROUND(V38/9*100,1))</f>
        <v/>
      </c>
      <c r="X38" s="14">
        <f>SUM(E38,G38,I38,K38,M38,O38,Q38,S38,U38)</f>
        <v/>
      </c>
      <c r="Y38" s="12">
        <f>IF(V38+X38=0,"",ROUND(X38/9*100,1))</f>
        <v/>
      </c>
      <c r="Z38" s="25">
        <f>IF(W38="","",IF(W38&gt;=80,"Хангалттай эзэмшиж байна",IF(W38&gt;=50,"Ахиж байна","Хөгжиж байна")))</f>
        <v/>
      </c>
    </row>
    <row r="39" ht="17" customHeight="1">
      <c r="A39" s="12" t="n">
        <v>30</v>
      </c>
      <c r="B39" s="13">
        <f>IF(Нэгтгэл!B36="","",Нэгтгэл!B36)</f>
        <v/>
      </c>
      <c r="C39" s="8" t="n"/>
      <c r="D39" s="12" t="n"/>
      <c r="E39" s="12" t="n"/>
      <c r="F39" s="12" t="n"/>
      <c r="G39" s="12" t="n"/>
      <c r="H39" s="12" t="n"/>
      <c r="I39" s="12" t="n"/>
      <c r="J39" s="12" t="n"/>
      <c r="K39" s="12" t="n"/>
      <c r="L39" s="12" t="n"/>
      <c r="M39" s="12" t="n"/>
      <c r="N39" s="12" t="n"/>
      <c r="O39" s="12" t="n"/>
      <c r="P39" s="12" t="n"/>
      <c r="Q39" s="12" t="n"/>
      <c r="R39" s="12" t="n"/>
      <c r="S39" s="12" t="n"/>
      <c r="T39" s="12" t="n"/>
      <c r="U39" s="12" t="n"/>
      <c r="V39" s="14">
        <f>SUM(D39,F39,H39,J39,L39,N39,P39,R39,T39)</f>
        <v/>
      </c>
      <c r="W39" s="12">
        <f>IF(V39+X39=0,"",ROUND(V39/9*100,1))</f>
        <v/>
      </c>
      <c r="X39" s="14">
        <f>SUM(E39,G39,I39,K39,M39,O39,Q39,S39,U39)</f>
        <v/>
      </c>
      <c r="Y39" s="12">
        <f>IF(V39+X39=0,"",ROUND(X39/9*100,1))</f>
        <v/>
      </c>
      <c r="Z39" s="25">
        <f>IF(W39="","",IF(W39&gt;=80,"Хангалттай эзэмшиж байна",IF(W39&gt;=50,"Ахиж байна","Хөгжиж байна")))</f>
        <v/>
      </c>
    </row>
    <row r="40" ht="18" customHeight="1">
      <c r="A40" s="9" t="inlineStr">
        <is>
          <t>Чадна</t>
        </is>
      </c>
      <c r="B40" s="16" t="n"/>
      <c r="C40" s="16" t="n"/>
      <c r="D40" s="9">
        <f>SUM(D10:D39)</f>
        <v/>
      </c>
      <c r="E40" s="16" t="n"/>
      <c r="F40" s="9">
        <f>SUM(F10:F39)</f>
        <v/>
      </c>
      <c r="G40" s="16" t="n"/>
      <c r="H40" s="9">
        <f>SUM(H10:H39)</f>
        <v/>
      </c>
      <c r="I40" s="16" t="n"/>
      <c r="J40" s="9">
        <f>SUM(J10:J39)</f>
        <v/>
      </c>
      <c r="K40" s="16" t="n"/>
      <c r="L40" s="9">
        <f>SUM(L10:L39)</f>
        <v/>
      </c>
      <c r="M40" s="16" t="n"/>
      <c r="N40" s="9">
        <f>SUM(N10:N39)</f>
        <v/>
      </c>
      <c r="O40" s="16" t="n"/>
      <c r="P40" s="9">
        <f>SUM(P10:P39)</f>
        <v/>
      </c>
      <c r="Q40" s="16" t="n"/>
      <c r="R40" s="9">
        <f>SUM(R10:R39)</f>
        <v/>
      </c>
      <c r="S40" s="16" t="n"/>
      <c r="T40" s="9">
        <f>SUM(T10:T39)</f>
        <v/>
      </c>
      <c r="U40" s="16" t="n"/>
      <c r="V40" s="26" t="inlineStr">
        <is>
          <t>Хангалттай эзэмшиж байна</t>
        </is>
      </c>
      <c r="W40" s="27" t="n"/>
      <c r="X40" s="27" t="n"/>
      <c r="Y40" s="28" t="n"/>
      <c r="Z40" s="9">
        <f>COUNTIF(Z10:Z39,"Хангалттай эзэмшиж байна")</f>
        <v/>
      </c>
    </row>
    <row r="41" ht="18" customHeight="1">
      <c r="A41" s="9" t="inlineStr">
        <is>
          <t>Хувь</t>
        </is>
      </c>
      <c r="B41" s="16" t="n"/>
      <c r="C41" s="16" t="n"/>
      <c r="D41" s="9">
        <f>IF(COUNTIF($B$10:$B$39,"?*")=0,"",ROUND(D40/COUNTIF($B$10:$B$39,"?*")*100,1))</f>
        <v/>
      </c>
      <c r="E41" s="16" t="n"/>
      <c r="F41" s="9">
        <f>IF(COUNTIF($B$10:$B$39,"?*")=0,"",ROUND(F40/COUNTIF($B$10:$B$39,"?*")*100,1))</f>
        <v/>
      </c>
      <c r="G41" s="16" t="n"/>
      <c r="H41" s="9">
        <f>IF(COUNTIF($B$10:$B$39,"?*")=0,"",ROUND(H40/COUNTIF($B$10:$B$39,"?*")*100,1))</f>
        <v/>
      </c>
      <c r="I41" s="16" t="n"/>
      <c r="J41" s="9">
        <f>IF(COUNTIF($B$10:$B$39,"?*")=0,"",ROUND(J40/COUNTIF($B$10:$B$39,"?*")*100,1))</f>
        <v/>
      </c>
      <c r="K41" s="16" t="n"/>
      <c r="L41" s="9">
        <f>IF(COUNTIF($B$10:$B$39,"?*")=0,"",ROUND(L40/COUNTIF($B$10:$B$39,"?*")*100,1))</f>
        <v/>
      </c>
      <c r="M41" s="16" t="n"/>
      <c r="N41" s="9">
        <f>IF(COUNTIF($B$10:$B$39,"?*")=0,"",ROUND(N40/COUNTIF($B$10:$B$39,"?*")*100,1))</f>
        <v/>
      </c>
      <c r="O41" s="16" t="n"/>
      <c r="P41" s="9">
        <f>IF(COUNTIF($B$10:$B$39,"?*")=0,"",ROUND(P40/COUNTIF($B$10:$B$39,"?*")*100,1))</f>
        <v/>
      </c>
      <c r="Q41" s="16" t="n"/>
      <c r="R41" s="9">
        <f>IF(COUNTIF($B$10:$B$39,"?*")=0,"",ROUND(R40/COUNTIF($B$10:$B$39,"?*")*100,1))</f>
        <v/>
      </c>
      <c r="S41" s="16" t="n"/>
      <c r="T41" s="9">
        <f>IF(COUNTIF($B$10:$B$39,"?*")=0,"",ROUND(T40/COUNTIF($B$10:$B$39,"?*")*100,1))</f>
        <v/>
      </c>
      <c r="U41" s="16" t="n"/>
      <c r="V41" s="26" t="inlineStr">
        <is>
          <t>Ахиж байна</t>
        </is>
      </c>
      <c r="W41" s="27" t="n"/>
      <c r="X41" s="27" t="n"/>
      <c r="Y41" s="28" t="n"/>
      <c r="Z41" s="9">
        <f>COUNTIF(Z10:Z39,"Ахиж байна")</f>
        <v/>
      </c>
    </row>
    <row r="42" ht="18" customHeight="1">
      <c r="A42" s="9" t="inlineStr">
        <is>
          <t>Чадахгүй</t>
        </is>
      </c>
      <c r="B42" s="16" t="n"/>
      <c r="C42" s="16" t="n"/>
      <c r="D42" s="9">
        <f>SUM(E10:E39)</f>
        <v/>
      </c>
      <c r="E42" s="16" t="n"/>
      <c r="F42" s="9">
        <f>SUM(G10:G39)</f>
        <v/>
      </c>
      <c r="G42" s="16" t="n"/>
      <c r="H42" s="9">
        <f>SUM(I10:I39)</f>
        <v/>
      </c>
      <c r="I42" s="16" t="n"/>
      <c r="J42" s="9">
        <f>SUM(K10:K39)</f>
        <v/>
      </c>
      <c r="K42" s="16" t="n"/>
      <c r="L42" s="9">
        <f>SUM(M10:M39)</f>
        <v/>
      </c>
      <c r="M42" s="16" t="n"/>
      <c r="N42" s="9">
        <f>SUM(O10:O39)</f>
        <v/>
      </c>
      <c r="O42" s="16" t="n"/>
      <c r="P42" s="9">
        <f>SUM(Q10:Q39)</f>
        <v/>
      </c>
      <c r="Q42" s="16" t="n"/>
      <c r="R42" s="9">
        <f>SUM(S10:S39)</f>
        <v/>
      </c>
      <c r="S42" s="16" t="n"/>
      <c r="T42" s="9">
        <f>SUM(U10:U39)</f>
        <v/>
      </c>
      <c r="U42" s="16" t="n"/>
      <c r="V42" s="26" t="inlineStr">
        <is>
          <t>Хөгжиж байна</t>
        </is>
      </c>
      <c r="W42" s="27" t="n"/>
      <c r="X42" s="27" t="n"/>
      <c r="Y42" s="28" t="n"/>
      <c r="Z42" s="9">
        <f>COUNTIF(Z10:Z39,"Хөгжиж байна")</f>
        <v/>
      </c>
    </row>
    <row r="43" ht="18" customHeight="1">
      <c r="A43" s="9" t="inlineStr">
        <is>
          <t>Хувь</t>
        </is>
      </c>
      <c r="B43" s="16" t="n"/>
      <c r="C43" s="16" t="n"/>
      <c r="D43" s="9">
        <f>IF(COUNTIF($B$10:$B$39,"?*")=0,"",ROUND(D42/COUNTIF($B$10:$B$39,"?*")*100,1))</f>
        <v/>
      </c>
      <c r="E43" s="16" t="n"/>
      <c r="F43" s="9">
        <f>IF(COUNTIF($B$10:$B$39,"?*")=0,"",ROUND(F42/COUNTIF($B$10:$B$39,"?*")*100,1))</f>
        <v/>
      </c>
      <c r="G43" s="16" t="n"/>
      <c r="H43" s="9">
        <f>IF(COUNTIF($B$10:$B$39,"?*")=0,"",ROUND(H42/COUNTIF($B$10:$B$39,"?*")*100,1))</f>
        <v/>
      </c>
      <c r="I43" s="16" t="n"/>
      <c r="J43" s="9">
        <f>IF(COUNTIF($B$10:$B$39,"?*")=0,"",ROUND(J42/COUNTIF($B$10:$B$39,"?*")*100,1))</f>
        <v/>
      </c>
      <c r="K43" s="16" t="n"/>
      <c r="L43" s="9">
        <f>IF(COUNTIF($B$10:$B$39,"?*")=0,"",ROUND(L42/COUNTIF($B$10:$B$39,"?*")*100,1))</f>
        <v/>
      </c>
      <c r="M43" s="16" t="n"/>
      <c r="N43" s="9">
        <f>IF(COUNTIF($B$10:$B$39,"?*")=0,"",ROUND(N42/COUNTIF($B$10:$B$39,"?*")*100,1))</f>
        <v/>
      </c>
      <c r="O43" s="16" t="n"/>
      <c r="P43" s="9">
        <f>IF(COUNTIF($B$10:$B$39,"?*")=0,"",ROUND(P42/COUNTIF($B$10:$B$39,"?*")*100,1))</f>
        <v/>
      </c>
      <c r="Q43" s="16" t="n"/>
      <c r="R43" s="9">
        <f>IF(COUNTIF($B$10:$B$39,"?*")=0,"",ROUND(R42/COUNTIF($B$10:$B$39,"?*")*100,1))</f>
        <v/>
      </c>
      <c r="S43" s="16" t="n"/>
      <c r="T43" s="9">
        <f>IF(COUNTIF($B$10:$B$39,"?*")=0,"",ROUND(T42/COUNTIF($B$10:$B$39,"?*")*100,1))</f>
        <v/>
      </c>
      <c r="U43" s="16" t="n"/>
      <c r="V43" s="16" t="n"/>
      <c r="W43" s="16" t="n"/>
      <c r="X43" s="16" t="n"/>
      <c r="Y43" s="16" t="n"/>
      <c r="Z43" s="16" t="n"/>
    </row>
  </sheetData>
  <mergeCells count="128">
    <mergeCell ref="V41:Y41"/>
    <mergeCell ref="B22:C22"/>
    <mergeCell ref="B31:C31"/>
    <mergeCell ref="B12:C12"/>
    <mergeCell ref="T42:U42"/>
    <mergeCell ref="D6:E6"/>
    <mergeCell ref="B21:C21"/>
    <mergeCell ref="A1:Z1"/>
    <mergeCell ref="P6:Q6"/>
    <mergeCell ref="R6:S6"/>
    <mergeCell ref="B14:C14"/>
    <mergeCell ref="L5:M5"/>
    <mergeCell ref="N5:O5"/>
    <mergeCell ref="A43:C43"/>
    <mergeCell ref="B13:C13"/>
    <mergeCell ref="J4:K4"/>
    <mergeCell ref="B38:C38"/>
    <mergeCell ref="D7:E7"/>
    <mergeCell ref="L4:M4"/>
    <mergeCell ref="D4:E4"/>
    <mergeCell ref="R41:S41"/>
    <mergeCell ref="T41:U41"/>
    <mergeCell ref="L40:M40"/>
    <mergeCell ref="N40:O40"/>
    <mergeCell ref="F43:G43"/>
    <mergeCell ref="B24:C24"/>
    <mergeCell ref="T7:U7"/>
    <mergeCell ref="B33:C33"/>
    <mergeCell ref="P43:Q43"/>
    <mergeCell ref="R43:S43"/>
    <mergeCell ref="T43:U43"/>
    <mergeCell ref="B32:C32"/>
    <mergeCell ref="B26:C26"/>
    <mergeCell ref="B35:C35"/>
    <mergeCell ref="R8:S8"/>
    <mergeCell ref="B16:C16"/>
    <mergeCell ref="L7:M7"/>
    <mergeCell ref="B25:C25"/>
    <mergeCell ref="N7:O7"/>
    <mergeCell ref="A3:A9"/>
    <mergeCell ref="H41:I41"/>
    <mergeCell ref="F6:G6"/>
    <mergeCell ref="W3:W9"/>
    <mergeCell ref="B18:C18"/>
    <mergeCell ref="B27:C27"/>
    <mergeCell ref="B11:C11"/>
    <mergeCell ref="F5:G5"/>
    <mergeCell ref="L42:M42"/>
    <mergeCell ref="N42:O42"/>
    <mergeCell ref="F42:G42"/>
    <mergeCell ref="V42:Y42"/>
    <mergeCell ref="B29:C29"/>
    <mergeCell ref="R42:S42"/>
    <mergeCell ref="B37:C37"/>
    <mergeCell ref="A40:C40"/>
    <mergeCell ref="A2:Z2"/>
    <mergeCell ref="B15:C15"/>
    <mergeCell ref="L6:M6"/>
    <mergeCell ref="N6:O6"/>
    <mergeCell ref="X3:X9"/>
    <mergeCell ref="H5:I5"/>
    <mergeCell ref="Z3:Z9"/>
    <mergeCell ref="N4:O4"/>
    <mergeCell ref="F4:G4"/>
    <mergeCell ref="P4:Q4"/>
    <mergeCell ref="H43:I43"/>
    <mergeCell ref="N41:O41"/>
    <mergeCell ref="P41:Q41"/>
    <mergeCell ref="H40:I40"/>
    <mergeCell ref="F7:G7"/>
    <mergeCell ref="J40:K40"/>
    <mergeCell ref="A42:C42"/>
    <mergeCell ref="L43:M43"/>
    <mergeCell ref="R7:S7"/>
    <mergeCell ref="N43:O43"/>
    <mergeCell ref="B17:C17"/>
    <mergeCell ref="L8:M8"/>
    <mergeCell ref="N8:O8"/>
    <mergeCell ref="F8:G8"/>
    <mergeCell ref="T40:U40"/>
    <mergeCell ref="B19:C19"/>
    <mergeCell ref="B34:C34"/>
    <mergeCell ref="B28:C28"/>
    <mergeCell ref="T8:U8"/>
    <mergeCell ref="B30:C30"/>
    <mergeCell ref="T6:U6"/>
    <mergeCell ref="B20:C20"/>
    <mergeCell ref="D5:E5"/>
    <mergeCell ref="H42:I42"/>
    <mergeCell ref="J42:K42"/>
    <mergeCell ref="P5:Q5"/>
    <mergeCell ref="R5:S5"/>
    <mergeCell ref="A41:C41"/>
    <mergeCell ref="J5:K5"/>
    <mergeCell ref="T5:U5"/>
    <mergeCell ref="H4:I4"/>
    <mergeCell ref="D40:E40"/>
    <mergeCell ref="F40:G40"/>
    <mergeCell ref="R4:S4"/>
    <mergeCell ref="T4:U4"/>
    <mergeCell ref="B39:C39"/>
    <mergeCell ref="P40:Q40"/>
    <mergeCell ref="R40:S40"/>
    <mergeCell ref="H6:I6"/>
    <mergeCell ref="J6:K6"/>
    <mergeCell ref="B3:C9"/>
    <mergeCell ref="P8:Q8"/>
    <mergeCell ref="B23:C23"/>
    <mergeCell ref="V3:V9"/>
    <mergeCell ref="D41:E41"/>
    <mergeCell ref="F41:G41"/>
    <mergeCell ref="D3:U3"/>
    <mergeCell ref="P7:Q7"/>
    <mergeCell ref="H7:I7"/>
    <mergeCell ref="D43:E43"/>
    <mergeCell ref="J7:K7"/>
    <mergeCell ref="B10:C10"/>
    <mergeCell ref="J41:K41"/>
    <mergeCell ref="Y3:Y9"/>
    <mergeCell ref="L41:M41"/>
    <mergeCell ref="D8:E8"/>
    <mergeCell ref="V40:Y40"/>
    <mergeCell ref="J43:K43"/>
    <mergeCell ref="D42:E42"/>
    <mergeCell ref="P42:Q42"/>
    <mergeCell ref="B36:C36"/>
    <mergeCell ref="H8:I8"/>
    <mergeCell ref="J8:K8"/>
  </mergeCells>
  <dataValidations count="1">
    <dataValidation sqref="D10 D11 D12 D13 D14 D15 D16 D17 D18 D19 D20 D21 D22 D23 D24 D25 D26 D27 D28 D29 D30 D31 D32 D33 D34 D35 D36 D37 D38 D39 E10 E11 E12 E13 E14 E15 E16 E17 E18 E19 E20 E21 E22 E23 E24 E25 E26 E27 E28 E29 E30 E31 E32 E33 E34 E35 E36 E37 E38 E39 F10 F11 F12 F13 F14 F15 F16 F17 F18 F19 F20 F21 F22 F23 F24 F25 F26 F27 F28 F29 F30 F31 F32 F33 F34 F35 F36 F37 F38 F39 G10 G11 G12 G13 G14 G15 G16 G17 G18 G19 G20 G21 G22 G23 G24 G25 G26 G27 G28 G29 G30 G31 G32 G33 G34 G35 G36 G37 G38 G39 H10 H11 H12 H13 H14 H15 H16 H17 H18 H19 H20 H21 H22 H23 H24 H25 H26 H27 H28 H29 H30 H31 H32 H33 H34 H35 H36 H37 H38 H39 I10 I11 I12 I13 I14 I15 I16 I17 I18 I19 I20 I21 I22 I23 I24 I25 I26 I27 I28 I29 I30 I31 I32 I33 I34 I35 I36 I37 I38 I39 J10 J11 J12 J13 J14 J15 J16 J17 J18 J19 J20 J21 J22 J23 J24 J25 J26 J27 J28 J29 J30 J31 J32 J33 J34 J35 J36 J37 J38 J39 K10 K11 K12 K13 K14 K15 K16 K17 K18 K19 K20 K21 K22 K23 K24 K25 K26 K27 K28 K29 K30 K31 K32 K33 K34 K35 K36 K37 K38 K39 L10 L11 L12 L13 L14 L15 L16 L17 L18 L19 L20 L21 L22 L23 L24 L25 L26 L27 L28 L29 L30 L31 L32 L33 L34 L35 L36 L37 L38 L39 M10 M11 M12 M13 M14 M15 M16 M17 M18 M19 M20 M21 M22 M23 M24 M25 M26 M27 M28 M29 M30 M31 M32 M33 M34 M35 M36 M37 M38 M39 N10 N11 N12 N13 N14 N15 N16 N17 N18 N19 N20 N21 N22 N23 N24 N25 N26 N27 N28 N29 N30 N31 N32 N33 N34 N35 N36 N37 N38 N39 O10 O11 O12 O13 O14 O15 O16 O17 O18 O19 O20 O21 O22 O23 O24 O25 O26 O27 O28 O29 O30 O31 O32 O33 O34 O35 O36 O37 O38 O39 P10 P11 P12 P13 P14 P15 P16 P17 P18 P19 P20 P21 P22 P23 P24 P25 P26 P27 P28 P29 P30 P31 P32 P33 P34 P35 P36 P37 P38 P39 Q10 Q11 Q12 Q13 Q14 Q15 Q16 Q17 Q18 Q19 Q20 Q21 Q22 Q23 Q24 Q25 Q26 Q27 Q28 Q29 Q30 Q31 Q32 Q33 Q34 Q35 Q36 Q37 Q38 Q39 R10 R11 R12 R13 R14 R15 R16 R17 R18 R19 R20 R21 R22 R23 R24 R25 R26 R27 R28 R29 R30 R31 R32 R33 R34 R35 R36 R37 R38 R39 S10 S11 S12 S13 S14 S15 S16 S17 S18 S19 S20 S21 S22 S23 S24 S25 S26 S27 S28 S29 S30 S31 S32 S33 S34 S35 S36 S37 S38 S39 T10 T11 T12 T13 T14 T15 T16 T17 T18 T19 T20 T21 T22 T23 T24 T25 T26 T27 T28 T29 T30 T31 T32 T33 T34 T35 T36 T37 T38 T39 U10 U11 U12 U13 U14 U15 U16 U17 U18 U19 U20 U21 U22 U23 U24 U25 U26 U27 U28 U29 U30 U31 U32 U33 U34 U35 U36 U37 U38 U39" showDropDown="0" showInputMessage="0" showErrorMessage="1" allowBlank="1" errorTitle="Зөвхөн 1" error="Чадна эсвэл Чадахгүй нүдэнд 1 гэж бичнэ." type="whole" operator="equal">
      <formula1>1</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2026-10-11T16:22:01Z</dcterms:created>
  <dcterms:modified xmlns:dcterms="http://purl.org/dc/terms/" xmlns:xsi="http://www.w3.org/2001/XMLSchema-instance" xsi:type="dcterms:W3CDTF">2026-10-11T16:22:02Z</dcterms:modified>
</cp:coreProperties>
</file>
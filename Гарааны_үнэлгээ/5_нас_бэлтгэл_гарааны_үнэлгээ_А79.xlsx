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эгтгэл" sheetId="1" state="visible" r:id="rId1"/>
    <sheet xmlns:r="http://schemas.openxmlformats.org/officeDocument/2006/relationships" name="Мэдлэг" sheetId="2" state="visible" r:id="rId2"/>
    <sheet xmlns:r="http://schemas.openxmlformats.org/officeDocument/2006/relationships" name="Чадвар" sheetId="3" state="visible" r:id="rId3"/>
    <sheet xmlns:r="http://schemas.openxmlformats.org/officeDocument/2006/relationships" name="Төлөвшил" sheetId="4" state="visible" r:id="rId4"/>
  </sheets>
  <definedNames>
    <definedName name="_xlnm.Print_Titles" localSheetId="0">'Нэгтгэл'!$3:$6</definedName>
    <definedName name="_xlnm.Print_Area" localSheetId="0">'Нэгтгэл'!$A$1:$H$41</definedName>
    <definedName name="_xlnm.Print_Titles" localSheetId="1">'Мэдлэг'!$3:$6</definedName>
    <definedName name="_xlnm.Print_Area" localSheetId="1">'Мэдлэг'!$A$1:$P$41</definedName>
    <definedName name="_xlnm.Print_Titles" localSheetId="2">'Чадвар'!$3:$6</definedName>
    <definedName name="_xlnm.Print_Area" localSheetId="2">'Чадвар'!$A$1:$AJ$41</definedName>
    <definedName name="_xlnm.Print_Titles" localSheetId="3">'Төлөвшил'!$3:$6</definedName>
    <definedName name="_xlnm.Print_Area" localSheetId="3">'Төлөвшил'!$A$1:$U$41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2"/>
    </font>
    <font>
      <name val="Arial"/>
      <sz val="11"/>
    </font>
    <font>
      <name val="Arial"/>
      <b val="1"/>
      <sz val="10"/>
    </font>
    <font>
      <name val="Arial"/>
      <b val="1"/>
      <sz val="9"/>
    </font>
    <font>
      <name val="Arial"/>
      <sz val="8"/>
    </font>
    <font>
      <name val="Arial"/>
      <b val="1"/>
      <sz val="8"/>
    </font>
    <font>
      <name val="Arial"/>
      <sz val="10"/>
    </font>
    <font>
      <name val="Arial"/>
      <sz val="9"/>
    </font>
    <font>
      <name val="Arial"/>
      <i val="1"/>
      <sz val="8"/>
    </font>
  </fonts>
  <fills count="6">
    <fill>
      <patternFill/>
    </fill>
    <fill>
      <patternFill patternType="gray125"/>
    </fill>
    <fill>
      <patternFill patternType="solid">
        <fgColor rgb="00DDEBF7"/>
      </patternFill>
    </fill>
    <fill>
      <patternFill patternType="solid">
        <fgColor rgb="00E2EFDA"/>
      </patternFill>
    </fill>
    <fill>
      <patternFill patternType="solid">
        <fgColor rgb="00F2F2F2"/>
      </patternFill>
    </fill>
    <fill>
      <patternFill patternType="solid">
        <fgColor rgb="00FFFDE7"/>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1" pivotButton="0" quotePrefix="0" xfId="0"/>
    <xf numFmtId="0" fontId="3" fillId="3" borderId="1" applyAlignment="1" pivotButton="0" quotePrefix="0" xfId="0">
      <alignment horizontal="center" vertical="center" wrapText="1"/>
    </xf>
    <xf numFmtId="0" fontId="4" fillId="2" borderId="1" applyAlignment="1" pivotButton="0" quotePrefix="0" xfId="0">
      <alignment horizontal="center" vertical="center" wrapText="1"/>
    </xf>
    <xf numFmtId="0" fontId="0" fillId="2" borderId="1" pivotButton="0" quotePrefix="0" xfId="0"/>
    <xf numFmtId="0" fontId="8" fillId="0" borderId="1" applyAlignment="1" pivotButton="0" quotePrefix="0" xfId="0">
      <alignment horizontal="left" vertical="center" wrapText="1"/>
    </xf>
    <xf numFmtId="0" fontId="3" fillId="5" borderId="1" applyAlignment="1" pivotButton="0" quotePrefix="0" xfId="0">
      <alignment horizontal="center" vertical="center" wrapText="1"/>
    </xf>
    <xf numFmtId="0" fontId="6" fillId="2" borderId="1" applyAlignment="1" pivotButton="0" quotePrefix="0" xfId="0">
      <alignment horizontal="center" vertical="center" wrapText="1"/>
    </xf>
    <xf numFmtId="0" fontId="9" fillId="0" borderId="0" applyAlignment="1" pivotButton="0" quotePrefix="0" xfId="0">
      <alignment horizontal="left" vertical="center" wrapText="1"/>
    </xf>
    <xf numFmtId="0" fontId="7" fillId="0"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0" fillId="3" borderId="1" pivotButton="0" quotePrefix="0" xfId="0"/>
    <xf numFmtId="0" fontId="7"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0" borderId="0" applyAlignment="1" pivotButton="0" quotePrefix="0" xfId="0">
      <alignment horizontal="left" vertical="center" wrapText="1"/>
    </xf>
    <xf numFmtId="0" fontId="5" fillId="4"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41"/>
  <sheetViews>
    <sheetView workbookViewId="0">
      <selection activeCell="A1" sqref="A1"/>
    </sheetView>
  </sheetViews>
  <sheetFormatPr baseColWidth="8" defaultRowHeight="15"/>
  <cols>
    <col width="4.5" customWidth="1" min="1" max="1"/>
    <col width="10" customWidth="1" min="2" max="2"/>
    <col width="11" customWidth="1" min="3" max="3"/>
    <col width="11" customWidth="1" min="4" max="4"/>
    <col width="11" customWidth="1" min="5" max="5"/>
    <col width="11" customWidth="1" min="6" max="6"/>
    <col width="9" customWidth="1" min="7" max="7"/>
    <col width="22" customWidth="1" min="8" max="8"/>
    <col width="2" customWidth="1" min="9" max="9"/>
    <col width="26" customWidth="1" min="10" max="10"/>
    <col width="8" customWidth="1" min="11" max="11"/>
  </cols>
  <sheetData>
    <row r="1">
      <c r="A1" s="1" t="inlineStr">
        <is>
          <t>................ ЦЭЦЭРЛЭГИЙН БЭЛТГЭЛ БҮЛГИЙН (5 НАС) ГАРААНЫ (ОНОШЛОХ) ҮНЭЛГЭЭНИЙ НЭГТГЭЛ</t>
        </is>
      </c>
    </row>
    <row r="2">
      <c r="A2" s="2" t="inlineStr">
        <is>
          <t>Огноо: 20.... оны .... сар     Багш: ....................     Хүүхдийн кодыг B баганад бичнэ.</t>
        </is>
      </c>
    </row>
    <row r="3">
      <c r="A3" s="3" t="inlineStr">
        <is>
          <t>№</t>
        </is>
      </c>
      <c r="B3" s="3" t="inlineStr">
        <is>
          <t>Хүүхдийн код</t>
        </is>
      </c>
      <c r="C3" s="3" t="inlineStr">
        <is>
          <t>«Чадна» хувь (%)</t>
        </is>
      </c>
      <c r="D3" s="4" t="n"/>
      <c r="E3" s="4" t="n"/>
      <c r="F3" s="5" t="inlineStr">
        <is>
          <t>Нийт чадна (49-аас)</t>
        </is>
      </c>
      <c r="G3" s="5" t="inlineStr">
        <is>
          <t>Нийт хувь</t>
        </is>
      </c>
      <c r="H3" s="5" t="inlineStr">
        <is>
          <t>Түвшин</t>
        </is>
      </c>
      <c r="J3" s="6" t="inlineStr">
        <is>
          <t>Түвшний босго (%) — өөрчилж болно</t>
        </is>
      </c>
      <c r="K3" s="7" t="n"/>
    </row>
    <row r="4">
      <c r="A4" s="4" t="n"/>
      <c r="B4" s="4" t="n"/>
      <c r="C4" s="6" t="inlineStr">
        <is>
          <t>Үнэлгээний хүрээ</t>
        </is>
      </c>
      <c r="D4" s="4" t="n"/>
      <c r="E4" s="4" t="n"/>
      <c r="F4" s="4" t="n"/>
      <c r="G4" s="4" t="n"/>
      <c r="H4" s="4" t="n"/>
      <c r="J4" s="8" t="inlineStr">
        <is>
          <t>Хангалттай эзэмшиж байна ≥</t>
        </is>
      </c>
      <c r="K4" s="9" t="n">
        <v>80</v>
      </c>
    </row>
    <row r="5" ht="18" customHeight="1">
      <c r="A5" s="4" t="n"/>
      <c r="B5" s="4" t="n"/>
      <c r="C5" s="6" t="inlineStr">
        <is>
          <t>Мэдлэг</t>
        </is>
      </c>
      <c r="D5" s="6" t="inlineStr">
        <is>
          <t>Чадвар</t>
        </is>
      </c>
      <c r="E5" s="6" t="inlineStr">
        <is>
          <t>Төлөвшил</t>
        </is>
      </c>
      <c r="F5" s="4" t="n"/>
      <c r="G5" s="4" t="n"/>
      <c r="H5" s="4" t="n"/>
      <c r="J5" s="8" t="inlineStr">
        <is>
          <t>Ахиж байна ≥</t>
        </is>
      </c>
      <c r="K5" s="9" t="n">
        <v>50</v>
      </c>
    </row>
    <row r="6">
      <c r="A6" s="4" t="n"/>
      <c r="B6" s="4" t="n"/>
      <c r="C6" s="10" t="n">
        <v>8</v>
      </c>
      <c r="D6" s="10" t="n">
        <v>28</v>
      </c>
      <c r="E6" s="10" t="n">
        <v>13</v>
      </c>
      <c r="F6" s="4" t="n"/>
      <c r="G6" s="4" t="n"/>
      <c r="H6" s="4" t="n"/>
      <c r="J6" s="11" t="inlineStr">
        <is>
          <t>Бусад нь «Хөгжиж байна» (А/79, 2.10)</t>
        </is>
      </c>
    </row>
    <row r="7" ht="16" customHeight="1">
      <c r="A7" s="12" t="n">
        <v>1</v>
      </c>
      <c r="B7" s="13" t="inlineStr">
        <is>
          <t>Х-01</t>
        </is>
      </c>
      <c r="C7" s="12">
        <f>IF(COUNT('Мэдлэг'!D7:K7)=0,"",ROUND(COUNTIF('Мэдлэг'!D7:K7,1)/8*100,1))</f>
        <v/>
      </c>
      <c r="D7" s="12">
        <f>IF(COUNT('Чадвар'!D7:AE7)=0,"",ROUND(COUNTIF('Чадвар'!D7:AE7,1)/28*100,1))</f>
        <v/>
      </c>
      <c r="E7" s="12">
        <f>IF(COUNT('Төлөвшил'!D7:P7)=0,"",ROUND(COUNTIF('Төлөвшил'!D7:P7,1)/13*100,1))</f>
        <v/>
      </c>
      <c r="F7" s="12">
        <f>COUNTIF('Мэдлэг'!D7:K7,1)+COUNTIF('Чадвар'!D7:AE7,1)+COUNTIF('Төлөвшил'!D7:P7,1)</f>
        <v/>
      </c>
      <c r="G7" s="12">
        <f>IF((COUNT('Мэдлэг'!D7:K7)+COUNT('Чадвар'!D7:AE7)+COUNT('Төлөвшил'!D7:P7))=0,"",ROUND(F7/49*100,1))</f>
        <v/>
      </c>
      <c r="H7" s="14">
        <f>IF(G7="","",IF(G7&gt;=Нэгтгэл!$K$4,"Хангалттай эзэмшиж байна",IF(G7&gt;=Нэгтгэл!$K$5,"Ахиж байна","Хөгжиж байна")))</f>
        <v/>
      </c>
    </row>
    <row r="8" ht="16" customHeight="1">
      <c r="A8" s="12" t="n">
        <v>2</v>
      </c>
      <c r="B8" s="13" t="inlineStr">
        <is>
          <t>Х-02</t>
        </is>
      </c>
      <c r="C8" s="12">
        <f>IF(COUNT('Мэдлэг'!D8:K8)=0,"",ROUND(COUNTIF('Мэдлэг'!D8:K8,1)/8*100,1))</f>
        <v/>
      </c>
      <c r="D8" s="12">
        <f>IF(COUNT('Чадвар'!D8:AE8)=0,"",ROUND(COUNTIF('Чадвар'!D8:AE8,1)/28*100,1))</f>
        <v/>
      </c>
      <c r="E8" s="12">
        <f>IF(COUNT('Төлөвшил'!D8:P8)=0,"",ROUND(COUNTIF('Төлөвшил'!D8:P8,1)/13*100,1))</f>
        <v/>
      </c>
      <c r="F8" s="12">
        <f>COUNTIF('Мэдлэг'!D8:K8,1)+COUNTIF('Чадвар'!D8:AE8,1)+COUNTIF('Төлөвшил'!D8:P8,1)</f>
        <v/>
      </c>
      <c r="G8" s="12">
        <f>IF((COUNT('Мэдлэг'!D8:K8)+COUNT('Чадвар'!D8:AE8)+COUNT('Төлөвшил'!D8:P8))=0,"",ROUND(F8/49*100,1))</f>
        <v/>
      </c>
      <c r="H8" s="14">
        <f>IF(G8="","",IF(G8&gt;=Нэгтгэл!$K$4,"Хангалттай эзэмшиж байна",IF(G8&gt;=Нэгтгэл!$K$5,"Ахиж байна","Хөгжиж байна")))</f>
        <v/>
      </c>
    </row>
    <row r="9" ht="16" customHeight="1">
      <c r="A9" s="12" t="n">
        <v>3</v>
      </c>
      <c r="B9" s="13" t="inlineStr">
        <is>
          <t>Х-03</t>
        </is>
      </c>
      <c r="C9" s="12">
        <f>IF(COUNT('Мэдлэг'!D9:K9)=0,"",ROUND(COUNTIF('Мэдлэг'!D9:K9,1)/8*100,1))</f>
        <v/>
      </c>
      <c r="D9" s="12">
        <f>IF(COUNT('Чадвар'!D9:AE9)=0,"",ROUND(COUNTIF('Чадвар'!D9:AE9,1)/28*100,1))</f>
        <v/>
      </c>
      <c r="E9" s="12">
        <f>IF(COUNT('Төлөвшил'!D9:P9)=0,"",ROUND(COUNTIF('Төлөвшил'!D9:P9,1)/13*100,1))</f>
        <v/>
      </c>
      <c r="F9" s="12">
        <f>COUNTIF('Мэдлэг'!D9:K9,1)+COUNTIF('Чадвар'!D9:AE9,1)+COUNTIF('Төлөвшил'!D9:P9,1)</f>
        <v/>
      </c>
      <c r="G9" s="12">
        <f>IF((COUNT('Мэдлэг'!D9:K9)+COUNT('Чадвар'!D9:AE9)+COUNT('Төлөвшил'!D9:P9))=0,"",ROUND(F9/49*100,1))</f>
        <v/>
      </c>
      <c r="H9" s="14">
        <f>IF(G9="","",IF(G9&gt;=Нэгтгэл!$K$4,"Хангалттай эзэмшиж байна",IF(G9&gt;=Нэгтгэл!$K$5,"Ахиж байна","Хөгжиж байна")))</f>
        <v/>
      </c>
    </row>
    <row r="10" ht="16" customHeight="1">
      <c r="A10" s="12" t="n">
        <v>4</v>
      </c>
      <c r="B10" s="13" t="inlineStr">
        <is>
          <t>Х-04</t>
        </is>
      </c>
      <c r="C10" s="12">
        <f>IF(COUNT('Мэдлэг'!D10:K10)=0,"",ROUND(COUNTIF('Мэдлэг'!D10:K10,1)/8*100,1))</f>
        <v/>
      </c>
      <c r="D10" s="12">
        <f>IF(COUNT('Чадвар'!D10:AE10)=0,"",ROUND(COUNTIF('Чадвар'!D10:AE10,1)/28*100,1))</f>
        <v/>
      </c>
      <c r="E10" s="12">
        <f>IF(COUNT('Төлөвшил'!D10:P10)=0,"",ROUND(COUNTIF('Төлөвшил'!D10:P10,1)/13*100,1))</f>
        <v/>
      </c>
      <c r="F10" s="12">
        <f>COUNTIF('Мэдлэг'!D10:K10,1)+COUNTIF('Чадвар'!D10:AE10,1)+COUNTIF('Төлөвшил'!D10:P10,1)</f>
        <v/>
      </c>
      <c r="G10" s="12">
        <f>IF((COUNT('Мэдлэг'!D10:K10)+COUNT('Чадвар'!D10:AE10)+COUNT('Төлөвшил'!D10:P10))=0,"",ROUND(F10/49*100,1))</f>
        <v/>
      </c>
      <c r="H10" s="14">
        <f>IF(G10="","",IF(G10&gt;=Нэгтгэл!$K$4,"Хангалттай эзэмшиж байна",IF(G10&gt;=Нэгтгэл!$K$5,"Ахиж байна","Хөгжиж байна")))</f>
        <v/>
      </c>
    </row>
    <row r="11" ht="16" customHeight="1">
      <c r="A11" s="12" t="n">
        <v>5</v>
      </c>
      <c r="B11" s="13" t="inlineStr">
        <is>
          <t>Х-05</t>
        </is>
      </c>
      <c r="C11" s="12">
        <f>IF(COUNT('Мэдлэг'!D11:K11)=0,"",ROUND(COUNTIF('Мэдлэг'!D11:K11,1)/8*100,1))</f>
        <v/>
      </c>
      <c r="D11" s="12">
        <f>IF(COUNT('Чадвар'!D11:AE11)=0,"",ROUND(COUNTIF('Чадвар'!D11:AE11,1)/28*100,1))</f>
        <v/>
      </c>
      <c r="E11" s="12">
        <f>IF(COUNT('Төлөвшил'!D11:P11)=0,"",ROUND(COUNTIF('Төлөвшил'!D11:P11,1)/13*100,1))</f>
        <v/>
      </c>
      <c r="F11" s="12">
        <f>COUNTIF('Мэдлэг'!D11:K11,1)+COUNTIF('Чадвар'!D11:AE11,1)+COUNTIF('Төлөвшил'!D11:P11,1)</f>
        <v/>
      </c>
      <c r="G11" s="12">
        <f>IF((COUNT('Мэдлэг'!D11:K11)+COUNT('Чадвар'!D11:AE11)+COUNT('Төлөвшил'!D11:P11))=0,"",ROUND(F11/49*100,1))</f>
        <v/>
      </c>
      <c r="H11" s="14">
        <f>IF(G11="","",IF(G11&gt;=Нэгтгэл!$K$4,"Хангалттай эзэмшиж байна",IF(G11&gt;=Нэгтгэл!$K$5,"Ахиж байна","Хөгжиж байна")))</f>
        <v/>
      </c>
    </row>
    <row r="12" ht="16" customHeight="1">
      <c r="A12" s="12" t="n">
        <v>6</v>
      </c>
      <c r="B12" s="13" t="inlineStr">
        <is>
          <t>Х-06</t>
        </is>
      </c>
      <c r="C12" s="12">
        <f>IF(COUNT('Мэдлэг'!D12:K12)=0,"",ROUND(COUNTIF('Мэдлэг'!D12:K12,1)/8*100,1))</f>
        <v/>
      </c>
      <c r="D12" s="12">
        <f>IF(COUNT('Чадвар'!D12:AE12)=0,"",ROUND(COUNTIF('Чадвар'!D12:AE12,1)/28*100,1))</f>
        <v/>
      </c>
      <c r="E12" s="12">
        <f>IF(COUNT('Төлөвшил'!D12:P12)=0,"",ROUND(COUNTIF('Төлөвшил'!D12:P12,1)/13*100,1))</f>
        <v/>
      </c>
      <c r="F12" s="12">
        <f>COUNTIF('Мэдлэг'!D12:K12,1)+COUNTIF('Чадвар'!D12:AE12,1)+COUNTIF('Төлөвшил'!D12:P12,1)</f>
        <v/>
      </c>
      <c r="G12" s="12">
        <f>IF((COUNT('Мэдлэг'!D12:K12)+COUNT('Чадвар'!D12:AE12)+COUNT('Төлөвшил'!D12:P12))=0,"",ROUND(F12/49*100,1))</f>
        <v/>
      </c>
      <c r="H12" s="14">
        <f>IF(G12="","",IF(G12&gt;=Нэгтгэл!$K$4,"Хангалттай эзэмшиж байна",IF(G12&gt;=Нэгтгэл!$K$5,"Ахиж байна","Хөгжиж байна")))</f>
        <v/>
      </c>
    </row>
    <row r="13" ht="16" customHeight="1">
      <c r="A13" s="12" t="n">
        <v>7</v>
      </c>
      <c r="B13" s="13" t="inlineStr">
        <is>
          <t>Х-07</t>
        </is>
      </c>
      <c r="C13" s="12">
        <f>IF(COUNT('Мэдлэг'!D13:K13)=0,"",ROUND(COUNTIF('Мэдлэг'!D13:K13,1)/8*100,1))</f>
        <v/>
      </c>
      <c r="D13" s="12">
        <f>IF(COUNT('Чадвар'!D13:AE13)=0,"",ROUND(COUNTIF('Чадвар'!D13:AE13,1)/28*100,1))</f>
        <v/>
      </c>
      <c r="E13" s="12">
        <f>IF(COUNT('Төлөвшил'!D13:P13)=0,"",ROUND(COUNTIF('Төлөвшил'!D13:P13,1)/13*100,1))</f>
        <v/>
      </c>
      <c r="F13" s="12">
        <f>COUNTIF('Мэдлэг'!D13:K13,1)+COUNTIF('Чадвар'!D13:AE13,1)+COUNTIF('Төлөвшил'!D13:P13,1)</f>
        <v/>
      </c>
      <c r="G13" s="12">
        <f>IF((COUNT('Мэдлэг'!D13:K13)+COUNT('Чадвар'!D13:AE13)+COUNT('Төлөвшил'!D13:P13))=0,"",ROUND(F13/49*100,1))</f>
        <v/>
      </c>
      <c r="H13" s="14">
        <f>IF(G13="","",IF(G13&gt;=Нэгтгэл!$K$4,"Хангалттай эзэмшиж байна",IF(G13&gt;=Нэгтгэл!$K$5,"Ахиж байна","Хөгжиж байна")))</f>
        <v/>
      </c>
    </row>
    <row r="14" ht="16" customHeight="1">
      <c r="A14" s="12" t="n">
        <v>8</v>
      </c>
      <c r="B14" s="13" t="inlineStr">
        <is>
          <t>Х-08</t>
        </is>
      </c>
      <c r="C14" s="12">
        <f>IF(COUNT('Мэдлэг'!D14:K14)=0,"",ROUND(COUNTIF('Мэдлэг'!D14:K14,1)/8*100,1))</f>
        <v/>
      </c>
      <c r="D14" s="12">
        <f>IF(COUNT('Чадвар'!D14:AE14)=0,"",ROUND(COUNTIF('Чадвар'!D14:AE14,1)/28*100,1))</f>
        <v/>
      </c>
      <c r="E14" s="12">
        <f>IF(COUNT('Төлөвшил'!D14:P14)=0,"",ROUND(COUNTIF('Төлөвшил'!D14:P14,1)/13*100,1))</f>
        <v/>
      </c>
      <c r="F14" s="12">
        <f>COUNTIF('Мэдлэг'!D14:K14,1)+COUNTIF('Чадвар'!D14:AE14,1)+COUNTIF('Төлөвшил'!D14:P14,1)</f>
        <v/>
      </c>
      <c r="G14" s="12">
        <f>IF((COUNT('Мэдлэг'!D14:K14)+COUNT('Чадвар'!D14:AE14)+COUNT('Төлөвшил'!D14:P14))=0,"",ROUND(F14/49*100,1))</f>
        <v/>
      </c>
      <c r="H14" s="14">
        <f>IF(G14="","",IF(G14&gt;=Нэгтгэл!$K$4,"Хангалттай эзэмшиж байна",IF(G14&gt;=Нэгтгэл!$K$5,"Ахиж байна","Хөгжиж байна")))</f>
        <v/>
      </c>
    </row>
    <row r="15" ht="16" customHeight="1">
      <c r="A15" s="12" t="n">
        <v>9</v>
      </c>
      <c r="B15" s="13" t="inlineStr">
        <is>
          <t>Х-09</t>
        </is>
      </c>
      <c r="C15" s="12">
        <f>IF(COUNT('Мэдлэг'!D15:K15)=0,"",ROUND(COUNTIF('Мэдлэг'!D15:K15,1)/8*100,1))</f>
        <v/>
      </c>
      <c r="D15" s="12">
        <f>IF(COUNT('Чадвар'!D15:AE15)=0,"",ROUND(COUNTIF('Чадвар'!D15:AE15,1)/28*100,1))</f>
        <v/>
      </c>
      <c r="E15" s="12">
        <f>IF(COUNT('Төлөвшил'!D15:P15)=0,"",ROUND(COUNTIF('Төлөвшил'!D15:P15,1)/13*100,1))</f>
        <v/>
      </c>
      <c r="F15" s="12">
        <f>COUNTIF('Мэдлэг'!D15:K15,1)+COUNTIF('Чадвар'!D15:AE15,1)+COUNTIF('Төлөвшил'!D15:P15,1)</f>
        <v/>
      </c>
      <c r="G15" s="12">
        <f>IF((COUNT('Мэдлэг'!D15:K15)+COUNT('Чадвар'!D15:AE15)+COUNT('Төлөвшил'!D15:P15))=0,"",ROUND(F15/49*100,1))</f>
        <v/>
      </c>
      <c r="H15" s="14">
        <f>IF(G15="","",IF(G15&gt;=Нэгтгэл!$K$4,"Хангалттай эзэмшиж байна",IF(G15&gt;=Нэгтгэл!$K$5,"Ахиж байна","Хөгжиж байна")))</f>
        <v/>
      </c>
    </row>
    <row r="16" ht="16" customHeight="1">
      <c r="A16" s="12" t="n">
        <v>10</v>
      </c>
      <c r="B16" s="13" t="inlineStr">
        <is>
          <t>Х-10</t>
        </is>
      </c>
      <c r="C16" s="12">
        <f>IF(COUNT('Мэдлэг'!D16:K16)=0,"",ROUND(COUNTIF('Мэдлэг'!D16:K16,1)/8*100,1))</f>
        <v/>
      </c>
      <c r="D16" s="12">
        <f>IF(COUNT('Чадвар'!D16:AE16)=0,"",ROUND(COUNTIF('Чадвар'!D16:AE16,1)/28*100,1))</f>
        <v/>
      </c>
      <c r="E16" s="12">
        <f>IF(COUNT('Төлөвшил'!D16:P16)=0,"",ROUND(COUNTIF('Төлөвшил'!D16:P16,1)/13*100,1))</f>
        <v/>
      </c>
      <c r="F16" s="12">
        <f>COUNTIF('Мэдлэг'!D16:K16,1)+COUNTIF('Чадвар'!D16:AE16,1)+COUNTIF('Төлөвшил'!D16:P16,1)</f>
        <v/>
      </c>
      <c r="G16" s="12">
        <f>IF((COUNT('Мэдлэг'!D16:K16)+COUNT('Чадвар'!D16:AE16)+COUNT('Төлөвшил'!D16:P16))=0,"",ROUND(F16/49*100,1))</f>
        <v/>
      </c>
      <c r="H16" s="14">
        <f>IF(G16="","",IF(G16&gt;=Нэгтгэл!$K$4,"Хангалттай эзэмшиж байна",IF(G16&gt;=Нэгтгэл!$K$5,"Ахиж байна","Хөгжиж байна")))</f>
        <v/>
      </c>
    </row>
    <row r="17" ht="16" customHeight="1">
      <c r="A17" s="12" t="n">
        <v>11</v>
      </c>
      <c r="B17" s="13" t="inlineStr">
        <is>
          <t>Х-11</t>
        </is>
      </c>
      <c r="C17" s="12">
        <f>IF(COUNT('Мэдлэг'!D17:K17)=0,"",ROUND(COUNTIF('Мэдлэг'!D17:K17,1)/8*100,1))</f>
        <v/>
      </c>
      <c r="D17" s="12">
        <f>IF(COUNT('Чадвар'!D17:AE17)=0,"",ROUND(COUNTIF('Чадвар'!D17:AE17,1)/28*100,1))</f>
        <v/>
      </c>
      <c r="E17" s="12">
        <f>IF(COUNT('Төлөвшил'!D17:P17)=0,"",ROUND(COUNTIF('Төлөвшил'!D17:P17,1)/13*100,1))</f>
        <v/>
      </c>
      <c r="F17" s="12">
        <f>COUNTIF('Мэдлэг'!D17:K17,1)+COUNTIF('Чадвар'!D17:AE17,1)+COUNTIF('Төлөвшил'!D17:P17,1)</f>
        <v/>
      </c>
      <c r="G17" s="12">
        <f>IF((COUNT('Мэдлэг'!D17:K17)+COUNT('Чадвар'!D17:AE17)+COUNT('Төлөвшил'!D17:P17))=0,"",ROUND(F17/49*100,1))</f>
        <v/>
      </c>
      <c r="H17" s="14">
        <f>IF(G17="","",IF(G17&gt;=Нэгтгэл!$K$4,"Хангалттай эзэмшиж байна",IF(G17&gt;=Нэгтгэл!$K$5,"Ахиж байна","Хөгжиж байна")))</f>
        <v/>
      </c>
    </row>
    <row r="18" ht="16" customHeight="1">
      <c r="A18" s="12" t="n">
        <v>12</v>
      </c>
      <c r="B18" s="13" t="inlineStr">
        <is>
          <t>Х-12</t>
        </is>
      </c>
      <c r="C18" s="12">
        <f>IF(COUNT('Мэдлэг'!D18:K18)=0,"",ROUND(COUNTIF('Мэдлэг'!D18:K18,1)/8*100,1))</f>
        <v/>
      </c>
      <c r="D18" s="12">
        <f>IF(COUNT('Чадвар'!D18:AE18)=0,"",ROUND(COUNTIF('Чадвар'!D18:AE18,1)/28*100,1))</f>
        <v/>
      </c>
      <c r="E18" s="12">
        <f>IF(COUNT('Төлөвшил'!D18:P18)=0,"",ROUND(COUNTIF('Төлөвшил'!D18:P18,1)/13*100,1))</f>
        <v/>
      </c>
      <c r="F18" s="12">
        <f>COUNTIF('Мэдлэг'!D18:K18,1)+COUNTIF('Чадвар'!D18:AE18,1)+COUNTIF('Төлөвшил'!D18:P18,1)</f>
        <v/>
      </c>
      <c r="G18" s="12">
        <f>IF((COUNT('Мэдлэг'!D18:K18)+COUNT('Чадвар'!D18:AE18)+COUNT('Төлөвшил'!D18:P18))=0,"",ROUND(F18/49*100,1))</f>
        <v/>
      </c>
      <c r="H18" s="14">
        <f>IF(G18="","",IF(G18&gt;=Нэгтгэл!$K$4,"Хангалттай эзэмшиж байна",IF(G18&gt;=Нэгтгэл!$K$5,"Ахиж байна","Хөгжиж байна")))</f>
        <v/>
      </c>
    </row>
    <row r="19" ht="16" customHeight="1">
      <c r="A19" s="12" t="n">
        <v>13</v>
      </c>
      <c r="B19" s="13" t="inlineStr">
        <is>
          <t>Х-13</t>
        </is>
      </c>
      <c r="C19" s="12">
        <f>IF(COUNT('Мэдлэг'!D19:K19)=0,"",ROUND(COUNTIF('Мэдлэг'!D19:K19,1)/8*100,1))</f>
        <v/>
      </c>
      <c r="D19" s="12">
        <f>IF(COUNT('Чадвар'!D19:AE19)=0,"",ROUND(COUNTIF('Чадвар'!D19:AE19,1)/28*100,1))</f>
        <v/>
      </c>
      <c r="E19" s="12">
        <f>IF(COUNT('Төлөвшил'!D19:P19)=0,"",ROUND(COUNTIF('Төлөвшил'!D19:P19,1)/13*100,1))</f>
        <v/>
      </c>
      <c r="F19" s="12">
        <f>COUNTIF('Мэдлэг'!D19:K19,1)+COUNTIF('Чадвар'!D19:AE19,1)+COUNTIF('Төлөвшил'!D19:P19,1)</f>
        <v/>
      </c>
      <c r="G19" s="12">
        <f>IF((COUNT('Мэдлэг'!D19:K19)+COUNT('Чадвар'!D19:AE19)+COUNT('Төлөвшил'!D19:P19))=0,"",ROUND(F19/49*100,1))</f>
        <v/>
      </c>
      <c r="H19" s="14">
        <f>IF(G19="","",IF(G19&gt;=Нэгтгэл!$K$4,"Хангалттай эзэмшиж байна",IF(G19&gt;=Нэгтгэл!$K$5,"Ахиж байна","Хөгжиж байна")))</f>
        <v/>
      </c>
    </row>
    <row r="20" ht="16" customHeight="1">
      <c r="A20" s="12" t="n">
        <v>14</v>
      </c>
      <c r="B20" s="13" t="inlineStr">
        <is>
          <t>Х-14</t>
        </is>
      </c>
      <c r="C20" s="12">
        <f>IF(COUNT('Мэдлэг'!D20:K20)=0,"",ROUND(COUNTIF('Мэдлэг'!D20:K20,1)/8*100,1))</f>
        <v/>
      </c>
      <c r="D20" s="12">
        <f>IF(COUNT('Чадвар'!D20:AE20)=0,"",ROUND(COUNTIF('Чадвар'!D20:AE20,1)/28*100,1))</f>
        <v/>
      </c>
      <c r="E20" s="12">
        <f>IF(COUNT('Төлөвшил'!D20:P20)=0,"",ROUND(COUNTIF('Төлөвшил'!D20:P20,1)/13*100,1))</f>
        <v/>
      </c>
      <c r="F20" s="12">
        <f>COUNTIF('Мэдлэг'!D20:K20,1)+COUNTIF('Чадвар'!D20:AE20,1)+COUNTIF('Төлөвшил'!D20:P20,1)</f>
        <v/>
      </c>
      <c r="G20" s="12">
        <f>IF((COUNT('Мэдлэг'!D20:K20)+COUNT('Чадвар'!D20:AE20)+COUNT('Төлөвшил'!D20:P20))=0,"",ROUND(F20/49*100,1))</f>
        <v/>
      </c>
      <c r="H20" s="14">
        <f>IF(G20="","",IF(G20&gt;=Нэгтгэл!$K$4,"Хангалттай эзэмшиж байна",IF(G20&gt;=Нэгтгэл!$K$5,"Ахиж байна","Хөгжиж байна")))</f>
        <v/>
      </c>
    </row>
    <row r="21" ht="16" customHeight="1">
      <c r="A21" s="12" t="n">
        <v>15</v>
      </c>
      <c r="B21" s="13" t="inlineStr">
        <is>
          <t>Х-15</t>
        </is>
      </c>
      <c r="C21" s="12">
        <f>IF(COUNT('Мэдлэг'!D21:K21)=0,"",ROUND(COUNTIF('Мэдлэг'!D21:K21,1)/8*100,1))</f>
        <v/>
      </c>
      <c r="D21" s="12">
        <f>IF(COUNT('Чадвар'!D21:AE21)=0,"",ROUND(COUNTIF('Чадвар'!D21:AE21,1)/28*100,1))</f>
        <v/>
      </c>
      <c r="E21" s="12">
        <f>IF(COUNT('Төлөвшил'!D21:P21)=0,"",ROUND(COUNTIF('Төлөвшил'!D21:P21,1)/13*100,1))</f>
        <v/>
      </c>
      <c r="F21" s="12">
        <f>COUNTIF('Мэдлэг'!D21:K21,1)+COUNTIF('Чадвар'!D21:AE21,1)+COUNTIF('Төлөвшил'!D21:P21,1)</f>
        <v/>
      </c>
      <c r="G21" s="12">
        <f>IF((COUNT('Мэдлэг'!D21:K21)+COUNT('Чадвар'!D21:AE21)+COUNT('Төлөвшил'!D21:P21))=0,"",ROUND(F21/49*100,1))</f>
        <v/>
      </c>
      <c r="H21" s="14">
        <f>IF(G21="","",IF(G21&gt;=Нэгтгэл!$K$4,"Хангалттай эзэмшиж байна",IF(G21&gt;=Нэгтгэл!$K$5,"Ахиж байна","Хөгжиж байна")))</f>
        <v/>
      </c>
    </row>
    <row r="22" ht="16" customHeight="1">
      <c r="A22" s="12" t="n">
        <v>16</v>
      </c>
      <c r="B22" s="13" t="inlineStr">
        <is>
          <t>Х-16</t>
        </is>
      </c>
      <c r="C22" s="12">
        <f>IF(COUNT('Мэдлэг'!D22:K22)=0,"",ROUND(COUNTIF('Мэдлэг'!D22:K22,1)/8*100,1))</f>
        <v/>
      </c>
      <c r="D22" s="12">
        <f>IF(COUNT('Чадвар'!D22:AE22)=0,"",ROUND(COUNTIF('Чадвар'!D22:AE22,1)/28*100,1))</f>
        <v/>
      </c>
      <c r="E22" s="12">
        <f>IF(COUNT('Төлөвшил'!D22:P22)=0,"",ROUND(COUNTIF('Төлөвшил'!D22:P22,1)/13*100,1))</f>
        <v/>
      </c>
      <c r="F22" s="12">
        <f>COUNTIF('Мэдлэг'!D22:K22,1)+COUNTIF('Чадвар'!D22:AE22,1)+COUNTIF('Төлөвшил'!D22:P22,1)</f>
        <v/>
      </c>
      <c r="G22" s="12">
        <f>IF((COUNT('Мэдлэг'!D22:K22)+COUNT('Чадвар'!D22:AE22)+COUNT('Төлөвшил'!D22:P22))=0,"",ROUND(F22/49*100,1))</f>
        <v/>
      </c>
      <c r="H22" s="14">
        <f>IF(G22="","",IF(G22&gt;=Нэгтгэл!$K$4,"Хангалттай эзэмшиж байна",IF(G22&gt;=Нэгтгэл!$K$5,"Ахиж байна","Хөгжиж байна")))</f>
        <v/>
      </c>
    </row>
    <row r="23" ht="16" customHeight="1">
      <c r="A23" s="12" t="n">
        <v>17</v>
      </c>
      <c r="B23" s="13" t="inlineStr">
        <is>
          <t>Х-17</t>
        </is>
      </c>
      <c r="C23" s="12">
        <f>IF(COUNT('Мэдлэг'!D23:K23)=0,"",ROUND(COUNTIF('Мэдлэг'!D23:K23,1)/8*100,1))</f>
        <v/>
      </c>
      <c r="D23" s="12">
        <f>IF(COUNT('Чадвар'!D23:AE23)=0,"",ROUND(COUNTIF('Чадвар'!D23:AE23,1)/28*100,1))</f>
        <v/>
      </c>
      <c r="E23" s="12">
        <f>IF(COUNT('Төлөвшил'!D23:P23)=0,"",ROUND(COUNTIF('Төлөвшил'!D23:P23,1)/13*100,1))</f>
        <v/>
      </c>
      <c r="F23" s="12">
        <f>COUNTIF('Мэдлэг'!D23:K23,1)+COUNTIF('Чадвар'!D23:AE23,1)+COUNTIF('Төлөвшил'!D23:P23,1)</f>
        <v/>
      </c>
      <c r="G23" s="12">
        <f>IF((COUNT('Мэдлэг'!D23:K23)+COUNT('Чадвар'!D23:AE23)+COUNT('Төлөвшил'!D23:P23))=0,"",ROUND(F23/49*100,1))</f>
        <v/>
      </c>
      <c r="H23" s="14">
        <f>IF(G23="","",IF(G23&gt;=Нэгтгэл!$K$4,"Хангалттай эзэмшиж байна",IF(G23&gt;=Нэгтгэл!$K$5,"Ахиж байна","Хөгжиж байна")))</f>
        <v/>
      </c>
    </row>
    <row r="24" ht="16" customHeight="1">
      <c r="A24" s="12" t="n">
        <v>18</v>
      </c>
      <c r="B24" s="13" t="inlineStr">
        <is>
          <t>Х-18</t>
        </is>
      </c>
      <c r="C24" s="12">
        <f>IF(COUNT('Мэдлэг'!D24:K24)=0,"",ROUND(COUNTIF('Мэдлэг'!D24:K24,1)/8*100,1))</f>
        <v/>
      </c>
      <c r="D24" s="12">
        <f>IF(COUNT('Чадвар'!D24:AE24)=0,"",ROUND(COUNTIF('Чадвар'!D24:AE24,1)/28*100,1))</f>
        <v/>
      </c>
      <c r="E24" s="12">
        <f>IF(COUNT('Төлөвшил'!D24:P24)=0,"",ROUND(COUNTIF('Төлөвшил'!D24:P24,1)/13*100,1))</f>
        <v/>
      </c>
      <c r="F24" s="12">
        <f>COUNTIF('Мэдлэг'!D24:K24,1)+COUNTIF('Чадвар'!D24:AE24,1)+COUNTIF('Төлөвшил'!D24:P24,1)</f>
        <v/>
      </c>
      <c r="G24" s="12">
        <f>IF((COUNT('Мэдлэг'!D24:K24)+COUNT('Чадвар'!D24:AE24)+COUNT('Төлөвшил'!D24:P24))=0,"",ROUND(F24/49*100,1))</f>
        <v/>
      </c>
      <c r="H24" s="14">
        <f>IF(G24="","",IF(G24&gt;=Нэгтгэл!$K$4,"Хангалттай эзэмшиж байна",IF(G24&gt;=Нэгтгэл!$K$5,"Ахиж байна","Хөгжиж байна")))</f>
        <v/>
      </c>
    </row>
    <row r="25" ht="16" customHeight="1">
      <c r="A25" s="12" t="n">
        <v>19</v>
      </c>
      <c r="B25" s="13" t="inlineStr">
        <is>
          <t>Х-19</t>
        </is>
      </c>
      <c r="C25" s="12">
        <f>IF(COUNT('Мэдлэг'!D25:K25)=0,"",ROUND(COUNTIF('Мэдлэг'!D25:K25,1)/8*100,1))</f>
        <v/>
      </c>
      <c r="D25" s="12">
        <f>IF(COUNT('Чадвар'!D25:AE25)=0,"",ROUND(COUNTIF('Чадвар'!D25:AE25,1)/28*100,1))</f>
        <v/>
      </c>
      <c r="E25" s="12">
        <f>IF(COUNT('Төлөвшил'!D25:P25)=0,"",ROUND(COUNTIF('Төлөвшил'!D25:P25,1)/13*100,1))</f>
        <v/>
      </c>
      <c r="F25" s="12">
        <f>COUNTIF('Мэдлэг'!D25:K25,1)+COUNTIF('Чадвар'!D25:AE25,1)+COUNTIF('Төлөвшил'!D25:P25,1)</f>
        <v/>
      </c>
      <c r="G25" s="12">
        <f>IF((COUNT('Мэдлэг'!D25:K25)+COUNT('Чадвар'!D25:AE25)+COUNT('Төлөвшил'!D25:P25))=0,"",ROUND(F25/49*100,1))</f>
        <v/>
      </c>
      <c r="H25" s="14">
        <f>IF(G25="","",IF(G25&gt;=Нэгтгэл!$K$4,"Хангалттай эзэмшиж байна",IF(G25&gt;=Нэгтгэл!$K$5,"Ахиж байна","Хөгжиж байна")))</f>
        <v/>
      </c>
    </row>
    <row r="26" ht="16" customHeight="1">
      <c r="A26" s="12" t="n">
        <v>20</v>
      </c>
      <c r="B26" s="13" t="inlineStr">
        <is>
          <t>Х-20</t>
        </is>
      </c>
      <c r="C26" s="12">
        <f>IF(COUNT('Мэдлэг'!D26:K26)=0,"",ROUND(COUNTIF('Мэдлэг'!D26:K26,1)/8*100,1))</f>
        <v/>
      </c>
      <c r="D26" s="12">
        <f>IF(COUNT('Чадвар'!D26:AE26)=0,"",ROUND(COUNTIF('Чадвар'!D26:AE26,1)/28*100,1))</f>
        <v/>
      </c>
      <c r="E26" s="12">
        <f>IF(COUNT('Төлөвшил'!D26:P26)=0,"",ROUND(COUNTIF('Төлөвшил'!D26:P26,1)/13*100,1))</f>
        <v/>
      </c>
      <c r="F26" s="12">
        <f>COUNTIF('Мэдлэг'!D26:K26,1)+COUNTIF('Чадвар'!D26:AE26,1)+COUNTIF('Төлөвшил'!D26:P26,1)</f>
        <v/>
      </c>
      <c r="G26" s="12">
        <f>IF((COUNT('Мэдлэг'!D26:K26)+COUNT('Чадвар'!D26:AE26)+COUNT('Төлөвшил'!D26:P26))=0,"",ROUND(F26/49*100,1))</f>
        <v/>
      </c>
      <c r="H26" s="14">
        <f>IF(G26="","",IF(G26&gt;=Нэгтгэл!$K$4,"Хангалттай эзэмшиж байна",IF(G26&gt;=Нэгтгэл!$K$5,"Ахиж байна","Хөгжиж байна")))</f>
        <v/>
      </c>
    </row>
    <row r="27" ht="16" customHeight="1">
      <c r="A27" s="12" t="n">
        <v>21</v>
      </c>
      <c r="B27" s="13" t="inlineStr">
        <is>
          <t>Х-21</t>
        </is>
      </c>
      <c r="C27" s="12">
        <f>IF(COUNT('Мэдлэг'!D27:K27)=0,"",ROUND(COUNTIF('Мэдлэг'!D27:K27,1)/8*100,1))</f>
        <v/>
      </c>
      <c r="D27" s="12">
        <f>IF(COUNT('Чадвар'!D27:AE27)=0,"",ROUND(COUNTIF('Чадвар'!D27:AE27,1)/28*100,1))</f>
        <v/>
      </c>
      <c r="E27" s="12">
        <f>IF(COUNT('Төлөвшил'!D27:P27)=0,"",ROUND(COUNTIF('Төлөвшил'!D27:P27,1)/13*100,1))</f>
        <v/>
      </c>
      <c r="F27" s="12">
        <f>COUNTIF('Мэдлэг'!D27:K27,1)+COUNTIF('Чадвар'!D27:AE27,1)+COUNTIF('Төлөвшил'!D27:P27,1)</f>
        <v/>
      </c>
      <c r="G27" s="12">
        <f>IF((COUNT('Мэдлэг'!D27:K27)+COUNT('Чадвар'!D27:AE27)+COUNT('Төлөвшил'!D27:P27))=0,"",ROUND(F27/49*100,1))</f>
        <v/>
      </c>
      <c r="H27" s="14">
        <f>IF(G27="","",IF(G27&gt;=Нэгтгэл!$K$4,"Хангалттай эзэмшиж байна",IF(G27&gt;=Нэгтгэл!$K$5,"Ахиж байна","Хөгжиж байна")))</f>
        <v/>
      </c>
    </row>
    <row r="28" ht="16" customHeight="1">
      <c r="A28" s="12" t="n">
        <v>22</v>
      </c>
      <c r="B28" s="13" t="inlineStr">
        <is>
          <t>Х-22</t>
        </is>
      </c>
      <c r="C28" s="12">
        <f>IF(COUNT('Мэдлэг'!D28:K28)=0,"",ROUND(COUNTIF('Мэдлэг'!D28:K28,1)/8*100,1))</f>
        <v/>
      </c>
      <c r="D28" s="12">
        <f>IF(COUNT('Чадвар'!D28:AE28)=0,"",ROUND(COUNTIF('Чадвар'!D28:AE28,1)/28*100,1))</f>
        <v/>
      </c>
      <c r="E28" s="12">
        <f>IF(COUNT('Төлөвшил'!D28:P28)=0,"",ROUND(COUNTIF('Төлөвшил'!D28:P28,1)/13*100,1))</f>
        <v/>
      </c>
      <c r="F28" s="12">
        <f>COUNTIF('Мэдлэг'!D28:K28,1)+COUNTIF('Чадвар'!D28:AE28,1)+COUNTIF('Төлөвшил'!D28:P28,1)</f>
        <v/>
      </c>
      <c r="G28" s="12">
        <f>IF((COUNT('Мэдлэг'!D28:K28)+COUNT('Чадвар'!D28:AE28)+COUNT('Төлөвшил'!D28:P28))=0,"",ROUND(F28/49*100,1))</f>
        <v/>
      </c>
      <c r="H28" s="14">
        <f>IF(G28="","",IF(G28&gt;=Нэгтгэл!$K$4,"Хангалттай эзэмшиж байна",IF(G28&gt;=Нэгтгэл!$K$5,"Ахиж байна","Хөгжиж байна")))</f>
        <v/>
      </c>
    </row>
    <row r="29" ht="16" customHeight="1">
      <c r="A29" s="12" t="n">
        <v>23</v>
      </c>
      <c r="B29" s="13" t="inlineStr">
        <is>
          <t>Х-23</t>
        </is>
      </c>
      <c r="C29" s="12">
        <f>IF(COUNT('Мэдлэг'!D29:K29)=0,"",ROUND(COUNTIF('Мэдлэг'!D29:K29,1)/8*100,1))</f>
        <v/>
      </c>
      <c r="D29" s="12">
        <f>IF(COUNT('Чадвар'!D29:AE29)=0,"",ROUND(COUNTIF('Чадвар'!D29:AE29,1)/28*100,1))</f>
        <v/>
      </c>
      <c r="E29" s="12">
        <f>IF(COUNT('Төлөвшил'!D29:P29)=0,"",ROUND(COUNTIF('Төлөвшил'!D29:P29,1)/13*100,1))</f>
        <v/>
      </c>
      <c r="F29" s="12">
        <f>COUNTIF('Мэдлэг'!D29:K29,1)+COUNTIF('Чадвар'!D29:AE29,1)+COUNTIF('Төлөвшил'!D29:P29,1)</f>
        <v/>
      </c>
      <c r="G29" s="12">
        <f>IF((COUNT('Мэдлэг'!D29:K29)+COUNT('Чадвар'!D29:AE29)+COUNT('Төлөвшил'!D29:P29))=0,"",ROUND(F29/49*100,1))</f>
        <v/>
      </c>
      <c r="H29" s="14">
        <f>IF(G29="","",IF(G29&gt;=Нэгтгэл!$K$4,"Хангалттай эзэмшиж байна",IF(G29&gt;=Нэгтгэл!$K$5,"Ахиж байна","Хөгжиж байна")))</f>
        <v/>
      </c>
    </row>
    <row r="30" ht="16" customHeight="1">
      <c r="A30" s="12" t="n">
        <v>24</v>
      </c>
      <c r="B30" s="13" t="inlineStr">
        <is>
          <t>Х-24</t>
        </is>
      </c>
      <c r="C30" s="12">
        <f>IF(COUNT('Мэдлэг'!D30:K30)=0,"",ROUND(COUNTIF('Мэдлэг'!D30:K30,1)/8*100,1))</f>
        <v/>
      </c>
      <c r="D30" s="12">
        <f>IF(COUNT('Чадвар'!D30:AE30)=0,"",ROUND(COUNTIF('Чадвар'!D30:AE30,1)/28*100,1))</f>
        <v/>
      </c>
      <c r="E30" s="12">
        <f>IF(COUNT('Төлөвшил'!D30:P30)=0,"",ROUND(COUNTIF('Төлөвшил'!D30:P30,1)/13*100,1))</f>
        <v/>
      </c>
      <c r="F30" s="12">
        <f>COUNTIF('Мэдлэг'!D30:K30,1)+COUNTIF('Чадвар'!D30:AE30,1)+COUNTIF('Төлөвшил'!D30:P30,1)</f>
        <v/>
      </c>
      <c r="G30" s="12">
        <f>IF((COUNT('Мэдлэг'!D30:K30)+COUNT('Чадвар'!D30:AE30)+COUNT('Төлөвшил'!D30:P30))=0,"",ROUND(F30/49*100,1))</f>
        <v/>
      </c>
      <c r="H30" s="14">
        <f>IF(G30="","",IF(G30&gt;=Нэгтгэл!$K$4,"Хангалттай эзэмшиж байна",IF(G30&gt;=Нэгтгэл!$K$5,"Ахиж байна","Хөгжиж байна")))</f>
        <v/>
      </c>
    </row>
    <row r="31" ht="16" customHeight="1">
      <c r="A31" s="12" t="n">
        <v>25</v>
      </c>
      <c r="B31" s="13" t="inlineStr">
        <is>
          <t>Х-25</t>
        </is>
      </c>
      <c r="C31" s="12">
        <f>IF(COUNT('Мэдлэг'!D31:K31)=0,"",ROUND(COUNTIF('Мэдлэг'!D31:K31,1)/8*100,1))</f>
        <v/>
      </c>
      <c r="D31" s="12">
        <f>IF(COUNT('Чадвар'!D31:AE31)=0,"",ROUND(COUNTIF('Чадвар'!D31:AE31,1)/28*100,1))</f>
        <v/>
      </c>
      <c r="E31" s="12">
        <f>IF(COUNT('Төлөвшил'!D31:P31)=0,"",ROUND(COUNTIF('Төлөвшил'!D31:P31,1)/13*100,1))</f>
        <v/>
      </c>
      <c r="F31" s="12">
        <f>COUNTIF('Мэдлэг'!D31:K31,1)+COUNTIF('Чадвар'!D31:AE31,1)+COUNTIF('Төлөвшил'!D31:P31,1)</f>
        <v/>
      </c>
      <c r="G31" s="12">
        <f>IF((COUNT('Мэдлэг'!D31:K31)+COUNT('Чадвар'!D31:AE31)+COUNT('Төлөвшил'!D31:P31))=0,"",ROUND(F31/49*100,1))</f>
        <v/>
      </c>
      <c r="H31" s="14">
        <f>IF(G31="","",IF(G31&gt;=Нэгтгэл!$K$4,"Хангалттай эзэмшиж байна",IF(G31&gt;=Нэгтгэл!$K$5,"Ахиж байна","Хөгжиж байна")))</f>
        <v/>
      </c>
    </row>
    <row r="32" ht="16" customHeight="1">
      <c r="A32" s="12" t="n">
        <v>26</v>
      </c>
      <c r="B32" s="13" t="inlineStr">
        <is>
          <t>Х-26</t>
        </is>
      </c>
      <c r="C32" s="12">
        <f>IF(COUNT('Мэдлэг'!D32:K32)=0,"",ROUND(COUNTIF('Мэдлэг'!D32:K32,1)/8*100,1))</f>
        <v/>
      </c>
      <c r="D32" s="12">
        <f>IF(COUNT('Чадвар'!D32:AE32)=0,"",ROUND(COUNTIF('Чадвар'!D32:AE32,1)/28*100,1))</f>
        <v/>
      </c>
      <c r="E32" s="12">
        <f>IF(COUNT('Төлөвшил'!D32:P32)=0,"",ROUND(COUNTIF('Төлөвшил'!D32:P32,1)/13*100,1))</f>
        <v/>
      </c>
      <c r="F32" s="12">
        <f>COUNTIF('Мэдлэг'!D32:K32,1)+COUNTIF('Чадвар'!D32:AE32,1)+COUNTIF('Төлөвшил'!D32:P32,1)</f>
        <v/>
      </c>
      <c r="G32" s="12">
        <f>IF((COUNT('Мэдлэг'!D32:K32)+COUNT('Чадвар'!D32:AE32)+COUNT('Төлөвшил'!D32:P32))=0,"",ROUND(F32/49*100,1))</f>
        <v/>
      </c>
      <c r="H32" s="14">
        <f>IF(G32="","",IF(G32&gt;=Нэгтгэл!$K$4,"Хангалттай эзэмшиж байна",IF(G32&gt;=Нэгтгэл!$K$5,"Ахиж байна","Хөгжиж байна")))</f>
        <v/>
      </c>
    </row>
    <row r="33" ht="16" customHeight="1">
      <c r="A33" s="12" t="n">
        <v>27</v>
      </c>
      <c r="B33" s="13" t="inlineStr">
        <is>
          <t>Х-27</t>
        </is>
      </c>
      <c r="C33" s="12">
        <f>IF(COUNT('Мэдлэг'!D33:K33)=0,"",ROUND(COUNTIF('Мэдлэг'!D33:K33,1)/8*100,1))</f>
        <v/>
      </c>
      <c r="D33" s="12">
        <f>IF(COUNT('Чадвар'!D33:AE33)=0,"",ROUND(COUNTIF('Чадвар'!D33:AE33,1)/28*100,1))</f>
        <v/>
      </c>
      <c r="E33" s="12">
        <f>IF(COUNT('Төлөвшил'!D33:P33)=0,"",ROUND(COUNTIF('Төлөвшил'!D33:P33,1)/13*100,1))</f>
        <v/>
      </c>
      <c r="F33" s="12">
        <f>COUNTIF('Мэдлэг'!D33:K33,1)+COUNTIF('Чадвар'!D33:AE33,1)+COUNTIF('Төлөвшил'!D33:P33,1)</f>
        <v/>
      </c>
      <c r="G33" s="12">
        <f>IF((COUNT('Мэдлэг'!D33:K33)+COUNT('Чадвар'!D33:AE33)+COUNT('Төлөвшил'!D33:P33))=0,"",ROUND(F33/49*100,1))</f>
        <v/>
      </c>
      <c r="H33" s="14">
        <f>IF(G33="","",IF(G33&gt;=Нэгтгэл!$K$4,"Хангалттай эзэмшиж байна",IF(G33&gt;=Нэгтгэл!$K$5,"Ахиж байна","Хөгжиж байна")))</f>
        <v/>
      </c>
    </row>
    <row r="34" ht="16" customHeight="1">
      <c r="A34" s="12" t="n">
        <v>28</v>
      </c>
      <c r="B34" s="13" t="inlineStr">
        <is>
          <t>Х-28</t>
        </is>
      </c>
      <c r="C34" s="12">
        <f>IF(COUNT('Мэдлэг'!D34:K34)=0,"",ROUND(COUNTIF('Мэдлэг'!D34:K34,1)/8*100,1))</f>
        <v/>
      </c>
      <c r="D34" s="12">
        <f>IF(COUNT('Чадвар'!D34:AE34)=0,"",ROUND(COUNTIF('Чадвар'!D34:AE34,1)/28*100,1))</f>
        <v/>
      </c>
      <c r="E34" s="12">
        <f>IF(COUNT('Төлөвшил'!D34:P34)=0,"",ROUND(COUNTIF('Төлөвшил'!D34:P34,1)/13*100,1))</f>
        <v/>
      </c>
      <c r="F34" s="12">
        <f>COUNTIF('Мэдлэг'!D34:K34,1)+COUNTIF('Чадвар'!D34:AE34,1)+COUNTIF('Төлөвшил'!D34:P34,1)</f>
        <v/>
      </c>
      <c r="G34" s="12">
        <f>IF((COUNT('Мэдлэг'!D34:K34)+COUNT('Чадвар'!D34:AE34)+COUNT('Төлөвшил'!D34:P34))=0,"",ROUND(F34/49*100,1))</f>
        <v/>
      </c>
      <c r="H34" s="14">
        <f>IF(G34="","",IF(G34&gt;=Нэгтгэл!$K$4,"Хангалттай эзэмшиж байна",IF(G34&gt;=Нэгтгэл!$K$5,"Ахиж байна","Хөгжиж байна")))</f>
        <v/>
      </c>
    </row>
    <row r="35" ht="16" customHeight="1">
      <c r="A35" s="12" t="n">
        <v>29</v>
      </c>
      <c r="B35" s="13" t="inlineStr">
        <is>
          <t>Х-29</t>
        </is>
      </c>
      <c r="C35" s="12">
        <f>IF(COUNT('Мэдлэг'!D35:K35)=0,"",ROUND(COUNTIF('Мэдлэг'!D35:K35,1)/8*100,1))</f>
        <v/>
      </c>
      <c r="D35" s="12">
        <f>IF(COUNT('Чадвар'!D35:AE35)=0,"",ROUND(COUNTIF('Чадвар'!D35:AE35,1)/28*100,1))</f>
        <v/>
      </c>
      <c r="E35" s="12">
        <f>IF(COUNT('Төлөвшил'!D35:P35)=0,"",ROUND(COUNTIF('Төлөвшил'!D35:P35,1)/13*100,1))</f>
        <v/>
      </c>
      <c r="F35" s="12">
        <f>COUNTIF('Мэдлэг'!D35:K35,1)+COUNTIF('Чадвар'!D35:AE35,1)+COUNTIF('Төлөвшил'!D35:P35,1)</f>
        <v/>
      </c>
      <c r="G35" s="12">
        <f>IF((COUNT('Мэдлэг'!D35:K35)+COUNT('Чадвар'!D35:AE35)+COUNT('Төлөвшил'!D35:P35))=0,"",ROUND(F35/49*100,1))</f>
        <v/>
      </c>
      <c r="H35" s="14">
        <f>IF(G35="","",IF(G35&gt;=Нэгтгэл!$K$4,"Хангалттай эзэмшиж байна",IF(G35&gt;=Нэгтгэл!$K$5,"Ахиж байна","Хөгжиж байна")))</f>
        <v/>
      </c>
    </row>
    <row r="36" ht="16" customHeight="1">
      <c r="A36" s="12" t="n">
        <v>30</v>
      </c>
      <c r="B36" s="13" t="inlineStr">
        <is>
          <t>Х-30</t>
        </is>
      </c>
      <c r="C36" s="12">
        <f>IF(COUNT('Мэдлэг'!D36:K36)=0,"",ROUND(COUNTIF('Мэдлэг'!D36:K36,1)/8*100,1))</f>
        <v/>
      </c>
      <c r="D36" s="12">
        <f>IF(COUNT('Чадвар'!D36:AE36)=0,"",ROUND(COUNTIF('Чадвар'!D36:AE36,1)/28*100,1))</f>
        <v/>
      </c>
      <c r="E36" s="12">
        <f>IF(COUNT('Төлөвшил'!D36:P36)=0,"",ROUND(COUNTIF('Төлөвшил'!D36:P36,1)/13*100,1))</f>
        <v/>
      </c>
      <c r="F36" s="12">
        <f>COUNTIF('Мэдлэг'!D36:K36,1)+COUNTIF('Чадвар'!D36:AE36,1)+COUNTIF('Төлөвшил'!D36:P36,1)</f>
        <v/>
      </c>
      <c r="G36" s="12">
        <f>IF((COUNT('Мэдлэг'!D36:K36)+COUNT('Чадвар'!D36:AE36)+COUNT('Төлөвшил'!D36:P36))=0,"",ROUND(F36/49*100,1))</f>
        <v/>
      </c>
      <c r="H36" s="14">
        <f>IF(G36="","",IF(G36&gt;=Нэгтгэл!$K$4,"Хангалттай эзэмшиж байна",IF(G36&gt;=Нэгтгэл!$K$5,"Ахиж байна","Хөгжиж байна")))</f>
        <v/>
      </c>
    </row>
    <row r="37" ht="16" customHeight="1">
      <c r="A37" s="12" t="n">
        <v>31</v>
      </c>
      <c r="B37" s="13" t="inlineStr">
        <is>
          <t>Х-31</t>
        </is>
      </c>
      <c r="C37" s="12">
        <f>IF(COUNT('Мэдлэг'!D37:K37)=0,"",ROUND(COUNTIF('Мэдлэг'!D37:K37,1)/8*100,1))</f>
        <v/>
      </c>
      <c r="D37" s="12">
        <f>IF(COUNT('Чадвар'!D37:AE37)=0,"",ROUND(COUNTIF('Чадвар'!D37:AE37,1)/28*100,1))</f>
        <v/>
      </c>
      <c r="E37" s="12">
        <f>IF(COUNT('Төлөвшил'!D37:P37)=0,"",ROUND(COUNTIF('Төлөвшил'!D37:P37,1)/13*100,1))</f>
        <v/>
      </c>
      <c r="F37" s="12">
        <f>COUNTIF('Мэдлэг'!D37:K37,1)+COUNTIF('Чадвар'!D37:AE37,1)+COUNTIF('Төлөвшил'!D37:P37,1)</f>
        <v/>
      </c>
      <c r="G37" s="12">
        <f>IF((COUNT('Мэдлэг'!D37:K37)+COUNT('Чадвар'!D37:AE37)+COUNT('Төлөвшил'!D37:P37))=0,"",ROUND(F37/49*100,1))</f>
        <v/>
      </c>
      <c r="H37" s="14">
        <f>IF(G37="","",IF(G37&gt;=Нэгтгэл!$K$4,"Хангалттай эзэмшиж байна",IF(G37&gt;=Нэгтгэл!$K$5,"Ахиж байна","Хөгжиж байна")))</f>
        <v/>
      </c>
    </row>
    <row r="38">
      <c r="A38" s="5" t="inlineStr">
        <is>
          <t>Бүлгийн дундаж хувь</t>
        </is>
      </c>
      <c r="B38" s="15" t="n"/>
      <c r="C38" s="5">
        <f>IFERROR(ROUND(AVERAGE(C7:C37),1),"")</f>
        <v/>
      </c>
      <c r="D38" s="5">
        <f>IFERROR(ROUND(AVERAGE(D7:D37),1),"")</f>
        <v/>
      </c>
      <c r="E38" s="5">
        <f>IFERROR(ROUND(AVERAGE(E7:E37),1),"")</f>
        <v/>
      </c>
      <c r="F38" s="16" t="inlineStr"/>
      <c r="G38" s="5">
        <f>IFERROR(ROUND(AVERAGE(G7:G37),1),"")</f>
        <v/>
      </c>
      <c r="H38" s="16" t="inlineStr"/>
    </row>
    <row r="39">
      <c r="A39" s="17" t="inlineStr">
        <is>
          <t>Хангалттай эзэмшиж байна (тоо)</t>
        </is>
      </c>
      <c r="B39" s="15" t="n"/>
      <c r="C39" s="5">
        <f>COUNTIFS(C7:C37,"&gt;="&amp;Нэгтгэл!$K$4)</f>
        <v/>
      </c>
      <c r="D39" s="5">
        <f>COUNTIFS(D7:D37,"&gt;="&amp;Нэгтгэл!$K$4)</f>
        <v/>
      </c>
      <c r="E39" s="5">
        <f>COUNTIFS(E7:E37,"&gt;="&amp;Нэгтгэл!$K$4)</f>
        <v/>
      </c>
      <c r="F39" s="16" t="inlineStr"/>
      <c r="G39" s="5">
        <f>COUNTIFS(G7:G37,"&gt;="&amp;Нэгтгэл!$K$4)</f>
        <v/>
      </c>
      <c r="H39" s="5">
        <f>COUNTIF(H7:H37,"Хангалттай эзэмшиж байна")</f>
        <v/>
      </c>
    </row>
    <row r="40">
      <c r="A40" s="17" t="inlineStr">
        <is>
          <t>Ахиж байна (тоо)</t>
        </is>
      </c>
      <c r="B40" s="15" t="n"/>
      <c r="C40" s="5">
        <f>COUNTIFS(C7:C37,"&gt;="&amp;Нэгтгэл!$K$5,C7:C37,"&lt;"&amp;Нэгтгэл!$K$4)</f>
        <v/>
      </c>
      <c r="D40" s="5">
        <f>COUNTIFS(D7:D37,"&gt;="&amp;Нэгтгэл!$K$5,D7:D37,"&lt;"&amp;Нэгтгэл!$K$4)</f>
        <v/>
      </c>
      <c r="E40" s="5">
        <f>COUNTIFS(E7:E37,"&gt;="&amp;Нэгтгэл!$K$5,E7:E37,"&lt;"&amp;Нэгтгэл!$K$4)</f>
        <v/>
      </c>
      <c r="F40" s="16" t="inlineStr"/>
      <c r="G40" s="5">
        <f>COUNTIFS(G7:G37,"&gt;="&amp;Нэгтгэл!$K$5,G7:G37,"&lt;"&amp;Нэгтгэл!$K$4)</f>
        <v/>
      </c>
      <c r="H40" s="5">
        <f>COUNTIF(H7:H37,"Ахиж байна")</f>
        <v/>
      </c>
    </row>
    <row r="41">
      <c r="A41" s="17" t="inlineStr">
        <is>
          <t>Хөгжиж байна (тоо)</t>
        </is>
      </c>
      <c r="B41" s="15" t="n"/>
      <c r="C41" s="5">
        <f>COUNTIFS(C7:C37,"&lt;"&amp;Нэгтгэл!$K$5)</f>
        <v/>
      </c>
      <c r="D41" s="5">
        <f>COUNTIFS(D7:D37,"&lt;"&amp;Нэгтгэл!$K$5)</f>
        <v/>
      </c>
      <c r="E41" s="5">
        <f>COUNTIFS(E7:E37,"&lt;"&amp;Нэгтгэл!$K$5)</f>
        <v/>
      </c>
      <c r="F41" s="16" t="inlineStr"/>
      <c r="G41" s="5">
        <f>COUNTIFS(G7:G37,"&lt;"&amp;Нэгтгэл!$K$5)</f>
        <v/>
      </c>
      <c r="H41" s="5">
        <f>COUNTIF(H7:H37,"Хөгжиж байна")</f>
        <v/>
      </c>
    </row>
  </sheetData>
  <mergeCells count="14">
    <mergeCell ref="J3:K3"/>
    <mergeCell ref="A38:B38"/>
    <mergeCell ref="H3:H6"/>
    <mergeCell ref="F3:F6"/>
    <mergeCell ref="A41:B41"/>
    <mergeCell ref="G3:G6"/>
    <mergeCell ref="A2:H2"/>
    <mergeCell ref="A3:A6"/>
    <mergeCell ref="B3:B6"/>
    <mergeCell ref="C3:E3"/>
    <mergeCell ref="C4:E4"/>
    <mergeCell ref="A1:H1"/>
    <mergeCell ref="A39:B39"/>
    <mergeCell ref="A40:B40"/>
  </mergeCells>
  <printOptions horizontalCentered="1"/>
  <pageMargins left="0.5905511811023622" right="0.1968503937007874" top="0.5905511811023622" bottom="0.5905511811023622" header="0.3149606299212598" footer="0.3149606299212598"/>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P41"/>
  <sheetViews>
    <sheetView workbookViewId="0">
      <selection activeCell="A1" sqref="A1"/>
    </sheetView>
  </sheetViews>
  <sheetFormatPr baseColWidth="8" defaultRowHeight="15"/>
  <cols>
    <col width="4.5" customWidth="1" min="1" max="1"/>
    <col width="8" customWidth="1" min="2" max="2"/>
    <col width="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7" customWidth="1" min="12" max="12"/>
    <col width="7" customWidth="1" min="13" max="13"/>
    <col width="8" customWidth="1" min="14" max="14"/>
    <col width="7" customWidth="1" min="15" max="15"/>
    <col width="14" customWidth="1" min="16" max="16"/>
  </cols>
  <sheetData>
    <row r="1">
      <c r="A1" s="1" t="inlineStr">
        <is>
          <t>................ ЦЭЦЭРЛЭГИЙН БЭЛТГЭЛ БҮЛГИЙН (5 НАС) ГАРААНЫ (ОНОШЛОХ) ҮНЭЛГЭЭ</t>
        </is>
      </c>
    </row>
    <row r="2">
      <c r="A2" s="18" t="inlineStr">
        <is>
          <t>Үнэлгээний хүрээ: Мэдлэг          Огноо: 20.... оны .... сар          Багш: ................................          Чадна = 1, Чадахгүй = 0  (А/79 журам, IV түвшний шалгуур)</t>
        </is>
      </c>
    </row>
    <row r="3">
      <c r="A3" s="3" t="inlineStr">
        <is>
          <t>№</t>
        </is>
      </c>
      <c r="B3" s="3" t="inlineStr">
        <is>
          <t>Хүүхдийн код</t>
        </is>
      </c>
      <c r="C3" s="4" t="n"/>
      <c r="D3" s="3" t="inlineStr">
        <is>
          <t>Үнэлгээний хүрээ: Мэдлэг</t>
        </is>
      </c>
      <c r="E3" s="4" t="n"/>
      <c r="F3" s="4" t="n"/>
      <c r="G3" s="4" t="n"/>
      <c r="H3" s="4" t="n"/>
      <c r="I3" s="4" t="n"/>
      <c r="J3" s="4" t="n"/>
      <c r="K3" s="4" t="n"/>
      <c r="L3" s="5" t="inlineStr">
        <is>
          <t>Чадна (1)</t>
        </is>
      </c>
      <c r="M3" s="5" t="inlineStr">
        <is>
          <t>Хувь</t>
        </is>
      </c>
      <c r="N3" s="5" t="inlineStr">
        <is>
          <t>Чадахгүй (0)</t>
        </is>
      </c>
      <c r="O3" s="5" t="inlineStr">
        <is>
          <t>Хувь</t>
        </is>
      </c>
      <c r="P3" s="5" t="inlineStr">
        <is>
          <t>Түвшин</t>
        </is>
      </c>
    </row>
    <row r="4" ht="104" customHeight="1">
      <c r="A4" s="4" t="n"/>
      <c r="B4" s="4" t="n"/>
      <c r="C4" s="4" t="n"/>
      <c r="D4" s="6" t="inlineStr">
        <is>
          <t>Аюултай нөхцөлд (галаас хол байх, шатаар болгоомжтой явах гэх мэт) юу хийхийг мэддэг.</t>
        </is>
      </c>
      <c r="E4" s="6" t="inlineStr">
        <is>
          <t>Хүмүүсийн хоорондын харилцаа хэрхэн өрнөж байгааг ойлгодог.</t>
        </is>
      </c>
      <c r="F4" s="6" t="inlineStr">
        <is>
          <t>20 хүртэл цээжээр тоолдог.</t>
        </is>
      </c>
      <c r="G4" s="6" t="inlineStr">
        <is>
          <t>Долоо хоногийн гарагийг дарааллаар нь нэрлэдэг.</t>
        </is>
      </c>
      <c r="H4" s="6" t="inlineStr">
        <is>
          <t>Тоглоом, юмсын ижил ба ялгаатай шинжийг нэрлэдэг.</t>
        </is>
      </c>
      <c r="I4" s="6" t="inlineStr">
        <is>
          <t>Ургамлын ургалтад хэрэгтэй зүйлийг нэрлэдэг.</t>
        </is>
      </c>
      <c r="J4" s="6" t="inlineStr">
        <is>
          <t>Улирлын онцлог хүмүүсийн амьдралд хэрхэн нөлөөлж байгааг тайлбарладаг.</t>
        </is>
      </c>
      <c r="K4" s="6" t="inlineStr">
        <is>
          <t>Уран зураг, уран баримлын бүтээлийг хайрлан хамгаалахыг мэддэг.</t>
        </is>
      </c>
      <c r="L4" s="4" t="n"/>
      <c r="M4" s="4" t="n"/>
      <c r="N4" s="4" t="n"/>
      <c r="O4" s="4" t="n"/>
      <c r="P4" s="4" t="n"/>
    </row>
    <row r="5" ht="173" customHeight="1">
      <c r="A5" s="4" t="n"/>
      <c r="B5" s="4" t="n"/>
      <c r="C5" s="4" t="n"/>
      <c r="D5" s="19" t="inlineStr">
        <is>
          <t>СҮД: ХЭМ4.2д. Хувийн аюулгүй байдлаа хамгаалах дүрмийг өдөр тутмын амьдралд дагаж мөрдөнө.</t>
        </is>
      </c>
      <c r="E5" s="19" t="inlineStr">
        <is>
          <t>СҮД: НСХ4.3а. Хүмүүс хоорондоо хэрхэн харилцан хамааралтай байдгийг тайлбарладаг болно.</t>
        </is>
      </c>
      <c r="F5" s="19" t="inlineStr">
        <is>
          <t>СҮД: МАТ4.1а. 20 хүртэлх тоог цээжээр тоолох, 10 хүртэлх тооны юмсыг оноож тоолох, тоог таних, өгсөн тооноос эхэлж 1-ээр нэмэгдүүлэн, хорогдуулан тоолох, тоог жишнэ. (бодит юмсын олон, цөөнийг ялгаж жиших)</t>
        </is>
      </c>
      <c r="G5" s="19" t="inlineStr">
        <is>
          <t>СҮД: МАТ4.2б. Долоо хоногийн өдрийг дарааллаар нь нэрлэж, тухайн өдрүүдэд хийдэг танил үйл явдалтай холбож танилцуулна.</t>
        </is>
      </c>
      <c r="H5" s="19" t="inlineStr">
        <is>
          <t>СҮД: МАТ4.3а. Тоглоом юмсын ижил ялгаатай шинжийг нэрлэж, ангилж, тайлбарлана.</t>
        </is>
      </c>
      <c r="I5" s="19" t="inlineStr">
        <is>
          <t>СҮД: БНО4.1б. Ургамлын ургалтад юу хэрэгтэй болохыг тодорхойлж, тарьж ургуулах үйлд оролцоно.</t>
        </is>
      </c>
      <c r="J5" s="19" t="inlineStr">
        <is>
          <t>СҮД: БНО4.1г. Улирлын онцлогоос хамаарч амьтан, ургамал, хүмүүсийн амьдралд гарч буй өөрчлөлтийг тайлбарлаж, өөрийн хийх үйлийг тохируулан сонгоно.</t>
        </is>
      </c>
      <c r="K5" s="19" t="inlineStr">
        <is>
          <t>СҮД: ЗУ4.1а. Уран зургийн үйл явдал, баримлын дүрийн талаарх ойлголтоо бусдад тайлбарлана.</t>
        </is>
      </c>
      <c r="L5" s="4" t="n"/>
      <c r="M5" s="4" t="n"/>
      <c r="N5" s="4" t="n"/>
      <c r="O5" s="4" t="n"/>
      <c r="P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10" t="inlineStr">
        <is>
          <t>1 / 0</t>
        </is>
      </c>
      <c r="K6" s="10" t="inlineStr">
        <is>
          <t>1 / 0</t>
        </is>
      </c>
      <c r="L6" s="4" t="n"/>
      <c r="M6" s="4" t="n"/>
      <c r="N6" s="4" t="n"/>
      <c r="O6" s="4" t="n"/>
      <c r="P6" s="4" t="n"/>
    </row>
    <row r="7" ht="16" customHeight="1">
      <c r="A7" s="12" t="n">
        <v>1</v>
      </c>
      <c r="B7" s="12">
        <f>IF(Нэгтгэл!B7="","",Нэгтгэл!B7)</f>
        <v/>
      </c>
      <c r="C7" s="4" t="n"/>
      <c r="D7" s="13" t="n">
        <v>1</v>
      </c>
      <c r="E7" s="13" t="n">
        <v>1</v>
      </c>
      <c r="F7" s="13" t="n">
        <v>1</v>
      </c>
      <c r="G7" s="13" t="n">
        <v>1</v>
      </c>
      <c r="H7" s="13" t="n">
        <v>0</v>
      </c>
      <c r="I7" s="13" t="n">
        <v>1</v>
      </c>
      <c r="J7" s="13" t="n">
        <v>1</v>
      </c>
      <c r="K7" s="13" t="n">
        <v>1</v>
      </c>
      <c r="L7" s="12">
        <f>COUNTIF(D7:K7,1)</f>
        <v/>
      </c>
      <c r="M7" s="12">
        <f>IF(COUNT(D7:K7)=0,"",ROUND(L7/8*100,1))</f>
        <v/>
      </c>
      <c r="N7" s="12">
        <f>COUNTIF(D7:K7,0)</f>
        <v/>
      </c>
      <c r="O7" s="12">
        <f>IF(COUNT(D7:K7)=0,"",ROUND(N7/8*100,1))</f>
        <v/>
      </c>
      <c r="P7" s="20">
        <f>IF(M7="","",IF(M7&gt;=Нэгтгэл!$K$4,"Хангалттай эзэмшиж байна",IF(M7&gt;=Нэгтгэл!$K$5,"Ахиж байна","Хөгжиж байна")))</f>
        <v/>
      </c>
    </row>
    <row r="8" ht="16" customHeight="1">
      <c r="A8" s="12" t="n">
        <v>2</v>
      </c>
      <c r="B8" s="12">
        <f>IF(Нэгтгэл!B8="","",Нэгтгэл!B8)</f>
        <v/>
      </c>
      <c r="C8" s="4" t="n"/>
      <c r="D8" s="13" t="n">
        <v>1</v>
      </c>
      <c r="E8" s="13" t="n">
        <v>1</v>
      </c>
      <c r="F8" s="13" t="n">
        <v>0</v>
      </c>
      <c r="G8" s="13" t="n">
        <v>1</v>
      </c>
      <c r="H8" s="13" t="n">
        <v>1</v>
      </c>
      <c r="I8" s="13" t="n">
        <v>0</v>
      </c>
      <c r="J8" s="13" t="n">
        <v>0</v>
      </c>
      <c r="K8" s="13" t="n">
        <v>1</v>
      </c>
      <c r="L8" s="12">
        <f>COUNTIF(D8:K8,1)</f>
        <v/>
      </c>
      <c r="M8" s="12">
        <f>IF(COUNT(D8:K8)=0,"",ROUND(L8/8*100,1))</f>
        <v/>
      </c>
      <c r="N8" s="12">
        <f>COUNTIF(D8:K8,0)</f>
        <v/>
      </c>
      <c r="O8" s="12">
        <f>IF(COUNT(D8:K8)=0,"",ROUND(N8/8*100,1))</f>
        <v/>
      </c>
      <c r="P8" s="20">
        <f>IF(M8="","",IF(M8&gt;=Нэгтгэл!$K$4,"Хангалттай эзэмшиж байна",IF(M8&gt;=Нэгтгэл!$K$5,"Ахиж байна","Хөгжиж байна")))</f>
        <v/>
      </c>
    </row>
    <row r="9" ht="16" customHeight="1">
      <c r="A9" s="12" t="n">
        <v>3</v>
      </c>
      <c r="B9" s="12">
        <f>IF(Нэгтгэл!B9="","",Нэгтгэл!B9)</f>
        <v/>
      </c>
      <c r="C9" s="4" t="n"/>
      <c r="D9" s="13" t="n">
        <v>1</v>
      </c>
      <c r="E9" s="13" t="n">
        <v>1</v>
      </c>
      <c r="F9" s="13" t="n">
        <v>1</v>
      </c>
      <c r="G9" s="13" t="n">
        <v>0</v>
      </c>
      <c r="H9" s="13" t="n">
        <v>1</v>
      </c>
      <c r="I9" s="13" t="n">
        <v>1</v>
      </c>
      <c r="J9" s="13" t="n">
        <v>1</v>
      </c>
      <c r="K9" s="13" t="n">
        <v>0</v>
      </c>
      <c r="L9" s="12">
        <f>COUNTIF(D9:K9,1)</f>
        <v/>
      </c>
      <c r="M9" s="12">
        <f>IF(COUNT(D9:K9)=0,"",ROUND(L9/8*100,1))</f>
        <v/>
      </c>
      <c r="N9" s="12">
        <f>COUNTIF(D9:K9,0)</f>
        <v/>
      </c>
      <c r="O9" s="12">
        <f>IF(COUNT(D9:K9)=0,"",ROUND(N9/8*100,1))</f>
        <v/>
      </c>
      <c r="P9" s="20">
        <f>IF(M9="","",IF(M9&gt;=Нэгтгэл!$K$4,"Хангалттай эзэмшиж байна",IF(M9&gt;=Нэгтгэл!$K$5,"Ахиж байна","Хөгжиж байна")))</f>
        <v/>
      </c>
    </row>
    <row r="10" ht="16" customHeight="1">
      <c r="A10" s="12" t="n">
        <v>4</v>
      </c>
      <c r="B10" s="12">
        <f>IF(Нэгтгэл!B10="","",Нэгтгэл!B10)</f>
        <v/>
      </c>
      <c r="C10" s="4" t="n"/>
      <c r="D10" s="13" t="n">
        <v>1</v>
      </c>
      <c r="E10" s="13" t="n">
        <v>1</v>
      </c>
      <c r="F10" s="13" t="n">
        <v>0</v>
      </c>
      <c r="G10" s="13" t="n">
        <v>1</v>
      </c>
      <c r="H10" s="13" t="n">
        <v>1</v>
      </c>
      <c r="I10" s="13" t="n">
        <v>1</v>
      </c>
      <c r="J10" s="13" t="n">
        <v>1</v>
      </c>
      <c r="K10" s="13" t="n">
        <v>0</v>
      </c>
      <c r="L10" s="12">
        <f>COUNTIF(D10:K10,1)</f>
        <v/>
      </c>
      <c r="M10" s="12">
        <f>IF(COUNT(D10:K10)=0,"",ROUND(L10/8*100,1))</f>
        <v/>
      </c>
      <c r="N10" s="12">
        <f>COUNTIF(D10:K10,0)</f>
        <v/>
      </c>
      <c r="O10" s="12">
        <f>IF(COUNT(D10:K10)=0,"",ROUND(N10/8*100,1))</f>
        <v/>
      </c>
      <c r="P10" s="20">
        <f>IF(M10="","",IF(M10&gt;=Нэгтгэл!$K$4,"Хангалттай эзэмшиж байна",IF(M10&gt;=Нэгтгэл!$K$5,"Ахиж байна","Хөгжиж байна")))</f>
        <v/>
      </c>
    </row>
    <row r="11" ht="16" customHeight="1">
      <c r="A11" s="12" t="n">
        <v>5</v>
      </c>
      <c r="B11" s="12">
        <f>IF(Нэгтгэл!B11="","",Нэгтгэл!B11)</f>
        <v/>
      </c>
      <c r="C11" s="4" t="n"/>
      <c r="D11" s="13" t="n">
        <v>1</v>
      </c>
      <c r="E11" s="13" t="n">
        <v>1</v>
      </c>
      <c r="F11" s="13" t="n">
        <v>1</v>
      </c>
      <c r="G11" s="13" t="n">
        <v>1</v>
      </c>
      <c r="H11" s="13" t="n">
        <v>0</v>
      </c>
      <c r="I11" s="13" t="n">
        <v>1</v>
      </c>
      <c r="J11" s="13" t="n">
        <v>1</v>
      </c>
      <c r="K11" s="13" t="n">
        <v>1</v>
      </c>
      <c r="L11" s="12">
        <f>COUNTIF(D11:K11,1)</f>
        <v/>
      </c>
      <c r="M11" s="12">
        <f>IF(COUNT(D11:K11)=0,"",ROUND(L11/8*100,1))</f>
        <v/>
      </c>
      <c r="N11" s="12">
        <f>COUNTIF(D11:K11,0)</f>
        <v/>
      </c>
      <c r="O11" s="12">
        <f>IF(COUNT(D11:K11)=0,"",ROUND(N11/8*100,1))</f>
        <v/>
      </c>
      <c r="P11" s="20">
        <f>IF(M11="","",IF(M11&gt;=Нэгтгэл!$K$4,"Хангалттай эзэмшиж байна",IF(M11&gt;=Нэгтгэл!$K$5,"Ахиж байна","Хөгжиж байна")))</f>
        <v/>
      </c>
    </row>
    <row r="12" ht="16" customHeight="1">
      <c r="A12" s="12" t="n">
        <v>6</v>
      </c>
      <c r="B12" s="12">
        <f>IF(Нэгтгэл!B12="","",Нэгтгэл!B12)</f>
        <v/>
      </c>
      <c r="C12" s="4" t="n"/>
      <c r="D12" s="13" t="n">
        <v>1</v>
      </c>
      <c r="E12" s="13" t="n">
        <v>0</v>
      </c>
      <c r="F12" s="13" t="n">
        <v>1</v>
      </c>
      <c r="G12" s="13" t="n">
        <v>0</v>
      </c>
      <c r="H12" s="13" t="n">
        <v>1</v>
      </c>
      <c r="I12" s="13" t="n">
        <v>1</v>
      </c>
      <c r="J12" s="13" t="n">
        <v>0</v>
      </c>
      <c r="K12" s="13" t="n">
        <v>1</v>
      </c>
      <c r="L12" s="12">
        <f>COUNTIF(D12:K12,1)</f>
        <v/>
      </c>
      <c r="M12" s="12">
        <f>IF(COUNT(D12:K12)=0,"",ROUND(L12/8*100,1))</f>
        <v/>
      </c>
      <c r="N12" s="12">
        <f>COUNTIF(D12:K12,0)</f>
        <v/>
      </c>
      <c r="O12" s="12">
        <f>IF(COUNT(D12:K12)=0,"",ROUND(N12/8*100,1))</f>
        <v/>
      </c>
      <c r="P12" s="20">
        <f>IF(M12="","",IF(M12&gt;=Нэгтгэл!$K$4,"Хангалттай эзэмшиж байна",IF(M12&gt;=Нэгтгэл!$K$5,"Ахиж байна","Хөгжиж байна")))</f>
        <v/>
      </c>
    </row>
    <row r="13" ht="16" customHeight="1">
      <c r="A13" s="12" t="n">
        <v>7</v>
      </c>
      <c r="B13" s="12">
        <f>IF(Нэгтгэл!B13="","",Нэгтгэл!B13)</f>
        <v/>
      </c>
      <c r="C13" s="4" t="n"/>
      <c r="D13" s="13" t="n">
        <v>0</v>
      </c>
      <c r="E13" s="13" t="n">
        <v>1</v>
      </c>
      <c r="F13" s="13" t="n">
        <v>0</v>
      </c>
      <c r="G13" s="13" t="n">
        <v>1</v>
      </c>
      <c r="H13" s="13" t="n">
        <v>0</v>
      </c>
      <c r="I13" s="13" t="n">
        <v>1</v>
      </c>
      <c r="J13" s="13" t="n">
        <v>1</v>
      </c>
      <c r="K13" s="13" t="n">
        <v>0</v>
      </c>
      <c r="L13" s="12">
        <f>COUNTIF(D13:K13,1)</f>
        <v/>
      </c>
      <c r="M13" s="12">
        <f>IF(COUNT(D13:K13)=0,"",ROUND(L13/8*100,1))</f>
        <v/>
      </c>
      <c r="N13" s="12">
        <f>COUNTIF(D13:K13,0)</f>
        <v/>
      </c>
      <c r="O13" s="12">
        <f>IF(COUNT(D13:K13)=0,"",ROUND(N13/8*100,1))</f>
        <v/>
      </c>
      <c r="P13" s="20">
        <f>IF(M13="","",IF(M13&gt;=Нэгтгэл!$K$4,"Хангалттай эзэмшиж байна",IF(M13&gt;=Нэгтгэл!$K$5,"Ахиж байна","Хөгжиж байна")))</f>
        <v/>
      </c>
    </row>
    <row r="14" ht="16" customHeight="1">
      <c r="A14" s="12" t="n">
        <v>8</v>
      </c>
      <c r="B14" s="12">
        <f>IF(Нэгтгэл!B14="","",Нэгтгэл!B14)</f>
        <v/>
      </c>
      <c r="C14" s="4" t="n"/>
      <c r="D14" s="13" t="n">
        <v>0</v>
      </c>
      <c r="E14" s="13" t="n">
        <v>1</v>
      </c>
      <c r="F14" s="13" t="n">
        <v>0</v>
      </c>
      <c r="G14" s="13" t="n">
        <v>1</v>
      </c>
      <c r="H14" s="13" t="n">
        <v>0</v>
      </c>
      <c r="I14" s="13" t="n">
        <v>1</v>
      </c>
      <c r="J14" s="13" t="n">
        <v>0</v>
      </c>
      <c r="K14" s="13" t="n">
        <v>0</v>
      </c>
      <c r="L14" s="12">
        <f>COUNTIF(D14:K14,1)</f>
        <v/>
      </c>
      <c r="M14" s="12">
        <f>IF(COUNT(D14:K14)=0,"",ROUND(L14/8*100,1))</f>
        <v/>
      </c>
      <c r="N14" s="12">
        <f>COUNTIF(D14:K14,0)</f>
        <v/>
      </c>
      <c r="O14" s="12">
        <f>IF(COUNT(D14:K14)=0,"",ROUND(N14/8*100,1))</f>
        <v/>
      </c>
      <c r="P14" s="20">
        <f>IF(M14="","",IF(M14&gt;=Нэгтгэл!$K$4,"Хангалттай эзэмшиж байна",IF(M14&gt;=Нэгтгэл!$K$5,"Ахиж байна","Хөгжиж байна")))</f>
        <v/>
      </c>
    </row>
    <row r="15" ht="16" customHeight="1">
      <c r="A15" s="12" t="n">
        <v>9</v>
      </c>
      <c r="B15" s="12">
        <f>IF(Нэгтгэл!B15="","",Нэгтгэл!B15)</f>
        <v/>
      </c>
      <c r="C15" s="4" t="n"/>
      <c r="D15" s="13" t="n">
        <v>1</v>
      </c>
      <c r="E15" s="13" t="n">
        <v>0</v>
      </c>
      <c r="F15" s="13" t="n">
        <v>1</v>
      </c>
      <c r="G15" s="13" t="n">
        <v>1</v>
      </c>
      <c r="H15" s="13" t="n">
        <v>1</v>
      </c>
      <c r="I15" s="13" t="n">
        <v>1</v>
      </c>
      <c r="J15" s="13" t="n">
        <v>1</v>
      </c>
      <c r="K15" s="13" t="n">
        <v>1</v>
      </c>
      <c r="L15" s="12">
        <f>COUNTIF(D15:K15,1)</f>
        <v/>
      </c>
      <c r="M15" s="12">
        <f>IF(COUNT(D15:K15)=0,"",ROUND(L15/8*100,1))</f>
        <v/>
      </c>
      <c r="N15" s="12">
        <f>COUNTIF(D15:K15,0)</f>
        <v/>
      </c>
      <c r="O15" s="12">
        <f>IF(COUNT(D15:K15)=0,"",ROUND(N15/8*100,1))</f>
        <v/>
      </c>
      <c r="P15" s="20">
        <f>IF(M15="","",IF(M15&gt;=Нэгтгэл!$K$4,"Хангалттай эзэмшиж байна",IF(M15&gt;=Нэгтгэл!$K$5,"Ахиж байна","Хөгжиж байна")))</f>
        <v/>
      </c>
    </row>
    <row r="16" ht="16" customHeight="1">
      <c r="A16" s="12" t="n">
        <v>10</v>
      </c>
      <c r="B16" s="12">
        <f>IF(Нэгтгэл!B16="","",Нэгтгэл!B16)</f>
        <v/>
      </c>
      <c r="C16" s="4" t="n"/>
      <c r="D16" s="13" t="n">
        <v>1</v>
      </c>
      <c r="E16" s="13" t="n">
        <v>0</v>
      </c>
      <c r="F16" s="13" t="n">
        <v>1</v>
      </c>
      <c r="G16" s="13" t="n">
        <v>0</v>
      </c>
      <c r="H16" s="13" t="n">
        <v>0</v>
      </c>
      <c r="I16" s="13" t="n">
        <v>1</v>
      </c>
      <c r="J16" s="13" t="n">
        <v>1</v>
      </c>
      <c r="K16" s="13" t="n">
        <v>1</v>
      </c>
      <c r="L16" s="12">
        <f>COUNTIF(D16:K16,1)</f>
        <v/>
      </c>
      <c r="M16" s="12">
        <f>IF(COUNT(D16:K16)=0,"",ROUND(L16/8*100,1))</f>
        <v/>
      </c>
      <c r="N16" s="12">
        <f>COUNTIF(D16:K16,0)</f>
        <v/>
      </c>
      <c r="O16" s="12">
        <f>IF(COUNT(D16:K16)=0,"",ROUND(N16/8*100,1))</f>
        <v/>
      </c>
      <c r="P16" s="20">
        <f>IF(M16="","",IF(M16&gt;=Нэгтгэл!$K$4,"Хангалттай эзэмшиж байна",IF(M16&gt;=Нэгтгэл!$K$5,"Ахиж байна","Хөгжиж байна")))</f>
        <v/>
      </c>
    </row>
    <row r="17" ht="16" customHeight="1">
      <c r="A17" s="12" t="n">
        <v>11</v>
      </c>
      <c r="B17" s="12">
        <f>IF(Нэгтгэл!B17="","",Нэгтгэл!B17)</f>
        <v/>
      </c>
      <c r="C17" s="4" t="n"/>
      <c r="D17" s="13" t="n">
        <v>0</v>
      </c>
      <c r="E17" s="13" t="n">
        <v>1</v>
      </c>
      <c r="F17" s="13" t="n">
        <v>0</v>
      </c>
      <c r="G17" s="13" t="n">
        <v>1</v>
      </c>
      <c r="H17" s="13" t="n">
        <v>0</v>
      </c>
      <c r="I17" s="13" t="n">
        <v>1</v>
      </c>
      <c r="J17" s="13" t="n">
        <v>0</v>
      </c>
      <c r="K17" s="13" t="n">
        <v>0</v>
      </c>
      <c r="L17" s="12">
        <f>COUNTIF(D17:K17,1)</f>
        <v/>
      </c>
      <c r="M17" s="12">
        <f>IF(COUNT(D17:K17)=0,"",ROUND(L17/8*100,1))</f>
        <v/>
      </c>
      <c r="N17" s="12">
        <f>COUNTIF(D17:K17,0)</f>
        <v/>
      </c>
      <c r="O17" s="12">
        <f>IF(COUNT(D17:K17)=0,"",ROUND(N17/8*100,1))</f>
        <v/>
      </c>
      <c r="P17" s="20">
        <f>IF(M17="","",IF(M17&gt;=Нэгтгэл!$K$4,"Хангалттай эзэмшиж байна",IF(M17&gt;=Нэгтгэл!$K$5,"Ахиж байна","Хөгжиж байна")))</f>
        <v/>
      </c>
    </row>
    <row r="18" ht="16" customHeight="1">
      <c r="A18" s="12" t="n">
        <v>12</v>
      </c>
      <c r="B18" s="12">
        <f>IF(Нэгтгэл!B18="","",Нэгтгэл!B18)</f>
        <v/>
      </c>
      <c r="C18" s="4" t="n"/>
      <c r="D18" s="13" t="n">
        <v>0</v>
      </c>
      <c r="E18" s="13" t="n">
        <v>0</v>
      </c>
      <c r="F18" s="13" t="n">
        <v>0</v>
      </c>
      <c r="G18" s="13" t="n">
        <v>0</v>
      </c>
      <c r="H18" s="13" t="n">
        <v>0</v>
      </c>
      <c r="I18" s="13" t="n">
        <v>0</v>
      </c>
      <c r="J18" s="13" t="n">
        <v>1</v>
      </c>
      <c r="K18" s="13" t="n">
        <v>1</v>
      </c>
      <c r="L18" s="12">
        <f>COUNTIF(D18:K18,1)</f>
        <v/>
      </c>
      <c r="M18" s="12">
        <f>IF(COUNT(D18:K18)=0,"",ROUND(L18/8*100,1))</f>
        <v/>
      </c>
      <c r="N18" s="12">
        <f>COUNTIF(D18:K18,0)</f>
        <v/>
      </c>
      <c r="O18" s="12">
        <f>IF(COUNT(D18:K18)=0,"",ROUND(N18/8*100,1))</f>
        <v/>
      </c>
      <c r="P18" s="20">
        <f>IF(M18="","",IF(M18&gt;=Нэгтгэл!$K$4,"Хангалттай эзэмшиж байна",IF(M18&gt;=Нэгтгэл!$K$5,"Ахиж байна","Хөгжиж байна")))</f>
        <v/>
      </c>
    </row>
    <row r="19" ht="16" customHeight="1">
      <c r="A19" s="12" t="n">
        <v>13</v>
      </c>
      <c r="B19" s="12">
        <f>IF(Нэгтгэл!B19="","",Нэгтгэл!B19)</f>
        <v/>
      </c>
      <c r="C19" s="4" t="n"/>
      <c r="D19" s="13" t="n">
        <v>0</v>
      </c>
      <c r="E19" s="13" t="n">
        <v>0</v>
      </c>
      <c r="F19" s="13" t="n">
        <v>1</v>
      </c>
      <c r="G19" s="13" t="n">
        <v>1</v>
      </c>
      <c r="H19" s="13" t="n">
        <v>1</v>
      </c>
      <c r="I19" s="13" t="n">
        <v>0</v>
      </c>
      <c r="J19" s="13" t="n">
        <v>1</v>
      </c>
      <c r="K19" s="13" t="n">
        <v>1</v>
      </c>
      <c r="L19" s="12">
        <f>COUNTIF(D19:K19,1)</f>
        <v/>
      </c>
      <c r="M19" s="12">
        <f>IF(COUNT(D19:K19)=0,"",ROUND(L19/8*100,1))</f>
        <v/>
      </c>
      <c r="N19" s="12">
        <f>COUNTIF(D19:K19,0)</f>
        <v/>
      </c>
      <c r="O19" s="12">
        <f>IF(COUNT(D19:K19)=0,"",ROUND(N19/8*100,1))</f>
        <v/>
      </c>
      <c r="P19" s="20">
        <f>IF(M19="","",IF(M19&gt;=Нэгтгэл!$K$4,"Хангалттай эзэмшиж байна",IF(M19&gt;=Нэгтгэл!$K$5,"Ахиж байна","Хөгжиж байна")))</f>
        <v/>
      </c>
    </row>
    <row r="20" ht="16" customHeight="1">
      <c r="A20" s="12" t="n">
        <v>14</v>
      </c>
      <c r="B20" s="12">
        <f>IF(Нэгтгэл!B20="","",Нэгтгэл!B20)</f>
        <v/>
      </c>
      <c r="C20" s="4" t="n"/>
      <c r="D20" s="13" t="n">
        <v>1</v>
      </c>
      <c r="E20" s="13" t="n">
        <v>1</v>
      </c>
      <c r="F20" s="13" t="n">
        <v>0</v>
      </c>
      <c r="G20" s="13" t="n">
        <v>1</v>
      </c>
      <c r="H20" s="13" t="n">
        <v>0</v>
      </c>
      <c r="I20" s="13" t="n">
        <v>0</v>
      </c>
      <c r="J20" s="13" t="n">
        <v>1</v>
      </c>
      <c r="K20" s="13" t="n">
        <v>1</v>
      </c>
      <c r="L20" s="12">
        <f>COUNTIF(D20:K20,1)</f>
        <v/>
      </c>
      <c r="M20" s="12">
        <f>IF(COUNT(D20:K20)=0,"",ROUND(L20/8*100,1))</f>
        <v/>
      </c>
      <c r="N20" s="12">
        <f>COUNTIF(D20:K20,0)</f>
        <v/>
      </c>
      <c r="O20" s="12">
        <f>IF(COUNT(D20:K20)=0,"",ROUND(N20/8*100,1))</f>
        <v/>
      </c>
      <c r="P20" s="20">
        <f>IF(M20="","",IF(M20&gt;=Нэгтгэл!$K$4,"Хангалттай эзэмшиж байна",IF(M20&gt;=Нэгтгэл!$K$5,"Ахиж байна","Хөгжиж байна")))</f>
        <v/>
      </c>
    </row>
    <row r="21" ht="16" customHeight="1">
      <c r="A21" s="12" t="n">
        <v>15</v>
      </c>
      <c r="B21" s="12">
        <f>IF(Нэгтгэл!B21="","",Нэгтгэл!B21)</f>
        <v/>
      </c>
      <c r="C21" s="4" t="n"/>
      <c r="D21" s="13" t="n">
        <v>0</v>
      </c>
      <c r="E21" s="13" t="n">
        <v>1</v>
      </c>
      <c r="F21" s="13" t="n">
        <v>1</v>
      </c>
      <c r="G21" s="13" t="n">
        <v>1</v>
      </c>
      <c r="H21" s="13" t="n">
        <v>0</v>
      </c>
      <c r="I21" s="13" t="n">
        <v>0</v>
      </c>
      <c r="J21" s="13" t="n">
        <v>1</v>
      </c>
      <c r="K21" s="13" t="n">
        <v>1</v>
      </c>
      <c r="L21" s="12">
        <f>COUNTIF(D21:K21,1)</f>
        <v/>
      </c>
      <c r="M21" s="12">
        <f>IF(COUNT(D21:K21)=0,"",ROUND(L21/8*100,1))</f>
        <v/>
      </c>
      <c r="N21" s="12">
        <f>COUNTIF(D21:K21,0)</f>
        <v/>
      </c>
      <c r="O21" s="12">
        <f>IF(COUNT(D21:K21)=0,"",ROUND(N21/8*100,1))</f>
        <v/>
      </c>
      <c r="P21" s="20">
        <f>IF(M21="","",IF(M21&gt;=Нэгтгэл!$K$4,"Хангалттай эзэмшиж байна",IF(M21&gt;=Нэгтгэл!$K$5,"Ахиж байна","Хөгжиж байна")))</f>
        <v/>
      </c>
    </row>
    <row r="22" ht="16" customHeight="1">
      <c r="A22" s="12" t="n">
        <v>16</v>
      </c>
      <c r="B22" s="12">
        <f>IF(Нэгтгэл!B22="","",Нэгтгэл!B22)</f>
        <v/>
      </c>
      <c r="C22" s="4" t="n"/>
      <c r="D22" s="13" t="n">
        <v>0</v>
      </c>
      <c r="E22" s="13" t="n">
        <v>1</v>
      </c>
      <c r="F22" s="13" t="n">
        <v>1</v>
      </c>
      <c r="G22" s="13" t="n">
        <v>0</v>
      </c>
      <c r="H22" s="13" t="n">
        <v>1</v>
      </c>
      <c r="I22" s="13" t="n">
        <v>1</v>
      </c>
      <c r="J22" s="13" t="n">
        <v>1</v>
      </c>
      <c r="K22" s="13" t="n">
        <v>1</v>
      </c>
      <c r="L22" s="12">
        <f>COUNTIF(D22:K22,1)</f>
        <v/>
      </c>
      <c r="M22" s="12">
        <f>IF(COUNT(D22:K22)=0,"",ROUND(L22/8*100,1))</f>
        <v/>
      </c>
      <c r="N22" s="12">
        <f>COUNTIF(D22:K22,0)</f>
        <v/>
      </c>
      <c r="O22" s="12">
        <f>IF(COUNT(D22:K22)=0,"",ROUND(N22/8*100,1))</f>
        <v/>
      </c>
      <c r="P22" s="20">
        <f>IF(M22="","",IF(M22&gt;=Нэгтгэл!$K$4,"Хангалттай эзэмшиж байна",IF(M22&gt;=Нэгтгэл!$K$5,"Ахиж байна","Хөгжиж байна")))</f>
        <v/>
      </c>
    </row>
    <row r="23" ht="16" customHeight="1">
      <c r="A23" s="12" t="n">
        <v>17</v>
      </c>
      <c r="B23" s="12">
        <f>IF(Нэгтгэл!B23="","",Нэгтгэл!B23)</f>
        <v/>
      </c>
      <c r="C23" s="4" t="n"/>
      <c r="D23" s="13" t="n">
        <v>0</v>
      </c>
      <c r="E23" s="13" t="n">
        <v>1</v>
      </c>
      <c r="F23" s="13" t="n">
        <v>0</v>
      </c>
      <c r="G23" s="13" t="n">
        <v>1</v>
      </c>
      <c r="H23" s="13" t="n">
        <v>1</v>
      </c>
      <c r="I23" s="13" t="n">
        <v>1</v>
      </c>
      <c r="J23" s="13" t="n">
        <v>1</v>
      </c>
      <c r="K23" s="13" t="n">
        <v>1</v>
      </c>
      <c r="L23" s="12">
        <f>COUNTIF(D23:K23,1)</f>
        <v/>
      </c>
      <c r="M23" s="12">
        <f>IF(COUNT(D23:K23)=0,"",ROUND(L23/8*100,1))</f>
        <v/>
      </c>
      <c r="N23" s="12">
        <f>COUNTIF(D23:K23,0)</f>
        <v/>
      </c>
      <c r="O23" s="12">
        <f>IF(COUNT(D23:K23)=0,"",ROUND(N23/8*100,1))</f>
        <v/>
      </c>
      <c r="P23" s="20">
        <f>IF(M23="","",IF(M23&gt;=Нэгтгэл!$K$4,"Хангалттай эзэмшиж байна",IF(M23&gt;=Нэгтгэл!$K$5,"Ахиж байна","Хөгжиж байна")))</f>
        <v/>
      </c>
    </row>
    <row r="24" ht="16" customHeight="1">
      <c r="A24" s="12" t="n">
        <v>18</v>
      </c>
      <c r="B24" s="12">
        <f>IF(Нэгтгэл!B24="","",Нэгтгэл!B24)</f>
        <v/>
      </c>
      <c r="C24" s="4" t="n"/>
      <c r="D24" s="13" t="n">
        <v>0</v>
      </c>
      <c r="E24" s="13" t="n">
        <v>0</v>
      </c>
      <c r="F24" s="13" t="n">
        <v>0</v>
      </c>
      <c r="G24" s="13" t="n">
        <v>0</v>
      </c>
      <c r="H24" s="13" t="n">
        <v>1</v>
      </c>
      <c r="I24" s="13" t="n">
        <v>1</v>
      </c>
      <c r="J24" s="13" t="n">
        <v>0</v>
      </c>
      <c r="K24" s="13" t="n">
        <v>1</v>
      </c>
      <c r="L24" s="12">
        <f>COUNTIF(D24:K24,1)</f>
        <v/>
      </c>
      <c r="M24" s="12">
        <f>IF(COUNT(D24:K24)=0,"",ROUND(L24/8*100,1))</f>
        <v/>
      </c>
      <c r="N24" s="12">
        <f>COUNTIF(D24:K24,0)</f>
        <v/>
      </c>
      <c r="O24" s="12">
        <f>IF(COUNT(D24:K24)=0,"",ROUND(N24/8*100,1))</f>
        <v/>
      </c>
      <c r="P24" s="20">
        <f>IF(M24="","",IF(M24&gt;=Нэгтгэл!$K$4,"Хангалттай эзэмшиж байна",IF(M24&gt;=Нэгтгэл!$K$5,"Ахиж байна","Хөгжиж байна")))</f>
        <v/>
      </c>
    </row>
    <row r="25" ht="16" customHeight="1">
      <c r="A25" s="12" t="n">
        <v>19</v>
      </c>
      <c r="B25" s="12">
        <f>IF(Нэгтгэл!B25="","",Нэгтгэл!B25)</f>
        <v/>
      </c>
      <c r="C25" s="4" t="n"/>
      <c r="D25" s="13" t="n">
        <v>1</v>
      </c>
      <c r="E25" s="13" t="n">
        <v>1</v>
      </c>
      <c r="F25" s="13" t="n">
        <v>1</v>
      </c>
      <c r="G25" s="13" t="n">
        <v>0</v>
      </c>
      <c r="H25" s="13" t="n">
        <v>1</v>
      </c>
      <c r="I25" s="13" t="n">
        <v>1</v>
      </c>
      <c r="J25" s="13" t="n">
        <v>1</v>
      </c>
      <c r="K25" s="13" t="n">
        <v>0</v>
      </c>
      <c r="L25" s="12">
        <f>COUNTIF(D25:K25,1)</f>
        <v/>
      </c>
      <c r="M25" s="12">
        <f>IF(COUNT(D25:K25)=0,"",ROUND(L25/8*100,1))</f>
        <v/>
      </c>
      <c r="N25" s="12">
        <f>COUNTIF(D25:K25,0)</f>
        <v/>
      </c>
      <c r="O25" s="12">
        <f>IF(COUNT(D25:K25)=0,"",ROUND(N25/8*100,1))</f>
        <v/>
      </c>
      <c r="P25" s="20">
        <f>IF(M25="","",IF(M25&gt;=Нэгтгэл!$K$4,"Хангалттай эзэмшиж байна",IF(M25&gt;=Нэгтгэл!$K$5,"Ахиж байна","Хөгжиж байна")))</f>
        <v/>
      </c>
    </row>
    <row r="26" ht="16" customHeight="1">
      <c r="A26" s="12" t="n">
        <v>20</v>
      </c>
      <c r="B26" s="12">
        <f>IF(Нэгтгэл!B26="","",Нэгтгэл!B26)</f>
        <v/>
      </c>
      <c r="C26" s="4" t="n"/>
      <c r="D26" s="13" t="n">
        <v>0</v>
      </c>
      <c r="E26" s="13" t="n">
        <v>1</v>
      </c>
      <c r="F26" s="13" t="n">
        <v>1</v>
      </c>
      <c r="G26" s="13" t="n">
        <v>1</v>
      </c>
      <c r="H26" s="13" t="n">
        <v>0</v>
      </c>
      <c r="I26" s="13" t="n">
        <v>0</v>
      </c>
      <c r="J26" s="13" t="n">
        <v>0</v>
      </c>
      <c r="K26" s="13" t="n">
        <v>1</v>
      </c>
      <c r="L26" s="12">
        <f>COUNTIF(D26:K26,1)</f>
        <v/>
      </c>
      <c r="M26" s="12">
        <f>IF(COUNT(D26:K26)=0,"",ROUND(L26/8*100,1))</f>
        <v/>
      </c>
      <c r="N26" s="12">
        <f>COUNTIF(D26:K26,0)</f>
        <v/>
      </c>
      <c r="O26" s="12">
        <f>IF(COUNT(D26:K26)=0,"",ROUND(N26/8*100,1))</f>
        <v/>
      </c>
      <c r="P26" s="20">
        <f>IF(M26="","",IF(M26&gt;=Нэгтгэл!$K$4,"Хангалттай эзэмшиж байна",IF(M26&gt;=Нэгтгэл!$K$5,"Ахиж байна","Хөгжиж байна")))</f>
        <v/>
      </c>
    </row>
    <row r="27" ht="16" customHeight="1">
      <c r="A27" s="12" t="n">
        <v>21</v>
      </c>
      <c r="B27" s="12">
        <f>IF(Нэгтгэл!B27="","",Нэгтгэл!B27)</f>
        <v/>
      </c>
      <c r="C27" s="4" t="n"/>
      <c r="D27" s="13" t="n">
        <v>1</v>
      </c>
      <c r="E27" s="13" t="n">
        <v>0</v>
      </c>
      <c r="F27" s="13" t="n">
        <v>1</v>
      </c>
      <c r="G27" s="13" t="n">
        <v>0</v>
      </c>
      <c r="H27" s="13" t="n">
        <v>1</v>
      </c>
      <c r="I27" s="13" t="n">
        <v>1</v>
      </c>
      <c r="J27" s="13" t="n">
        <v>0</v>
      </c>
      <c r="K27" s="13" t="n">
        <v>1</v>
      </c>
      <c r="L27" s="12">
        <f>COUNTIF(D27:K27,1)</f>
        <v/>
      </c>
      <c r="M27" s="12">
        <f>IF(COUNT(D27:K27)=0,"",ROUND(L27/8*100,1))</f>
        <v/>
      </c>
      <c r="N27" s="12">
        <f>COUNTIF(D27:K27,0)</f>
        <v/>
      </c>
      <c r="O27" s="12">
        <f>IF(COUNT(D27:K27)=0,"",ROUND(N27/8*100,1))</f>
        <v/>
      </c>
      <c r="P27" s="20">
        <f>IF(M27="","",IF(M27&gt;=Нэгтгэл!$K$4,"Хангалттай эзэмшиж байна",IF(M27&gt;=Нэгтгэл!$K$5,"Ахиж байна","Хөгжиж байна")))</f>
        <v/>
      </c>
    </row>
    <row r="28" ht="16" customHeight="1">
      <c r="A28" s="12" t="n">
        <v>22</v>
      </c>
      <c r="B28" s="12">
        <f>IF(Нэгтгэл!B28="","",Нэгтгэл!B28)</f>
        <v/>
      </c>
      <c r="C28" s="4" t="n"/>
      <c r="D28" s="13" t="n">
        <v>0</v>
      </c>
      <c r="E28" s="13" t="n">
        <v>1</v>
      </c>
      <c r="F28" s="13" t="n">
        <v>1</v>
      </c>
      <c r="G28" s="13" t="n">
        <v>1</v>
      </c>
      <c r="H28" s="13" t="n">
        <v>0</v>
      </c>
      <c r="I28" s="13" t="n">
        <v>1</v>
      </c>
      <c r="J28" s="13" t="n">
        <v>1</v>
      </c>
      <c r="K28" s="13" t="n">
        <v>1</v>
      </c>
      <c r="L28" s="12">
        <f>COUNTIF(D28:K28,1)</f>
        <v/>
      </c>
      <c r="M28" s="12">
        <f>IF(COUNT(D28:K28)=0,"",ROUND(L28/8*100,1))</f>
        <v/>
      </c>
      <c r="N28" s="12">
        <f>COUNTIF(D28:K28,0)</f>
        <v/>
      </c>
      <c r="O28" s="12">
        <f>IF(COUNT(D28:K28)=0,"",ROUND(N28/8*100,1))</f>
        <v/>
      </c>
      <c r="P28" s="20">
        <f>IF(M28="","",IF(M28&gt;=Нэгтгэл!$K$4,"Хангалттай эзэмшиж байна",IF(M28&gt;=Нэгтгэл!$K$5,"Ахиж байна","Хөгжиж байна")))</f>
        <v/>
      </c>
    </row>
    <row r="29" ht="16" customHeight="1">
      <c r="A29" s="12" t="n">
        <v>23</v>
      </c>
      <c r="B29" s="12">
        <f>IF(Нэгтгэл!B29="","",Нэгтгэл!B29)</f>
        <v/>
      </c>
      <c r="C29" s="4" t="n"/>
      <c r="D29" s="13" t="n">
        <v>1</v>
      </c>
      <c r="E29" s="13" t="n">
        <v>1</v>
      </c>
      <c r="F29" s="13" t="n">
        <v>1</v>
      </c>
      <c r="G29" s="13" t="n">
        <v>1</v>
      </c>
      <c r="H29" s="13" t="n">
        <v>0</v>
      </c>
      <c r="I29" s="13" t="n">
        <v>1</v>
      </c>
      <c r="J29" s="13" t="n">
        <v>1</v>
      </c>
      <c r="K29" s="13" t="n">
        <v>1</v>
      </c>
      <c r="L29" s="12">
        <f>COUNTIF(D29:K29,1)</f>
        <v/>
      </c>
      <c r="M29" s="12">
        <f>IF(COUNT(D29:K29)=0,"",ROUND(L29/8*100,1))</f>
        <v/>
      </c>
      <c r="N29" s="12">
        <f>COUNTIF(D29:K29,0)</f>
        <v/>
      </c>
      <c r="O29" s="12">
        <f>IF(COUNT(D29:K29)=0,"",ROUND(N29/8*100,1))</f>
        <v/>
      </c>
      <c r="P29" s="20">
        <f>IF(M29="","",IF(M29&gt;=Нэгтгэл!$K$4,"Хангалттай эзэмшиж байна",IF(M29&gt;=Нэгтгэл!$K$5,"Ахиж байна","Хөгжиж байна")))</f>
        <v/>
      </c>
    </row>
    <row r="30" ht="16" customHeight="1">
      <c r="A30" s="12" t="n">
        <v>24</v>
      </c>
      <c r="B30" s="12">
        <f>IF(Нэгтгэл!B30="","",Нэгтгэл!B30)</f>
        <v/>
      </c>
      <c r="C30" s="4" t="n"/>
      <c r="D30" s="13" t="n">
        <v>0</v>
      </c>
      <c r="E30" s="13" t="n">
        <v>1</v>
      </c>
      <c r="F30" s="13" t="n">
        <v>1</v>
      </c>
      <c r="G30" s="13" t="n">
        <v>1</v>
      </c>
      <c r="H30" s="13" t="n">
        <v>1</v>
      </c>
      <c r="I30" s="13" t="n">
        <v>1</v>
      </c>
      <c r="J30" s="13" t="n">
        <v>1</v>
      </c>
      <c r="K30" s="13" t="n">
        <v>1</v>
      </c>
      <c r="L30" s="12">
        <f>COUNTIF(D30:K30,1)</f>
        <v/>
      </c>
      <c r="M30" s="12">
        <f>IF(COUNT(D30:K30)=0,"",ROUND(L30/8*100,1))</f>
        <v/>
      </c>
      <c r="N30" s="12">
        <f>COUNTIF(D30:K30,0)</f>
        <v/>
      </c>
      <c r="O30" s="12">
        <f>IF(COUNT(D30:K30)=0,"",ROUND(N30/8*100,1))</f>
        <v/>
      </c>
      <c r="P30" s="20">
        <f>IF(M30="","",IF(M30&gt;=Нэгтгэл!$K$4,"Хангалттай эзэмшиж байна",IF(M30&gt;=Нэгтгэл!$K$5,"Ахиж байна","Хөгжиж байна")))</f>
        <v/>
      </c>
    </row>
    <row r="31" ht="16" customHeight="1">
      <c r="A31" s="12" t="n">
        <v>25</v>
      </c>
      <c r="B31" s="12">
        <f>IF(Нэгтгэл!B31="","",Нэгтгэл!B31)</f>
        <v/>
      </c>
      <c r="C31" s="4" t="n"/>
      <c r="D31" s="13" t="n">
        <v>0</v>
      </c>
      <c r="E31" s="13" t="n">
        <v>1</v>
      </c>
      <c r="F31" s="13" t="n">
        <v>1</v>
      </c>
      <c r="G31" s="13" t="n">
        <v>1</v>
      </c>
      <c r="H31" s="13" t="n">
        <v>1</v>
      </c>
      <c r="I31" s="13" t="n">
        <v>1</v>
      </c>
      <c r="J31" s="13" t="n">
        <v>1</v>
      </c>
      <c r="K31" s="13" t="n">
        <v>1</v>
      </c>
      <c r="L31" s="12">
        <f>COUNTIF(D31:K31,1)</f>
        <v/>
      </c>
      <c r="M31" s="12">
        <f>IF(COUNT(D31:K31)=0,"",ROUND(L31/8*100,1))</f>
        <v/>
      </c>
      <c r="N31" s="12">
        <f>COUNTIF(D31:K31,0)</f>
        <v/>
      </c>
      <c r="O31" s="12">
        <f>IF(COUNT(D31:K31)=0,"",ROUND(N31/8*100,1))</f>
        <v/>
      </c>
      <c r="P31" s="20">
        <f>IF(M31="","",IF(M31&gt;=Нэгтгэл!$K$4,"Хангалттай эзэмшиж байна",IF(M31&gt;=Нэгтгэл!$K$5,"Ахиж байна","Хөгжиж байна")))</f>
        <v/>
      </c>
    </row>
    <row r="32" ht="16" customHeight="1">
      <c r="A32" s="12" t="n">
        <v>26</v>
      </c>
      <c r="B32" s="12">
        <f>IF(Нэгтгэл!B32="","",Нэгтгэл!B32)</f>
        <v/>
      </c>
      <c r="C32" s="4" t="n"/>
      <c r="D32" s="13" t="n">
        <v>0</v>
      </c>
      <c r="E32" s="13" t="n">
        <v>1</v>
      </c>
      <c r="F32" s="13" t="n">
        <v>1</v>
      </c>
      <c r="G32" s="13" t="n">
        <v>1</v>
      </c>
      <c r="H32" s="13" t="n">
        <v>1</v>
      </c>
      <c r="I32" s="13" t="n">
        <v>0</v>
      </c>
      <c r="J32" s="13" t="n">
        <v>1</v>
      </c>
      <c r="K32" s="13" t="n">
        <v>0</v>
      </c>
      <c r="L32" s="12">
        <f>COUNTIF(D32:K32,1)</f>
        <v/>
      </c>
      <c r="M32" s="12">
        <f>IF(COUNT(D32:K32)=0,"",ROUND(L32/8*100,1))</f>
        <v/>
      </c>
      <c r="N32" s="12">
        <f>COUNTIF(D32:K32,0)</f>
        <v/>
      </c>
      <c r="O32" s="12">
        <f>IF(COUNT(D32:K32)=0,"",ROUND(N32/8*100,1))</f>
        <v/>
      </c>
      <c r="P32" s="20">
        <f>IF(M32="","",IF(M32&gt;=Нэгтгэл!$K$4,"Хангалттай эзэмшиж байна",IF(M32&gt;=Нэгтгэл!$K$5,"Ахиж байна","Хөгжиж байна")))</f>
        <v/>
      </c>
    </row>
    <row r="33" ht="16" customHeight="1">
      <c r="A33" s="12" t="n">
        <v>27</v>
      </c>
      <c r="B33" s="12">
        <f>IF(Нэгтгэл!B33="","",Нэгтгэл!B33)</f>
        <v/>
      </c>
      <c r="C33" s="4" t="n"/>
      <c r="D33" s="13" t="n">
        <v>1</v>
      </c>
      <c r="E33" s="13" t="n">
        <v>1</v>
      </c>
      <c r="F33" s="13" t="n">
        <v>1</v>
      </c>
      <c r="G33" s="13" t="n">
        <v>1</v>
      </c>
      <c r="H33" s="13" t="n">
        <v>1</v>
      </c>
      <c r="I33" s="13" t="n">
        <v>0</v>
      </c>
      <c r="J33" s="13" t="n">
        <v>1</v>
      </c>
      <c r="K33" s="13" t="n">
        <v>0</v>
      </c>
      <c r="L33" s="12">
        <f>COUNTIF(D33:K33,1)</f>
        <v/>
      </c>
      <c r="M33" s="12">
        <f>IF(COUNT(D33:K33)=0,"",ROUND(L33/8*100,1))</f>
        <v/>
      </c>
      <c r="N33" s="12">
        <f>COUNTIF(D33:K33,0)</f>
        <v/>
      </c>
      <c r="O33" s="12">
        <f>IF(COUNT(D33:K33)=0,"",ROUND(N33/8*100,1))</f>
        <v/>
      </c>
      <c r="P33" s="20">
        <f>IF(M33="","",IF(M33&gt;=Нэгтгэл!$K$4,"Хангалттай эзэмшиж байна",IF(M33&gt;=Нэгтгэл!$K$5,"Ахиж байна","Хөгжиж байна")))</f>
        <v/>
      </c>
    </row>
    <row r="34" ht="16" customHeight="1">
      <c r="A34" s="12" t="n">
        <v>28</v>
      </c>
      <c r="B34" s="12">
        <f>IF(Нэгтгэл!B34="","",Нэгтгэл!B34)</f>
        <v/>
      </c>
      <c r="C34" s="4" t="n"/>
      <c r="D34" s="13" t="n">
        <v>1</v>
      </c>
      <c r="E34" s="13" t="n">
        <v>0</v>
      </c>
      <c r="F34" s="13" t="n">
        <v>1</v>
      </c>
      <c r="G34" s="13" t="n">
        <v>1</v>
      </c>
      <c r="H34" s="13" t="n">
        <v>1</v>
      </c>
      <c r="I34" s="13" t="n">
        <v>0</v>
      </c>
      <c r="J34" s="13" t="n">
        <v>1</v>
      </c>
      <c r="K34" s="13" t="n">
        <v>1</v>
      </c>
      <c r="L34" s="12">
        <f>COUNTIF(D34:K34,1)</f>
        <v/>
      </c>
      <c r="M34" s="12">
        <f>IF(COUNT(D34:K34)=0,"",ROUND(L34/8*100,1))</f>
        <v/>
      </c>
      <c r="N34" s="12">
        <f>COUNTIF(D34:K34,0)</f>
        <v/>
      </c>
      <c r="O34" s="12">
        <f>IF(COUNT(D34:K34)=0,"",ROUND(N34/8*100,1))</f>
        <v/>
      </c>
      <c r="P34" s="20">
        <f>IF(M34="","",IF(M34&gt;=Нэгтгэл!$K$4,"Хангалттай эзэмшиж байна",IF(M34&gt;=Нэгтгэл!$K$5,"Ахиж байна","Хөгжиж байна")))</f>
        <v/>
      </c>
    </row>
    <row r="35" ht="16" customHeight="1">
      <c r="A35" s="12" t="n">
        <v>29</v>
      </c>
      <c r="B35" s="12">
        <f>IF(Нэгтгэл!B35="","",Нэгтгэл!B35)</f>
        <v/>
      </c>
      <c r="C35" s="4" t="n"/>
      <c r="D35" s="13" t="n">
        <v>1</v>
      </c>
      <c r="E35" s="13" t="n">
        <v>1</v>
      </c>
      <c r="F35" s="13" t="n">
        <v>1</v>
      </c>
      <c r="G35" s="13" t="n">
        <v>0</v>
      </c>
      <c r="H35" s="13" t="n">
        <v>0</v>
      </c>
      <c r="I35" s="13" t="n">
        <v>1</v>
      </c>
      <c r="J35" s="13" t="n">
        <v>1</v>
      </c>
      <c r="K35" s="13" t="n">
        <v>1</v>
      </c>
      <c r="L35" s="12">
        <f>COUNTIF(D35:K35,1)</f>
        <v/>
      </c>
      <c r="M35" s="12">
        <f>IF(COUNT(D35:K35)=0,"",ROUND(L35/8*100,1))</f>
        <v/>
      </c>
      <c r="N35" s="12">
        <f>COUNTIF(D35:K35,0)</f>
        <v/>
      </c>
      <c r="O35" s="12">
        <f>IF(COUNT(D35:K35)=0,"",ROUND(N35/8*100,1))</f>
        <v/>
      </c>
      <c r="P35" s="20">
        <f>IF(M35="","",IF(M35&gt;=Нэгтгэл!$K$4,"Хангалттай эзэмшиж байна",IF(M35&gt;=Нэгтгэл!$K$5,"Ахиж байна","Хөгжиж байна")))</f>
        <v/>
      </c>
    </row>
    <row r="36" ht="16" customHeight="1">
      <c r="A36" s="12" t="n">
        <v>30</v>
      </c>
      <c r="B36" s="12">
        <f>IF(Нэгтгэл!B36="","",Нэгтгэл!B36)</f>
        <v/>
      </c>
      <c r="C36" s="4" t="n"/>
      <c r="D36" s="13" t="n">
        <v>1</v>
      </c>
      <c r="E36" s="13" t="n">
        <v>1</v>
      </c>
      <c r="F36" s="13" t="n">
        <v>0</v>
      </c>
      <c r="G36" s="13" t="n">
        <v>1</v>
      </c>
      <c r="H36" s="13" t="n">
        <v>0</v>
      </c>
      <c r="I36" s="13" t="n">
        <v>1</v>
      </c>
      <c r="J36" s="13" t="n">
        <v>0</v>
      </c>
      <c r="K36" s="13" t="n">
        <v>1</v>
      </c>
      <c r="L36" s="12">
        <f>COUNTIF(D36:K36,1)</f>
        <v/>
      </c>
      <c r="M36" s="12">
        <f>IF(COUNT(D36:K36)=0,"",ROUND(L36/8*100,1))</f>
        <v/>
      </c>
      <c r="N36" s="12">
        <f>COUNTIF(D36:K36,0)</f>
        <v/>
      </c>
      <c r="O36" s="12">
        <f>IF(COUNT(D36:K36)=0,"",ROUND(N36/8*100,1))</f>
        <v/>
      </c>
      <c r="P36" s="20">
        <f>IF(M36="","",IF(M36&gt;=Нэгтгэл!$K$4,"Хангалттай эзэмшиж байна",IF(M36&gt;=Нэгтгэл!$K$5,"Ахиж байна","Хөгжиж байна")))</f>
        <v/>
      </c>
    </row>
    <row r="37" ht="16" customHeight="1">
      <c r="A37" s="12" t="n">
        <v>31</v>
      </c>
      <c r="B37" s="12">
        <f>IF(Нэгтгэл!B37="","",Нэгтгэл!B37)</f>
        <v/>
      </c>
      <c r="C37" s="4" t="n"/>
      <c r="D37" s="13" t="n">
        <v>1</v>
      </c>
      <c r="E37" s="13" t="n">
        <v>1</v>
      </c>
      <c r="F37" s="13" t="n">
        <v>1</v>
      </c>
      <c r="G37" s="13" t="n">
        <v>1</v>
      </c>
      <c r="H37" s="13" t="n">
        <v>1</v>
      </c>
      <c r="I37" s="13" t="n">
        <v>1</v>
      </c>
      <c r="J37" s="13" t="n">
        <v>1</v>
      </c>
      <c r="K37" s="13" t="n">
        <v>1</v>
      </c>
      <c r="L37" s="12">
        <f>COUNTIF(D37:K37,1)</f>
        <v/>
      </c>
      <c r="M37" s="12">
        <f>IF(COUNT(D37:K37)=0,"",ROUND(L37/8*100,1))</f>
        <v/>
      </c>
      <c r="N37" s="12">
        <f>COUNTIF(D37:K37,0)</f>
        <v/>
      </c>
      <c r="O37" s="12">
        <f>IF(COUNT(D37:K37)=0,"",ROUND(N37/8*100,1))</f>
        <v/>
      </c>
      <c r="P37" s="20">
        <f>IF(M37="","",IF(M37&gt;=Нэгтгэл!$K$4,"Хангалттай эзэмшиж байна",IF(M37&gt;=Нэгтгэл!$K$5,"Ахиж байна","Хөгжиж байна")))</f>
        <v/>
      </c>
    </row>
    <row r="38" ht="17" customHeight="1">
      <c r="A38" s="5" t="inlineStr">
        <is>
          <t>Чадна (1)</t>
        </is>
      </c>
      <c r="B38" s="15" t="n"/>
      <c r="C38" s="15" t="n"/>
      <c r="D38" s="5">
        <f>COUNTIF(D7:D37,1)</f>
        <v/>
      </c>
      <c r="E38" s="5">
        <f>COUNTIF(E7:E37,1)</f>
        <v/>
      </c>
      <c r="F38" s="5">
        <f>COUNTIF(F7:F37,1)</f>
        <v/>
      </c>
      <c r="G38" s="5">
        <f>COUNTIF(G7:G37,1)</f>
        <v/>
      </c>
      <c r="H38" s="5">
        <f>COUNTIF(H7:H37,1)</f>
        <v/>
      </c>
      <c r="I38" s="5">
        <f>COUNTIF(I7:I37,1)</f>
        <v/>
      </c>
      <c r="J38" s="5">
        <f>COUNTIF(J7:J37,1)</f>
        <v/>
      </c>
      <c r="K38" s="5">
        <f>COUNTIF(K7:K37,1)</f>
        <v/>
      </c>
      <c r="L38" s="21" t="inlineStr">
        <is>
          <t>Хангалттай эзэмшиж байна</t>
        </is>
      </c>
      <c r="M38" s="22" t="n"/>
      <c r="N38" s="22" t="n"/>
      <c r="O38" s="23" t="n"/>
      <c r="P38" s="5">
        <f>COUNTIF(P7:P37,"Хангалттай эзэмшиж байна")</f>
        <v/>
      </c>
    </row>
    <row r="39" ht="17" customHeight="1">
      <c r="A39" s="5" t="inlineStr">
        <is>
          <t>Хувь</t>
        </is>
      </c>
      <c r="B39" s="15" t="n"/>
      <c r="C39" s="15" t="n"/>
      <c r="D39" s="5">
        <f>IF(COUNT(D7:D37)=0,"",ROUND(COUNTIF(D7:D37,1)/COUNT(D7:D37)*100,1))</f>
        <v/>
      </c>
      <c r="E39" s="5">
        <f>IF(COUNT(E7:E37)=0,"",ROUND(COUNTIF(E7:E37,1)/COUNT(E7:E37)*100,1))</f>
        <v/>
      </c>
      <c r="F39" s="5">
        <f>IF(COUNT(F7:F37)=0,"",ROUND(COUNTIF(F7:F37,1)/COUNT(F7:F37)*100,1))</f>
        <v/>
      </c>
      <c r="G39" s="5">
        <f>IF(COUNT(G7:G37)=0,"",ROUND(COUNTIF(G7:G37,1)/COUNT(G7:G37)*100,1))</f>
        <v/>
      </c>
      <c r="H39" s="5">
        <f>IF(COUNT(H7:H37)=0,"",ROUND(COUNTIF(H7:H37,1)/COUNT(H7:H37)*100,1))</f>
        <v/>
      </c>
      <c r="I39" s="5">
        <f>IF(COUNT(I7:I37)=0,"",ROUND(COUNTIF(I7:I37,1)/COUNT(I7:I37)*100,1))</f>
        <v/>
      </c>
      <c r="J39" s="5">
        <f>IF(COUNT(J7:J37)=0,"",ROUND(COUNTIF(J7:J37,1)/COUNT(J7:J37)*100,1))</f>
        <v/>
      </c>
      <c r="K39" s="5">
        <f>IF(COUNT(K7:K37)=0,"",ROUND(COUNTIF(K7:K37,1)/COUNT(K7:K37)*100,1))</f>
        <v/>
      </c>
      <c r="L39" s="21" t="inlineStr">
        <is>
          <t>Ахиж байна</t>
        </is>
      </c>
      <c r="M39" s="22" t="n"/>
      <c r="N39" s="22" t="n"/>
      <c r="O39" s="23" t="n"/>
      <c r="P39" s="5">
        <f>COUNTIF(P7:P37,"Ахиж байна")</f>
        <v/>
      </c>
    </row>
    <row r="40" ht="17" customHeight="1">
      <c r="A40" s="5" t="inlineStr">
        <is>
          <t>Чадахгүй (0)</t>
        </is>
      </c>
      <c r="B40" s="15" t="n"/>
      <c r="C40" s="15" t="n"/>
      <c r="D40" s="5">
        <f>COUNTIF(D7:D37,0)</f>
        <v/>
      </c>
      <c r="E40" s="5">
        <f>COUNTIF(E7:E37,0)</f>
        <v/>
      </c>
      <c r="F40" s="5">
        <f>COUNTIF(F7:F37,0)</f>
        <v/>
      </c>
      <c r="G40" s="5">
        <f>COUNTIF(G7:G37,0)</f>
        <v/>
      </c>
      <c r="H40" s="5">
        <f>COUNTIF(H7:H37,0)</f>
        <v/>
      </c>
      <c r="I40" s="5">
        <f>COUNTIF(I7:I37,0)</f>
        <v/>
      </c>
      <c r="J40" s="5">
        <f>COUNTIF(J7:J37,0)</f>
        <v/>
      </c>
      <c r="K40" s="5">
        <f>COUNTIF(K7:K37,0)</f>
        <v/>
      </c>
      <c r="L40" s="21" t="inlineStr">
        <is>
          <t>Хөгжиж байна</t>
        </is>
      </c>
      <c r="M40" s="22" t="n"/>
      <c r="N40" s="22" t="n"/>
      <c r="O40" s="23" t="n"/>
      <c r="P40" s="5">
        <f>COUNTIF(P7:P37,"Хөгжиж байна")</f>
        <v/>
      </c>
    </row>
    <row r="41" ht="17" customHeight="1">
      <c r="A41" s="5" t="inlineStr">
        <is>
          <t>Хувь</t>
        </is>
      </c>
      <c r="B41" s="15" t="n"/>
      <c r="C41" s="15" t="n"/>
      <c r="D41" s="5">
        <f>IF(COUNT(D7:D37)=0,"",ROUND(COUNTIF(D7:D37,0)/COUNT(D7:D37)*100,1))</f>
        <v/>
      </c>
      <c r="E41" s="5">
        <f>IF(COUNT(E7:E37)=0,"",ROUND(COUNTIF(E7:E37,0)/COUNT(E7:E37)*100,1))</f>
        <v/>
      </c>
      <c r="F41" s="5">
        <f>IF(COUNT(F7:F37)=0,"",ROUND(COUNTIF(F7:F37,0)/COUNT(F7:F37)*100,1))</f>
        <v/>
      </c>
      <c r="G41" s="5">
        <f>IF(COUNT(G7:G37)=0,"",ROUND(COUNTIF(G7:G37,0)/COUNT(G7:G37)*100,1))</f>
        <v/>
      </c>
      <c r="H41" s="5">
        <f>IF(COUNT(H7:H37)=0,"",ROUND(COUNTIF(H7:H37,0)/COUNT(H7:H37)*100,1))</f>
        <v/>
      </c>
      <c r="I41" s="5">
        <f>IF(COUNT(I7:I37)=0,"",ROUND(COUNTIF(I7:I37,0)/COUNT(I7:I37)*100,1))</f>
        <v/>
      </c>
      <c r="J41" s="5">
        <f>IF(COUNT(J7:J37)=0,"",ROUND(COUNTIF(J7:J37,0)/COUNT(J7:J37)*100,1))</f>
        <v/>
      </c>
      <c r="K41" s="5">
        <f>IF(COUNT(K7:K37)=0,"",ROUND(COUNTIF(K7:K37,0)/COUNT(K7:K37)*100,1))</f>
        <v/>
      </c>
      <c r="L41" s="15" t="n"/>
      <c r="M41" s="15" t="n"/>
      <c r="N41" s="15" t="n"/>
      <c r="O41" s="15" t="n"/>
      <c r="P41" s="15" t="n"/>
    </row>
  </sheetData>
  <mergeCells count="48">
    <mergeCell ref="A41:C41"/>
    <mergeCell ref="B16:C16"/>
    <mergeCell ref="B7:C7"/>
    <mergeCell ref="B25:C25"/>
    <mergeCell ref="L40:O40"/>
    <mergeCell ref="O3:O6"/>
    <mergeCell ref="L3:L6"/>
    <mergeCell ref="B22:C22"/>
    <mergeCell ref="B31:C31"/>
    <mergeCell ref="B18:C18"/>
    <mergeCell ref="B27:C27"/>
    <mergeCell ref="B12:C12"/>
    <mergeCell ref="B21:C21"/>
    <mergeCell ref="B11:C11"/>
    <mergeCell ref="N3:N6"/>
    <mergeCell ref="B23:C23"/>
    <mergeCell ref="A3:A6"/>
    <mergeCell ref="B14:C14"/>
    <mergeCell ref="B17:C17"/>
    <mergeCell ref="B8:C8"/>
    <mergeCell ref="A38:C38"/>
    <mergeCell ref="B13:C13"/>
    <mergeCell ref="B29:C29"/>
    <mergeCell ref="A1:P1"/>
    <mergeCell ref="B19:C19"/>
    <mergeCell ref="M3:M6"/>
    <mergeCell ref="B34:C34"/>
    <mergeCell ref="B10:C10"/>
    <mergeCell ref="B28:C28"/>
    <mergeCell ref="B37:C37"/>
    <mergeCell ref="A40:C40"/>
    <mergeCell ref="P3:P6"/>
    <mergeCell ref="A39:C39"/>
    <mergeCell ref="B9:C9"/>
    <mergeCell ref="D3:K3"/>
    <mergeCell ref="B3:C6"/>
    <mergeCell ref="B24:C24"/>
    <mergeCell ref="B30:C30"/>
    <mergeCell ref="B15:C15"/>
    <mergeCell ref="B33:C33"/>
    <mergeCell ref="L39:O39"/>
    <mergeCell ref="B20:C20"/>
    <mergeCell ref="B36:C36"/>
    <mergeCell ref="B32:C32"/>
    <mergeCell ref="L38:O38"/>
    <mergeCell ref="B26:C26"/>
    <mergeCell ref="B35:C35"/>
    <mergeCell ref="A2:P2"/>
  </mergeCells>
  <conditionalFormatting sqref="D7:K37">
    <cfRule type="cellIs" priority="1" operator="equal" dxfId="0">
      <formula>0</formula>
    </cfRule>
  </conditionalFormatting>
  <dataValidations count="1">
    <dataValidation sqref="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J7 J8 J9 J10 J11 J12 J13 J14 J15 J16 J17 J18 J19 J20 J21 J22 J23 J24 J25 J26 J27 J28 J29 J30 J31 J32 J33 J34 J35 J36 J37 K7 K8 K9 K10 K11 K12 K13 K14 K15 K16 K17 K18 K19 K20 K21 K22 K23 K24 K25 K26 K27 K28 K29 K30 K31 K32 K33 K34 K35 K36 K37"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AJ41"/>
  <sheetViews>
    <sheetView workbookViewId="0">
      <selection activeCell="A1" sqref="A1"/>
    </sheetView>
  </sheetViews>
  <sheetFormatPr baseColWidth="8" defaultRowHeight="15"/>
  <cols>
    <col width="4.5" customWidth="1" min="1" max="1"/>
    <col width="8" customWidth="1" min="2" max="2"/>
    <col width="4"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7" customWidth="1" min="32" max="32"/>
    <col width="7" customWidth="1" min="33" max="33"/>
    <col width="8" customWidth="1" min="34" max="34"/>
    <col width="7" customWidth="1" min="35" max="35"/>
    <col width="14" customWidth="1" min="36" max="36"/>
  </cols>
  <sheetData>
    <row r="1">
      <c r="A1" s="1" t="inlineStr">
        <is>
          <t>................ ЦЭЦЭРЛЭГИЙН БЭЛТГЭЛ БҮЛГИЙН (5 НАС) ГАРААНЫ (ОНОШЛОХ) ҮНЭЛГЭЭ</t>
        </is>
      </c>
    </row>
    <row r="2">
      <c r="A2" s="18" t="inlineStr">
        <is>
          <t>Үнэлгээний хүрээ: Чадвар          Огноо: 20.... оны .... сар          Багш: ................................          Чадна = 1, Чадахгүй = 0  (А/79 журам, IV түвшний шалгуур)</t>
        </is>
      </c>
    </row>
    <row r="3">
      <c r="A3" s="3" t="inlineStr">
        <is>
          <t>№</t>
        </is>
      </c>
      <c r="B3" s="3" t="inlineStr">
        <is>
          <t>Хүүхдийн код</t>
        </is>
      </c>
      <c r="C3" s="4" t="n"/>
      <c r="D3" s="3" t="inlineStr">
        <is>
          <t>Үнэлгээний хүрээ: Чадвар</t>
        </is>
      </c>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5" t="inlineStr">
        <is>
          <t>Чадна (1)</t>
        </is>
      </c>
      <c r="AG3" s="5" t="inlineStr">
        <is>
          <t>Хувь</t>
        </is>
      </c>
      <c r="AH3" s="5" t="inlineStr">
        <is>
          <t>Чадахгүй (0)</t>
        </is>
      </c>
      <c r="AI3" s="5" t="inlineStr">
        <is>
          <t>Хувь</t>
        </is>
      </c>
      <c r="AJ3" s="5" t="inlineStr">
        <is>
          <t>Түвшин</t>
        </is>
      </c>
    </row>
    <row r="4" ht="176" customHeight="1">
      <c r="A4" s="4" t="n"/>
      <c r="B4" s="4" t="n"/>
      <c r="C4" s="4" t="n"/>
      <c r="D4" s="6" t="inlineStr">
        <is>
          <t>Вандан сандал дээгүүр алхахдаа гарын хөдөлгөөн (гараа алдлах, өргөх гэх мэт)-ийг хослуулдаг.</t>
        </is>
      </c>
      <c r="E4" s="6" t="inlineStr">
        <is>
          <t>7-8 саадыг сүлжиж гүйдэг (10 метр зайд).</t>
        </is>
      </c>
      <c r="F4" s="6" t="inlineStr">
        <is>
          <t>Вандан сандал дээр элгээр гулсаж мөлхдөг.</t>
        </is>
      </c>
      <c r="G4" s="6" t="inlineStr">
        <is>
          <t>30 см өндөртэй тавцан дээрээс техникийн дагуу үсэрч буудаг.</t>
        </is>
      </c>
      <c r="H4" s="6" t="inlineStr">
        <is>
          <t>1.5-2 метр зайд байгаа хүүхдэд бөмбөгийг газарт ойлгож өгөх, газарт ойлгож өгсөн бөмбөгийг барьж авдаг.</t>
        </is>
      </c>
      <c r="I4" s="6" t="inlineStr">
        <is>
          <t>Сургалт, үйл ажиллагааны явцад тодорхой үйл, үйлдлийг хийж чадах, чадахгүй шалтгаанаа тайлбарладаг.</t>
        </is>
      </c>
      <c r="J4" s="6" t="inlineStr">
        <is>
          <t>Өөрийн хэрэгцээгээ илэрхийлдэг.</t>
        </is>
      </c>
      <c r="K4" s="6" t="inlineStr">
        <is>
          <t>Гэр бүлийн гишүүдээ танилцуулж, ажил хөдөлмөрт нь хэрхэн тусалдаг талаар тайлбарлан ярьдаг.</t>
        </is>
      </c>
      <c r="L4" s="6" t="inlineStr">
        <is>
          <t>Тайвшрахад туслах аргуудыг багшийн тусламжтай хэрэглэдэг.</t>
        </is>
      </c>
      <c r="M4" s="6" t="inlineStr">
        <is>
          <t>Нэрлэсэн үгийн эхэнд ба төгсгөлд орсон авиаг ялгадаг.</t>
        </is>
      </c>
      <c r="N4" s="6" t="inlineStr">
        <is>
          <t>Ном болон үлгэр, зохиол, болсон үйл явдлыг дэс дараатай тайлбарладаг.</t>
        </is>
      </c>
      <c r="O4" s="6" t="inlineStr">
        <is>
          <t>Үлгэр зохиолын төгсгөлийг өөрийн төсөөллөөр үргэлжлүүлэн зохиож ярьдаг.</t>
        </is>
      </c>
      <c r="P4" s="6" t="inlineStr">
        <is>
          <t>Өөрийн нэрийн дармал үсгийг дагуулж бичдэг.</t>
        </is>
      </c>
      <c r="Q4" s="6" t="inlineStr">
        <is>
          <t>Ном болон үлгэр, зохиол, болсон үйл явдлыг дэс дараатай тайлбарладаг.</t>
        </is>
      </c>
      <c r="R4" s="6" t="inlineStr">
        <is>
          <t>10 хүртэлх эд юмсыг оноож тоолдог.</t>
        </is>
      </c>
      <c r="S4" s="6" t="inlineStr">
        <is>
          <t>Өгөгдсөн тооноос 20 дотор нэгээр нэмэгдүүлж, хорогдуулж тоолдог.</t>
        </is>
      </c>
      <c r="T4" s="6" t="inlineStr">
        <is>
          <t>10 хүртэлх тооны дарааллаас орхигдсон 1-2 тоог олдог.</t>
        </is>
      </c>
      <c r="U4" s="6" t="inlineStr">
        <is>
          <t>Нэг юмсын байрлалаар нөгөө юмсын байрлалыг тодорхойлдог.</t>
        </is>
      </c>
      <c r="V4" s="6" t="inlineStr">
        <is>
          <t>Юмсын хэмжээ (урт, хүнд, багтаамж)-гээр нь таамаглан харьцуулдаг.</t>
        </is>
      </c>
      <c r="W4" s="6" t="inlineStr">
        <is>
          <t>Юмсыг шинж чанараар нь бүлэглэн учрыг тайлбарладаг.</t>
        </is>
      </c>
      <c r="X4" s="6" t="inlineStr">
        <is>
          <t>Сэдвийн хүрээнд үйл явдал (байгалийн үзэгдэл, үлгэр гэх мэт)-ыг бүтээлчээр зохиомжлон зурдаг.</t>
        </is>
      </c>
      <c r="Y4" s="6" t="inlineStr">
        <is>
          <t>Баримлын шавар, байгалийн материал зэргээр сэдэвт баримал барьдаг.</t>
        </is>
      </c>
      <c r="Z4" s="6" t="inlineStr">
        <is>
          <t>Өгөгдсөн сэдвийн хүрээнд наамал хийдэг.</t>
        </is>
      </c>
      <c r="AA4" s="6" t="inlineStr">
        <is>
          <t>Эд зүйлсээр юмсыг зохиомжлон бүтээж, дүрслэлийг баяжуулдаг.</t>
        </is>
      </c>
      <c r="AB4" s="6" t="inlineStr">
        <is>
          <t>Хөгжмийн энгийн зэмсгийг дуугаралтаар нь ялгаж нэрлэдэг</t>
        </is>
      </c>
      <c r="AC4" s="6" t="inlineStr">
        <is>
          <t>Гарын дохионы дагуу дууны өндөрлөг, хурдыг зохицуулан дуулдаг.</t>
        </is>
      </c>
      <c r="AD4" s="6" t="inlineStr">
        <is>
          <t>Хөгжмийн энгийн зэмсгээр аялгууны хэмнэлд нийцүүлэн хөгжимддөг.</t>
        </is>
      </c>
      <c r="AE4" s="6" t="inlineStr">
        <is>
          <t>Хөгжмийн аялгуунд нийцсэн хөдөлгөөн хийдэг.</t>
        </is>
      </c>
      <c r="AF4" s="4" t="n"/>
      <c r="AG4" s="4" t="n"/>
      <c r="AH4" s="4" t="n"/>
      <c r="AI4" s="4" t="n"/>
      <c r="AJ4" s="4" t="n"/>
    </row>
    <row r="5" ht="272" customHeight="1">
      <c r="A5" s="4" t="n"/>
      <c r="B5" s="4" t="n"/>
      <c r="C5" s="4" t="n"/>
      <c r="D5" s="19" t="inlineStr">
        <is>
          <t>СҮД: ХЭМ4.1в. Гараа алдлан нэг хөлөө арагш шулуун өргөн тэнцвэр хадгалан (хараацай) зогсоно.</t>
        </is>
      </c>
      <c r="E5" s="19" t="inlineStr">
        <is>
          <t>СҮД: ХЭМ4.1г. Алхалт, гүйлтийг хөгжмийн хэмнэлд тохируулан чиглэл, хурдаа өөрчилж гүйцэтгэнэ.</t>
        </is>
      </c>
      <c r="F5" s="19" t="inlineStr">
        <is>
          <t>СҮД: ХЭМ4.1е. Мөлхөлтийн төрлүүдийг (туулай мөлхөлт, элгээр гулсаж мөлхөх, нуруугаар гулсаж мөлхөх) хэрэглэл ашиглан гүйцэтгэнэ.</t>
        </is>
      </c>
      <c r="G5" s="19" t="inlineStr">
        <is>
          <t>СҮД: ХЭМ4.1к. 30 см өндөртэй тавцан дээрээс үсэрч бууна.</t>
        </is>
      </c>
      <c r="H5" s="19" t="inlineStr">
        <is>
          <t>СҮД: ХЭМ4.1м. Бөмбөгийг хана руу шиднэ, барьж авна.</t>
        </is>
      </c>
      <c r="I5" s="19" t="inlineStr">
        <is>
          <t>СҮД: НСХ4.1б. Өөрийн дуртай дургүй, чадах чадахгүй зүйлсийг тайлбарлаж сонголт хийдэг болно.</t>
        </is>
      </c>
      <c r="J5" s="19" t="inlineStr">
        <is>
          <t>СҮД: НСХ4.1б. Өөрийн дуртай дургүй, чадах чадахгүй зүйлсийг тайлбарлаж сонголт хийдэг болно.</t>
        </is>
      </c>
      <c r="K5" s="19" t="inlineStr">
        <is>
          <t>СҮД: БНО4.2б. Өөрийн болон бусдын гэр бүлийг хүндэтгэн ойлгож, ажил хөдөлмөрт нь туслан оролцоно.</t>
        </is>
      </c>
      <c r="L5" s="19" t="inlineStr">
        <is>
          <t>СҮД: НСХ4.1в. Тайвшрах аргаас насанд хүрэгчийн тусламжтай хэрэглэдэг болно.</t>
        </is>
      </c>
      <c r="M5" s="19" t="inlineStr">
        <is>
          <t>СҮД: ХЯ4.1б. Үгийн эхэнд болон төгсгөлд орсон авиаг сонсоод ялгаж хэлнэ.</t>
        </is>
      </c>
      <c r="N5" s="19" t="inlineStr">
        <is>
          <t>СҮД: ХЯ4.3а. Номын агуулга, үйл явдлыг тайлбарлан ярина.</t>
        </is>
      </c>
      <c r="O5" s="19" t="inlineStr">
        <is>
          <t>СҮД: ХЯ4.2д. Үйл явдлыг төсөөлж, зохиож ярина.</t>
        </is>
      </c>
      <c r="P5" s="19" t="inlineStr">
        <is>
          <t>СҮД: ХЯ4.3в. Дармал үсгийг дагуулж бичнэ.</t>
        </is>
      </c>
      <c r="Q5" s="19" t="inlineStr">
        <is>
          <t>СҮД: ХЯ4.2г. Үзсэн, оролцсон, болсон үйл явдлыг нийлмэл өгүүлбэрээр ярина.</t>
        </is>
      </c>
      <c r="R5" s="19" t="inlineStr">
        <is>
          <t>СҮД: МАТ4.1а. 20 хүртэлх тоог цээжээр тоолох, 10 хүртэлх тооны юмсыг оноож тоолох, тоог таних, өгсөн тооноос эхэлж 1-ээр нэмэгдүүлэн, хорогдуулан тоолох, тоог жишнэ. (бодит юмсын олон, цөөнийг ялгаж жиших)</t>
        </is>
      </c>
      <c r="S5" s="19" t="inlineStr">
        <is>
          <t>СҮД: МАТ4.1а. 20 хүртэлх тоог цээжээр тоолох, 10 хүртэлх тооны юмсыг оноож тоолох, тоог таних, өгсөн тооноос эхэлж 1-ээр нэмэгдүүлэн, хорогдуулан тоолох, тоог жишнэ. (бодит юмсын олон, цөөнийг ялгаж жиших)</t>
        </is>
      </c>
      <c r="T5" s="19" t="inlineStr">
        <is>
          <t>СҮД: МАТ4.1б. Тоглоом, дүрсүүдээр зүй тогтол үүсгэн тайлбарлана. 10 хүртэлх тооны дарааллаас орхигдсон тоог тодорхойлно.</t>
        </is>
      </c>
      <c r="U5" s="19" t="inlineStr">
        <is>
          <t>СҮД: МАТ4.3в. Чиглэл, байршлыг ялгаж хэрэглэнэ. (баруун, зүүн, баруун тийш, зүүн тийш)</t>
        </is>
      </c>
      <c r="V5" s="19" t="inlineStr">
        <is>
          <t>СҮД: МАТ4.2а. Юмсын урт, хүнд, багтаамжийг таамаглаад, харьцуулж, тайлбарлана.</t>
        </is>
      </c>
      <c r="W5" s="19" t="inlineStr">
        <is>
          <t>СҮД: МАТ4.3а. Тоглоом юмсын ижил ялгаатай шинжийг нэрлэж, ангилж, тайлбарлана.</t>
        </is>
      </c>
      <c r="X5" s="19" t="inlineStr">
        <is>
          <t>СҮД: ЗУ4.2а. Сэдвийн хүрээнд хүрээлэн буй орчин, хүн, амьтан, эд юмсыг зохиомжлон зурна.</t>
        </is>
      </c>
      <c r="Y5" s="19" t="inlineStr">
        <is>
          <t>СҮД: ЗУ4.2г. Баримлын шаврыг байгалийн материалтай хослуулж сэдэвт баримал барина.</t>
        </is>
      </c>
      <c r="Z5" s="19" t="inlineStr">
        <is>
          <t>СҮД: ЗУ4.2д. Сэдвийн хүрээнд өөрийн бодол төсөөллөөр наамлын бүтээл урлана.</t>
        </is>
      </c>
      <c r="AA5" s="19" t="inlineStr">
        <is>
          <t>СҮД: ЗУ4.2е. Тоглоом болон байгалийн материал, дахин ашиглах материалаас сонгож шинэ загвар бүтээнэ.</t>
        </is>
      </c>
      <c r="AB5" s="19" t="inlineStr">
        <is>
          <t>СҮД: ХӨГ4.1а. Хөгжмийн энгийн зэмсгийг дуугаралтаар ялгаж, өнгө аясыг тодорхойлно.</t>
        </is>
      </c>
      <c r="AC5" s="19" t="inlineStr">
        <is>
          <t>СҮД: ХӨГ4.1б. Дуу, аялгууг гарын дохиогоор дуулж, аялна.</t>
        </is>
      </c>
      <c r="AD5" s="19" t="inlineStr">
        <is>
          <t>СҮД: ХӨГ4.1в. Дуу, аялгууны хэмнэлийг хөгжмийн энгийн зэмсгээр хамтран хөгжимдөнө.</t>
        </is>
      </c>
      <c r="AE5" s="19" t="inlineStr">
        <is>
          <t>СҮД: ХӨГ4.1г. Хэмнэл, хурд, өнгө аясад тохируулан хөдөлгөөнөө хийнэ.</t>
        </is>
      </c>
      <c r="AF5" s="4" t="n"/>
      <c r="AG5" s="4" t="n"/>
      <c r="AH5" s="4" t="n"/>
      <c r="AI5" s="4" t="n"/>
      <c r="AJ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10" t="inlineStr">
        <is>
          <t>1 / 0</t>
        </is>
      </c>
      <c r="K6" s="10" t="inlineStr">
        <is>
          <t>1 / 0</t>
        </is>
      </c>
      <c r="L6" s="10" t="inlineStr">
        <is>
          <t>1 / 0</t>
        </is>
      </c>
      <c r="M6" s="10" t="inlineStr">
        <is>
          <t>1 / 0</t>
        </is>
      </c>
      <c r="N6" s="10" t="inlineStr">
        <is>
          <t>1 / 0</t>
        </is>
      </c>
      <c r="O6" s="10" t="inlineStr">
        <is>
          <t>1 / 0</t>
        </is>
      </c>
      <c r="P6" s="10" t="inlineStr">
        <is>
          <t>1 / 0</t>
        </is>
      </c>
      <c r="Q6" s="10" t="inlineStr">
        <is>
          <t>1 / 0</t>
        </is>
      </c>
      <c r="R6" s="10" t="inlineStr">
        <is>
          <t>1 / 0</t>
        </is>
      </c>
      <c r="S6" s="10" t="inlineStr">
        <is>
          <t>1 / 0</t>
        </is>
      </c>
      <c r="T6" s="10" t="inlineStr">
        <is>
          <t>1 / 0</t>
        </is>
      </c>
      <c r="U6" s="10" t="inlineStr">
        <is>
          <t>1 / 0</t>
        </is>
      </c>
      <c r="V6" s="10" t="inlineStr">
        <is>
          <t>1 / 0</t>
        </is>
      </c>
      <c r="W6" s="10" t="inlineStr">
        <is>
          <t>1 / 0</t>
        </is>
      </c>
      <c r="X6" s="10" t="inlineStr">
        <is>
          <t>1 / 0</t>
        </is>
      </c>
      <c r="Y6" s="10" t="inlineStr">
        <is>
          <t>1 / 0</t>
        </is>
      </c>
      <c r="Z6" s="10" t="inlineStr">
        <is>
          <t>1 / 0</t>
        </is>
      </c>
      <c r="AA6" s="10" t="inlineStr">
        <is>
          <t>1 / 0</t>
        </is>
      </c>
      <c r="AB6" s="10" t="inlineStr">
        <is>
          <t>1 / 0</t>
        </is>
      </c>
      <c r="AC6" s="10" t="inlineStr">
        <is>
          <t>1 / 0</t>
        </is>
      </c>
      <c r="AD6" s="10" t="inlineStr">
        <is>
          <t>1 / 0</t>
        </is>
      </c>
      <c r="AE6" s="10" t="inlineStr">
        <is>
          <t>1 / 0</t>
        </is>
      </c>
      <c r="AF6" s="4" t="n"/>
      <c r="AG6" s="4" t="n"/>
      <c r="AH6" s="4" t="n"/>
      <c r="AI6" s="4" t="n"/>
      <c r="AJ6" s="4" t="n"/>
    </row>
    <row r="7" ht="16" customHeight="1">
      <c r="A7" s="12" t="n">
        <v>1</v>
      </c>
      <c r="B7" s="12">
        <f>IF(Нэгтгэл!B7="","",Нэгтгэл!B7)</f>
        <v/>
      </c>
      <c r="C7" s="4" t="n"/>
      <c r="D7" s="13" t="n">
        <v>1</v>
      </c>
      <c r="E7" s="13" t="n">
        <v>0</v>
      </c>
      <c r="F7" s="13" t="n">
        <v>1</v>
      </c>
      <c r="G7" s="13" t="n">
        <v>1</v>
      </c>
      <c r="H7" s="13" t="n">
        <v>1</v>
      </c>
      <c r="I7" s="13" t="n">
        <v>1</v>
      </c>
      <c r="J7" s="13" t="n">
        <v>1</v>
      </c>
      <c r="K7" s="13" t="n">
        <v>1</v>
      </c>
      <c r="L7" s="13" t="n">
        <v>0</v>
      </c>
      <c r="M7" s="13" t="n">
        <v>1</v>
      </c>
      <c r="N7" s="13" t="n">
        <v>1</v>
      </c>
      <c r="O7" s="13" t="n">
        <v>1</v>
      </c>
      <c r="P7" s="13" t="n">
        <v>1</v>
      </c>
      <c r="Q7" s="13" t="n">
        <v>0</v>
      </c>
      <c r="R7" s="13" t="n">
        <v>0</v>
      </c>
      <c r="S7" s="13" t="n">
        <v>1</v>
      </c>
      <c r="T7" s="13" t="n">
        <v>1</v>
      </c>
      <c r="U7" s="13" t="n">
        <v>0</v>
      </c>
      <c r="V7" s="13" t="n">
        <v>1</v>
      </c>
      <c r="W7" s="13" t="n">
        <v>0</v>
      </c>
      <c r="X7" s="13" t="n">
        <v>1</v>
      </c>
      <c r="Y7" s="13" t="n">
        <v>1</v>
      </c>
      <c r="Z7" s="13" t="n">
        <v>1</v>
      </c>
      <c r="AA7" s="13" t="n">
        <v>1</v>
      </c>
      <c r="AB7" s="13" t="n">
        <v>1</v>
      </c>
      <c r="AC7" s="13" t="n">
        <v>1</v>
      </c>
      <c r="AD7" s="13" t="n">
        <v>1</v>
      </c>
      <c r="AE7" s="13" t="n">
        <v>1</v>
      </c>
      <c r="AF7" s="12">
        <f>COUNTIF(D7:AE7,1)</f>
        <v/>
      </c>
      <c r="AG7" s="12">
        <f>IF(COUNT(D7:AE7)=0,"",ROUND(AF7/28*100,1))</f>
        <v/>
      </c>
      <c r="AH7" s="12">
        <f>COUNTIF(D7:AE7,0)</f>
        <v/>
      </c>
      <c r="AI7" s="12">
        <f>IF(COUNT(D7:AE7)=0,"",ROUND(AH7/28*100,1))</f>
        <v/>
      </c>
      <c r="AJ7" s="20">
        <f>IF(AG7="","",IF(AG7&gt;=Нэгтгэл!$K$4,"Хангалттай эзэмшиж байна",IF(AG7&gt;=Нэгтгэл!$K$5,"Ахиж байна","Хөгжиж байна")))</f>
        <v/>
      </c>
    </row>
    <row r="8" ht="16" customHeight="1">
      <c r="A8" s="12" t="n">
        <v>2</v>
      </c>
      <c r="B8" s="12">
        <f>IF(Нэгтгэл!B8="","",Нэгтгэл!B8)</f>
        <v/>
      </c>
      <c r="C8" s="4" t="n"/>
      <c r="D8" s="13" t="n">
        <v>1</v>
      </c>
      <c r="E8" s="13" t="n">
        <v>1</v>
      </c>
      <c r="F8" s="13" t="n">
        <v>1</v>
      </c>
      <c r="G8" s="13" t="n">
        <v>1</v>
      </c>
      <c r="H8" s="13" t="n">
        <v>1</v>
      </c>
      <c r="I8" s="13" t="n">
        <v>0</v>
      </c>
      <c r="J8" s="13" t="n">
        <v>1</v>
      </c>
      <c r="K8" s="13" t="n">
        <v>1</v>
      </c>
      <c r="L8" s="13" t="n">
        <v>0</v>
      </c>
      <c r="M8" s="13" t="n">
        <v>1</v>
      </c>
      <c r="N8" s="13" t="n">
        <v>1</v>
      </c>
      <c r="O8" s="13" t="n">
        <v>1</v>
      </c>
      <c r="P8" s="13" t="n">
        <v>1</v>
      </c>
      <c r="Q8" s="13" t="n">
        <v>1</v>
      </c>
      <c r="R8" s="13" t="n">
        <v>1</v>
      </c>
      <c r="S8" s="13" t="n">
        <v>1</v>
      </c>
      <c r="T8" s="13" t="n">
        <v>1</v>
      </c>
      <c r="U8" s="13" t="n">
        <v>1</v>
      </c>
      <c r="V8" s="13" t="n">
        <v>1</v>
      </c>
      <c r="W8" s="13" t="n">
        <v>1</v>
      </c>
      <c r="X8" s="13" t="n">
        <v>1</v>
      </c>
      <c r="Y8" s="13" t="n">
        <v>0</v>
      </c>
      <c r="Z8" s="13" t="n">
        <v>0</v>
      </c>
      <c r="AA8" s="13" t="n">
        <v>1</v>
      </c>
      <c r="AB8" s="13" t="n">
        <v>1</v>
      </c>
      <c r="AC8" s="13" t="n">
        <v>1</v>
      </c>
      <c r="AD8" s="13" t="n">
        <v>1</v>
      </c>
      <c r="AE8" s="13" t="n">
        <v>1</v>
      </c>
      <c r="AF8" s="12">
        <f>COUNTIF(D8:AE8,1)</f>
        <v/>
      </c>
      <c r="AG8" s="12">
        <f>IF(COUNT(D8:AE8)=0,"",ROUND(AF8/28*100,1))</f>
        <v/>
      </c>
      <c r="AH8" s="12">
        <f>COUNTIF(D8:AE8,0)</f>
        <v/>
      </c>
      <c r="AI8" s="12">
        <f>IF(COUNT(D8:AE8)=0,"",ROUND(AH8/28*100,1))</f>
        <v/>
      </c>
      <c r="AJ8" s="20">
        <f>IF(AG8="","",IF(AG8&gt;=Нэгтгэл!$K$4,"Хангалттай эзэмшиж байна",IF(AG8&gt;=Нэгтгэл!$K$5,"Ахиж байна","Хөгжиж байна")))</f>
        <v/>
      </c>
    </row>
    <row r="9" ht="16" customHeight="1">
      <c r="A9" s="12" t="n">
        <v>3</v>
      </c>
      <c r="B9" s="12">
        <f>IF(Нэгтгэл!B9="","",Нэгтгэл!B9)</f>
        <v/>
      </c>
      <c r="C9" s="4" t="n"/>
      <c r="D9" s="13" t="n">
        <v>1</v>
      </c>
      <c r="E9" s="13" t="n">
        <v>0</v>
      </c>
      <c r="F9" s="13" t="n">
        <v>1</v>
      </c>
      <c r="G9" s="13" t="n">
        <v>1</v>
      </c>
      <c r="H9" s="13" t="n">
        <v>1</v>
      </c>
      <c r="I9" s="13" t="n">
        <v>0</v>
      </c>
      <c r="J9" s="13" t="n">
        <v>1</v>
      </c>
      <c r="K9" s="13" t="n">
        <v>0</v>
      </c>
      <c r="L9" s="13" t="n">
        <v>1</v>
      </c>
      <c r="M9" s="13" t="n">
        <v>1</v>
      </c>
      <c r="N9" s="13" t="n">
        <v>0</v>
      </c>
      <c r="O9" s="13" t="n">
        <v>0</v>
      </c>
      <c r="P9" s="13" t="n">
        <v>1</v>
      </c>
      <c r="Q9" s="13" t="n">
        <v>1</v>
      </c>
      <c r="R9" s="13" t="n">
        <v>1</v>
      </c>
      <c r="S9" s="13" t="n">
        <v>1</v>
      </c>
      <c r="T9" s="13" t="n">
        <v>1</v>
      </c>
      <c r="U9" s="13" t="n">
        <v>1</v>
      </c>
      <c r="V9" s="13" t="n">
        <v>1</v>
      </c>
      <c r="W9" s="13" t="n">
        <v>1</v>
      </c>
      <c r="X9" s="13" t="n">
        <v>0</v>
      </c>
      <c r="Y9" s="13" t="n">
        <v>0</v>
      </c>
      <c r="Z9" s="13" t="n">
        <v>0</v>
      </c>
      <c r="AA9" s="13" t="n">
        <v>1</v>
      </c>
      <c r="AB9" s="13" t="n">
        <v>1</v>
      </c>
      <c r="AC9" s="13" t="n">
        <v>1</v>
      </c>
      <c r="AD9" s="13" t="n">
        <v>1</v>
      </c>
      <c r="AE9" s="13" t="n">
        <v>1</v>
      </c>
      <c r="AF9" s="12">
        <f>COUNTIF(D9:AE9,1)</f>
        <v/>
      </c>
      <c r="AG9" s="12">
        <f>IF(COUNT(D9:AE9)=0,"",ROUND(AF9/28*100,1))</f>
        <v/>
      </c>
      <c r="AH9" s="12">
        <f>COUNTIF(D9:AE9,0)</f>
        <v/>
      </c>
      <c r="AI9" s="12">
        <f>IF(COUNT(D9:AE9)=0,"",ROUND(AH9/28*100,1))</f>
        <v/>
      </c>
      <c r="AJ9" s="20">
        <f>IF(AG9="","",IF(AG9&gt;=Нэгтгэл!$K$4,"Хангалттай эзэмшиж байна",IF(AG9&gt;=Нэгтгэл!$K$5,"Ахиж байна","Хөгжиж байна")))</f>
        <v/>
      </c>
    </row>
    <row r="10" ht="16" customHeight="1">
      <c r="A10" s="12" t="n">
        <v>4</v>
      </c>
      <c r="B10" s="12">
        <f>IF(Нэгтгэл!B10="","",Нэгтгэл!B10)</f>
        <v/>
      </c>
      <c r="C10" s="4" t="n"/>
      <c r="D10" s="13" t="n">
        <v>1</v>
      </c>
      <c r="E10" s="13" t="n">
        <v>1</v>
      </c>
      <c r="F10" s="13" t="n">
        <v>1</v>
      </c>
      <c r="G10" s="13" t="n">
        <v>1</v>
      </c>
      <c r="H10" s="13" t="n">
        <v>1</v>
      </c>
      <c r="I10" s="13" t="n">
        <v>1</v>
      </c>
      <c r="J10" s="13" t="n">
        <v>1</v>
      </c>
      <c r="K10" s="13" t="n">
        <v>1</v>
      </c>
      <c r="L10" s="13" t="n">
        <v>0</v>
      </c>
      <c r="M10" s="13" t="n">
        <v>1</v>
      </c>
      <c r="N10" s="13" t="n">
        <v>1</v>
      </c>
      <c r="O10" s="13" t="n">
        <v>0</v>
      </c>
      <c r="P10" s="13" t="n">
        <v>1</v>
      </c>
      <c r="Q10" s="13" t="n">
        <v>1</v>
      </c>
      <c r="R10" s="13" t="n">
        <v>1</v>
      </c>
      <c r="S10" s="13" t="n">
        <v>1</v>
      </c>
      <c r="T10" s="13" t="n">
        <v>1</v>
      </c>
      <c r="U10" s="13" t="n">
        <v>1</v>
      </c>
      <c r="V10" s="13" t="n">
        <v>1</v>
      </c>
      <c r="W10" s="13" t="n">
        <v>0</v>
      </c>
      <c r="X10" s="13" t="n">
        <v>1</v>
      </c>
      <c r="Y10" s="13" t="n">
        <v>1</v>
      </c>
      <c r="Z10" s="13" t="n">
        <v>0</v>
      </c>
      <c r="AA10" s="13" t="n">
        <v>1</v>
      </c>
      <c r="AB10" s="13" t="n">
        <v>0</v>
      </c>
      <c r="AC10" s="13" t="n">
        <v>1</v>
      </c>
      <c r="AD10" s="13" t="n">
        <v>1</v>
      </c>
      <c r="AE10" s="13" t="n">
        <v>1</v>
      </c>
      <c r="AF10" s="12">
        <f>COUNTIF(D10:AE10,1)</f>
        <v/>
      </c>
      <c r="AG10" s="12">
        <f>IF(COUNT(D10:AE10)=0,"",ROUND(AF10/28*100,1))</f>
        <v/>
      </c>
      <c r="AH10" s="12">
        <f>COUNTIF(D10:AE10,0)</f>
        <v/>
      </c>
      <c r="AI10" s="12">
        <f>IF(COUNT(D10:AE10)=0,"",ROUND(AH10/28*100,1))</f>
        <v/>
      </c>
      <c r="AJ10" s="20">
        <f>IF(AG10="","",IF(AG10&gt;=Нэгтгэл!$K$4,"Хангалттай эзэмшиж байна",IF(AG10&gt;=Нэгтгэл!$K$5,"Ахиж байна","Хөгжиж байна")))</f>
        <v/>
      </c>
    </row>
    <row r="11" ht="16" customHeight="1">
      <c r="A11" s="12" t="n">
        <v>5</v>
      </c>
      <c r="B11" s="12">
        <f>IF(Нэгтгэл!B11="","",Нэгтгэл!B11)</f>
        <v/>
      </c>
      <c r="C11" s="4" t="n"/>
      <c r="D11" s="13" t="n">
        <v>1</v>
      </c>
      <c r="E11" s="13" t="n">
        <v>1</v>
      </c>
      <c r="F11" s="13" t="n">
        <v>1</v>
      </c>
      <c r="G11" s="13" t="n">
        <v>1</v>
      </c>
      <c r="H11" s="13" t="n">
        <v>1</v>
      </c>
      <c r="I11" s="13" t="n">
        <v>1</v>
      </c>
      <c r="J11" s="13" t="n">
        <v>1</v>
      </c>
      <c r="K11" s="13" t="n">
        <v>1</v>
      </c>
      <c r="L11" s="13" t="n">
        <v>1</v>
      </c>
      <c r="M11" s="13" t="n">
        <v>1</v>
      </c>
      <c r="N11" s="13" t="n">
        <v>1</v>
      </c>
      <c r="O11" s="13" t="n">
        <v>1</v>
      </c>
      <c r="P11" s="13" t="n">
        <v>0</v>
      </c>
      <c r="Q11" s="13" t="n">
        <v>1</v>
      </c>
      <c r="R11" s="13" t="n">
        <v>0</v>
      </c>
      <c r="S11" s="13" t="n">
        <v>1</v>
      </c>
      <c r="T11" s="13" t="n">
        <v>0</v>
      </c>
      <c r="U11" s="13" t="n">
        <v>0</v>
      </c>
      <c r="V11" s="13" t="n">
        <v>1</v>
      </c>
      <c r="W11" s="13" t="n">
        <v>1</v>
      </c>
      <c r="X11" s="13" t="n">
        <v>0</v>
      </c>
      <c r="Y11" s="13" t="n">
        <v>1</v>
      </c>
      <c r="Z11" s="13" t="n">
        <v>1</v>
      </c>
      <c r="AA11" s="13" t="n">
        <v>1</v>
      </c>
      <c r="AB11" s="13" t="n">
        <v>1</v>
      </c>
      <c r="AC11" s="13" t="n">
        <v>0</v>
      </c>
      <c r="AD11" s="13" t="n">
        <v>0</v>
      </c>
      <c r="AE11" s="13" t="n">
        <v>0</v>
      </c>
      <c r="AF11" s="12">
        <f>COUNTIF(D11:AE11,1)</f>
        <v/>
      </c>
      <c r="AG11" s="12">
        <f>IF(COUNT(D11:AE11)=0,"",ROUND(AF11/28*100,1))</f>
        <v/>
      </c>
      <c r="AH11" s="12">
        <f>COUNTIF(D11:AE11,0)</f>
        <v/>
      </c>
      <c r="AI11" s="12">
        <f>IF(COUNT(D11:AE11)=0,"",ROUND(AH11/28*100,1))</f>
        <v/>
      </c>
      <c r="AJ11" s="20">
        <f>IF(AG11="","",IF(AG11&gt;=Нэгтгэл!$K$4,"Хангалттай эзэмшиж байна",IF(AG11&gt;=Нэгтгэл!$K$5,"Ахиж байна","Хөгжиж байна")))</f>
        <v/>
      </c>
    </row>
    <row r="12" ht="16" customHeight="1">
      <c r="A12" s="12" t="n">
        <v>6</v>
      </c>
      <c r="B12" s="12">
        <f>IF(Нэгтгэл!B12="","",Нэгтгэл!B12)</f>
        <v/>
      </c>
      <c r="C12" s="4" t="n"/>
      <c r="D12" s="13" t="n">
        <v>0</v>
      </c>
      <c r="E12" s="13" t="n">
        <v>1</v>
      </c>
      <c r="F12" s="13" t="n">
        <v>1</v>
      </c>
      <c r="G12" s="13" t="n">
        <v>1</v>
      </c>
      <c r="H12" s="13" t="n">
        <v>1</v>
      </c>
      <c r="I12" s="13" t="n">
        <v>1</v>
      </c>
      <c r="J12" s="13" t="n">
        <v>1</v>
      </c>
      <c r="K12" s="13" t="n">
        <v>1</v>
      </c>
      <c r="L12" s="13" t="n">
        <v>1</v>
      </c>
      <c r="M12" s="13" t="n">
        <v>1</v>
      </c>
      <c r="N12" s="13" t="n">
        <v>1</v>
      </c>
      <c r="O12" s="13" t="n">
        <v>0</v>
      </c>
      <c r="P12" s="13" t="n">
        <v>0</v>
      </c>
      <c r="Q12" s="13" t="n">
        <v>1</v>
      </c>
      <c r="R12" s="13" t="n">
        <v>1</v>
      </c>
      <c r="S12" s="13" t="n">
        <v>1</v>
      </c>
      <c r="T12" s="13" t="n">
        <v>1</v>
      </c>
      <c r="U12" s="13" t="n">
        <v>1</v>
      </c>
      <c r="V12" s="13" t="n">
        <v>1</v>
      </c>
      <c r="W12" s="13" t="n">
        <v>1</v>
      </c>
      <c r="X12" s="13" t="n">
        <v>0</v>
      </c>
      <c r="Y12" s="13" t="n">
        <v>0</v>
      </c>
      <c r="Z12" s="13" t="n">
        <v>1</v>
      </c>
      <c r="AA12" s="13" t="n">
        <v>0</v>
      </c>
      <c r="AB12" s="13" t="n">
        <v>1</v>
      </c>
      <c r="AC12" s="13" t="n">
        <v>1</v>
      </c>
      <c r="AD12" s="13" t="n">
        <v>1</v>
      </c>
      <c r="AE12" s="13" t="n">
        <v>0</v>
      </c>
      <c r="AF12" s="12">
        <f>COUNTIF(D12:AE12,1)</f>
        <v/>
      </c>
      <c r="AG12" s="12">
        <f>IF(COUNT(D12:AE12)=0,"",ROUND(AF12/28*100,1))</f>
        <v/>
      </c>
      <c r="AH12" s="12">
        <f>COUNTIF(D12:AE12,0)</f>
        <v/>
      </c>
      <c r="AI12" s="12">
        <f>IF(COUNT(D12:AE12)=0,"",ROUND(AH12/28*100,1))</f>
        <v/>
      </c>
      <c r="AJ12" s="20">
        <f>IF(AG12="","",IF(AG12&gt;=Нэгтгэл!$K$4,"Хангалттай эзэмшиж байна",IF(AG12&gt;=Нэгтгэл!$K$5,"Ахиж байна","Хөгжиж байна")))</f>
        <v/>
      </c>
    </row>
    <row r="13" ht="16" customHeight="1">
      <c r="A13" s="12" t="n">
        <v>7</v>
      </c>
      <c r="B13" s="12">
        <f>IF(Нэгтгэл!B13="","",Нэгтгэл!B13)</f>
        <v/>
      </c>
      <c r="C13" s="4" t="n"/>
      <c r="D13" s="13" t="n">
        <v>1</v>
      </c>
      <c r="E13" s="13" t="n">
        <v>1</v>
      </c>
      <c r="F13" s="13" t="n">
        <v>1</v>
      </c>
      <c r="G13" s="13" t="n">
        <v>1</v>
      </c>
      <c r="H13" s="13" t="n">
        <v>1</v>
      </c>
      <c r="I13" s="13" t="n">
        <v>1</v>
      </c>
      <c r="J13" s="13" t="n">
        <v>1</v>
      </c>
      <c r="K13" s="13" t="n">
        <v>1</v>
      </c>
      <c r="L13" s="13" t="n">
        <v>1</v>
      </c>
      <c r="M13" s="13" t="n">
        <v>1</v>
      </c>
      <c r="N13" s="13" t="n">
        <v>1</v>
      </c>
      <c r="O13" s="13" t="n">
        <v>0</v>
      </c>
      <c r="P13" s="13" t="n">
        <v>1</v>
      </c>
      <c r="Q13" s="13" t="n">
        <v>1</v>
      </c>
      <c r="R13" s="13" t="n">
        <v>1</v>
      </c>
      <c r="S13" s="13" t="n">
        <v>0</v>
      </c>
      <c r="T13" s="13" t="n">
        <v>1</v>
      </c>
      <c r="U13" s="13" t="n">
        <v>1</v>
      </c>
      <c r="V13" s="13" t="n">
        <v>0</v>
      </c>
      <c r="W13" s="13" t="n">
        <v>1</v>
      </c>
      <c r="X13" s="13" t="n">
        <v>1</v>
      </c>
      <c r="Y13" s="13" t="n">
        <v>1</v>
      </c>
      <c r="Z13" s="13" t="n">
        <v>1</v>
      </c>
      <c r="AA13" s="13" t="n">
        <v>1</v>
      </c>
      <c r="AB13" s="13" t="n">
        <v>1</v>
      </c>
      <c r="AC13" s="13" t="n">
        <v>1</v>
      </c>
      <c r="AD13" s="13" t="n">
        <v>1</v>
      </c>
      <c r="AE13" s="13" t="n">
        <v>0</v>
      </c>
      <c r="AF13" s="12">
        <f>COUNTIF(D13:AE13,1)</f>
        <v/>
      </c>
      <c r="AG13" s="12">
        <f>IF(COUNT(D13:AE13)=0,"",ROUND(AF13/28*100,1))</f>
        <v/>
      </c>
      <c r="AH13" s="12">
        <f>COUNTIF(D13:AE13,0)</f>
        <v/>
      </c>
      <c r="AI13" s="12">
        <f>IF(COUNT(D13:AE13)=0,"",ROUND(AH13/28*100,1))</f>
        <v/>
      </c>
      <c r="AJ13" s="20">
        <f>IF(AG13="","",IF(AG13&gt;=Нэгтгэл!$K$4,"Хангалттай эзэмшиж байна",IF(AG13&gt;=Нэгтгэл!$K$5,"Ахиж байна","Хөгжиж байна")))</f>
        <v/>
      </c>
    </row>
    <row r="14" ht="16" customHeight="1">
      <c r="A14" s="12" t="n">
        <v>8</v>
      </c>
      <c r="B14" s="12">
        <f>IF(Нэгтгэл!B14="","",Нэгтгэл!B14)</f>
        <v/>
      </c>
      <c r="C14" s="4" t="n"/>
      <c r="D14" s="13" t="n">
        <v>0</v>
      </c>
      <c r="E14" s="13" t="n">
        <v>1</v>
      </c>
      <c r="F14" s="13" t="n">
        <v>1</v>
      </c>
      <c r="G14" s="13" t="n">
        <v>0</v>
      </c>
      <c r="H14" s="13" t="n">
        <v>1</v>
      </c>
      <c r="I14" s="13" t="n">
        <v>0</v>
      </c>
      <c r="J14" s="13" t="n">
        <v>0</v>
      </c>
      <c r="K14" s="13" t="n">
        <v>1</v>
      </c>
      <c r="L14" s="13" t="n">
        <v>1</v>
      </c>
      <c r="M14" s="13" t="n">
        <v>0</v>
      </c>
      <c r="N14" s="13" t="n">
        <v>1</v>
      </c>
      <c r="O14" s="13" t="n">
        <v>1</v>
      </c>
      <c r="P14" s="13" t="n">
        <v>1</v>
      </c>
      <c r="Q14" s="13" t="n">
        <v>0</v>
      </c>
      <c r="R14" s="13" t="n">
        <v>1</v>
      </c>
      <c r="S14" s="13" t="n">
        <v>1</v>
      </c>
      <c r="T14" s="13" t="n">
        <v>1</v>
      </c>
      <c r="U14" s="13" t="n">
        <v>1</v>
      </c>
      <c r="V14" s="13" t="n">
        <v>0</v>
      </c>
      <c r="W14" s="13" t="n">
        <v>1</v>
      </c>
      <c r="X14" s="13" t="n">
        <v>0</v>
      </c>
      <c r="Y14" s="13" t="n">
        <v>1</v>
      </c>
      <c r="Z14" s="13" t="n">
        <v>1</v>
      </c>
      <c r="AA14" s="13" t="n">
        <v>0</v>
      </c>
      <c r="AB14" s="13" t="n">
        <v>1</v>
      </c>
      <c r="AC14" s="13" t="n">
        <v>0</v>
      </c>
      <c r="AD14" s="13" t="n">
        <v>1</v>
      </c>
      <c r="AE14" s="13" t="n">
        <v>1</v>
      </c>
      <c r="AF14" s="12">
        <f>COUNTIF(D14:AE14,1)</f>
        <v/>
      </c>
      <c r="AG14" s="12">
        <f>IF(COUNT(D14:AE14)=0,"",ROUND(AF14/28*100,1))</f>
        <v/>
      </c>
      <c r="AH14" s="12">
        <f>COUNTIF(D14:AE14,0)</f>
        <v/>
      </c>
      <c r="AI14" s="12">
        <f>IF(COUNT(D14:AE14)=0,"",ROUND(AH14/28*100,1))</f>
        <v/>
      </c>
      <c r="AJ14" s="20">
        <f>IF(AG14="","",IF(AG14&gt;=Нэгтгэл!$K$4,"Хангалттай эзэмшиж байна",IF(AG14&gt;=Нэгтгэл!$K$5,"Ахиж байна","Хөгжиж байна")))</f>
        <v/>
      </c>
    </row>
    <row r="15" ht="16" customHeight="1">
      <c r="A15" s="12" t="n">
        <v>9</v>
      </c>
      <c r="B15" s="12">
        <f>IF(Нэгтгэл!B15="","",Нэгтгэл!B15)</f>
        <v/>
      </c>
      <c r="C15" s="4" t="n"/>
      <c r="D15" s="13" t="n">
        <v>1</v>
      </c>
      <c r="E15" s="13" t="n">
        <v>1</v>
      </c>
      <c r="F15" s="13" t="n">
        <v>1</v>
      </c>
      <c r="G15" s="13" t="n">
        <v>0</v>
      </c>
      <c r="H15" s="13" t="n">
        <v>0</v>
      </c>
      <c r="I15" s="13" t="n">
        <v>1</v>
      </c>
      <c r="J15" s="13" t="n">
        <v>0</v>
      </c>
      <c r="K15" s="13" t="n">
        <v>1</v>
      </c>
      <c r="L15" s="13" t="n">
        <v>1</v>
      </c>
      <c r="M15" s="13" t="n">
        <v>1</v>
      </c>
      <c r="N15" s="13" t="n">
        <v>1</v>
      </c>
      <c r="O15" s="13" t="n">
        <v>1</v>
      </c>
      <c r="P15" s="13" t="n">
        <v>1</v>
      </c>
      <c r="Q15" s="13" t="n">
        <v>1</v>
      </c>
      <c r="R15" s="13" t="n">
        <v>1</v>
      </c>
      <c r="S15" s="13" t="n">
        <v>0</v>
      </c>
      <c r="T15" s="13" t="n">
        <v>0</v>
      </c>
      <c r="U15" s="13" t="n">
        <v>0</v>
      </c>
      <c r="V15" s="13" t="n">
        <v>1</v>
      </c>
      <c r="W15" s="13" t="n">
        <v>1</v>
      </c>
      <c r="X15" s="13" t="n">
        <v>0</v>
      </c>
      <c r="Y15" s="13" t="n">
        <v>1</v>
      </c>
      <c r="Z15" s="13" t="n">
        <v>1</v>
      </c>
      <c r="AA15" s="13" t="n">
        <v>0</v>
      </c>
      <c r="AB15" s="13" t="n">
        <v>0</v>
      </c>
      <c r="AC15" s="13" t="n">
        <v>1</v>
      </c>
      <c r="AD15" s="13" t="n">
        <v>0</v>
      </c>
      <c r="AE15" s="13" t="n">
        <v>1</v>
      </c>
      <c r="AF15" s="12">
        <f>COUNTIF(D15:AE15,1)</f>
        <v/>
      </c>
      <c r="AG15" s="12">
        <f>IF(COUNT(D15:AE15)=0,"",ROUND(AF15/28*100,1))</f>
        <v/>
      </c>
      <c r="AH15" s="12">
        <f>COUNTIF(D15:AE15,0)</f>
        <v/>
      </c>
      <c r="AI15" s="12">
        <f>IF(COUNT(D15:AE15)=0,"",ROUND(AH15/28*100,1))</f>
        <v/>
      </c>
      <c r="AJ15" s="20">
        <f>IF(AG15="","",IF(AG15&gt;=Нэгтгэл!$K$4,"Хангалттай эзэмшиж байна",IF(AG15&gt;=Нэгтгэл!$K$5,"Ахиж байна","Хөгжиж байна")))</f>
        <v/>
      </c>
    </row>
    <row r="16" ht="16" customHeight="1">
      <c r="A16" s="12" t="n">
        <v>10</v>
      </c>
      <c r="B16" s="12">
        <f>IF(Нэгтгэл!B16="","",Нэгтгэл!B16)</f>
        <v/>
      </c>
      <c r="C16" s="4" t="n"/>
      <c r="D16" s="13" t="n">
        <v>1</v>
      </c>
      <c r="E16" s="13" t="n">
        <v>1</v>
      </c>
      <c r="F16" s="13" t="n">
        <v>1</v>
      </c>
      <c r="G16" s="13" t="n">
        <v>1</v>
      </c>
      <c r="H16" s="13" t="n">
        <v>1</v>
      </c>
      <c r="I16" s="13" t="n">
        <v>0</v>
      </c>
      <c r="J16" s="13" t="n">
        <v>1</v>
      </c>
      <c r="K16" s="13" t="n">
        <v>1</v>
      </c>
      <c r="L16" s="13" t="n">
        <v>0</v>
      </c>
      <c r="M16" s="13" t="n">
        <v>1</v>
      </c>
      <c r="N16" s="13" t="n">
        <v>0</v>
      </c>
      <c r="O16" s="13" t="n">
        <v>0</v>
      </c>
      <c r="P16" s="13" t="n">
        <v>1</v>
      </c>
      <c r="Q16" s="13" t="n">
        <v>1</v>
      </c>
      <c r="R16" s="13" t="n">
        <v>1</v>
      </c>
      <c r="S16" s="13" t="n">
        <v>1</v>
      </c>
      <c r="T16" s="13" t="n">
        <v>1</v>
      </c>
      <c r="U16" s="13" t="n">
        <v>1</v>
      </c>
      <c r="V16" s="13" t="n">
        <v>0</v>
      </c>
      <c r="W16" s="13" t="n">
        <v>1</v>
      </c>
      <c r="X16" s="13" t="n">
        <v>0</v>
      </c>
      <c r="Y16" s="13" t="n">
        <v>0</v>
      </c>
      <c r="Z16" s="13" t="n">
        <v>1</v>
      </c>
      <c r="AA16" s="13" t="n">
        <v>1</v>
      </c>
      <c r="AB16" s="13" t="n">
        <v>1</v>
      </c>
      <c r="AC16" s="13" t="n">
        <v>1</v>
      </c>
      <c r="AD16" s="13" t="n">
        <v>1</v>
      </c>
      <c r="AE16" s="13" t="n">
        <v>1</v>
      </c>
      <c r="AF16" s="12">
        <f>COUNTIF(D16:AE16,1)</f>
        <v/>
      </c>
      <c r="AG16" s="12">
        <f>IF(COUNT(D16:AE16)=0,"",ROUND(AF16/28*100,1))</f>
        <v/>
      </c>
      <c r="AH16" s="12">
        <f>COUNTIF(D16:AE16,0)</f>
        <v/>
      </c>
      <c r="AI16" s="12">
        <f>IF(COUNT(D16:AE16)=0,"",ROUND(AH16/28*100,1))</f>
        <v/>
      </c>
      <c r="AJ16" s="20">
        <f>IF(AG16="","",IF(AG16&gt;=Нэгтгэл!$K$4,"Хангалттай эзэмшиж байна",IF(AG16&gt;=Нэгтгэл!$K$5,"Ахиж байна","Хөгжиж байна")))</f>
        <v/>
      </c>
    </row>
    <row r="17" ht="16" customHeight="1">
      <c r="A17" s="12" t="n">
        <v>11</v>
      </c>
      <c r="B17" s="12">
        <f>IF(Нэгтгэл!B17="","",Нэгтгэл!B17)</f>
        <v/>
      </c>
      <c r="C17" s="4" t="n"/>
      <c r="D17" s="13" t="n">
        <v>1</v>
      </c>
      <c r="E17" s="13" t="n">
        <v>0</v>
      </c>
      <c r="F17" s="13" t="n">
        <v>1</v>
      </c>
      <c r="G17" s="13" t="n">
        <v>1</v>
      </c>
      <c r="H17" s="13" t="n">
        <v>0</v>
      </c>
      <c r="I17" s="13" t="n">
        <v>1</v>
      </c>
      <c r="J17" s="13" t="n">
        <v>0</v>
      </c>
      <c r="K17" s="13" t="n">
        <v>1</v>
      </c>
      <c r="L17" s="13" t="n">
        <v>1</v>
      </c>
      <c r="M17" s="13" t="n">
        <v>1</v>
      </c>
      <c r="N17" s="13" t="n">
        <v>1</v>
      </c>
      <c r="O17" s="13" t="n">
        <v>0</v>
      </c>
      <c r="P17" s="13" t="n">
        <v>1</v>
      </c>
      <c r="Q17" s="13" t="n">
        <v>0</v>
      </c>
      <c r="R17" s="13" t="n">
        <v>1</v>
      </c>
      <c r="S17" s="13" t="n">
        <v>1</v>
      </c>
      <c r="T17" s="13" t="n">
        <v>1</v>
      </c>
      <c r="U17" s="13" t="n">
        <v>1</v>
      </c>
      <c r="V17" s="13" t="n">
        <v>0</v>
      </c>
      <c r="W17" s="13" t="n">
        <v>1</v>
      </c>
      <c r="X17" s="13" t="n">
        <v>1</v>
      </c>
      <c r="Y17" s="13" t="n">
        <v>0</v>
      </c>
      <c r="Z17" s="13" t="n">
        <v>1</v>
      </c>
      <c r="AA17" s="13" t="n">
        <v>1</v>
      </c>
      <c r="AB17" s="13" t="n">
        <v>1</v>
      </c>
      <c r="AC17" s="13" t="n">
        <v>0</v>
      </c>
      <c r="AD17" s="13" t="n">
        <v>1</v>
      </c>
      <c r="AE17" s="13" t="n">
        <v>1</v>
      </c>
      <c r="AF17" s="12">
        <f>COUNTIF(D17:AE17,1)</f>
        <v/>
      </c>
      <c r="AG17" s="12">
        <f>IF(COUNT(D17:AE17)=0,"",ROUND(AF17/28*100,1))</f>
        <v/>
      </c>
      <c r="AH17" s="12">
        <f>COUNTIF(D17:AE17,0)</f>
        <v/>
      </c>
      <c r="AI17" s="12">
        <f>IF(COUNT(D17:AE17)=0,"",ROUND(AH17/28*100,1))</f>
        <v/>
      </c>
      <c r="AJ17" s="20">
        <f>IF(AG17="","",IF(AG17&gt;=Нэгтгэл!$K$4,"Хангалттай эзэмшиж байна",IF(AG17&gt;=Нэгтгэл!$K$5,"Ахиж байна","Хөгжиж байна")))</f>
        <v/>
      </c>
    </row>
    <row r="18" ht="16" customHeight="1">
      <c r="A18" s="12" t="n">
        <v>12</v>
      </c>
      <c r="B18" s="12">
        <f>IF(Нэгтгэл!B18="","",Нэгтгэл!B18)</f>
        <v/>
      </c>
      <c r="C18" s="4" t="n"/>
      <c r="D18" s="13" t="n">
        <v>1</v>
      </c>
      <c r="E18" s="13" t="n">
        <v>1</v>
      </c>
      <c r="F18" s="13" t="n">
        <v>1</v>
      </c>
      <c r="G18" s="13" t="n">
        <v>1</v>
      </c>
      <c r="H18" s="13" t="n">
        <v>1</v>
      </c>
      <c r="I18" s="13" t="n">
        <v>1</v>
      </c>
      <c r="J18" s="13" t="n">
        <v>1</v>
      </c>
      <c r="K18" s="13" t="n">
        <v>1</v>
      </c>
      <c r="L18" s="13" t="n">
        <v>0</v>
      </c>
      <c r="M18" s="13" t="n">
        <v>0</v>
      </c>
      <c r="N18" s="13" t="n">
        <v>1</v>
      </c>
      <c r="O18" s="13" t="n">
        <v>1</v>
      </c>
      <c r="P18" s="13" t="n">
        <v>1</v>
      </c>
      <c r="Q18" s="13" t="n">
        <v>1</v>
      </c>
      <c r="R18" s="13" t="n">
        <v>1</v>
      </c>
      <c r="S18" s="13" t="n">
        <v>1</v>
      </c>
      <c r="T18" s="13" t="n">
        <v>0</v>
      </c>
      <c r="U18" s="13" t="n">
        <v>1</v>
      </c>
      <c r="V18" s="13" t="n">
        <v>0</v>
      </c>
      <c r="W18" s="13" t="n">
        <v>1</v>
      </c>
      <c r="X18" s="13" t="n">
        <v>0</v>
      </c>
      <c r="Y18" s="13" t="n">
        <v>0</v>
      </c>
      <c r="Z18" s="13" t="n">
        <v>1</v>
      </c>
      <c r="AA18" s="13" t="n">
        <v>0</v>
      </c>
      <c r="AB18" s="13" t="n">
        <v>1</v>
      </c>
      <c r="AC18" s="13" t="n">
        <v>1</v>
      </c>
      <c r="AD18" s="13" t="n">
        <v>1</v>
      </c>
      <c r="AE18" s="13" t="n">
        <v>1</v>
      </c>
      <c r="AF18" s="12">
        <f>COUNTIF(D18:AE18,1)</f>
        <v/>
      </c>
      <c r="AG18" s="12">
        <f>IF(COUNT(D18:AE18)=0,"",ROUND(AF18/28*100,1))</f>
        <v/>
      </c>
      <c r="AH18" s="12">
        <f>COUNTIF(D18:AE18,0)</f>
        <v/>
      </c>
      <c r="AI18" s="12">
        <f>IF(COUNT(D18:AE18)=0,"",ROUND(AH18/28*100,1))</f>
        <v/>
      </c>
      <c r="AJ18" s="20">
        <f>IF(AG18="","",IF(AG18&gt;=Нэгтгэл!$K$4,"Хангалттай эзэмшиж байна",IF(AG18&gt;=Нэгтгэл!$K$5,"Ахиж байна","Хөгжиж байна")))</f>
        <v/>
      </c>
    </row>
    <row r="19" ht="16" customHeight="1">
      <c r="A19" s="12" t="n">
        <v>13</v>
      </c>
      <c r="B19" s="12">
        <f>IF(Нэгтгэл!B19="","",Нэгтгэл!B19)</f>
        <v/>
      </c>
      <c r="C19" s="4" t="n"/>
      <c r="D19" s="13" t="n">
        <v>1</v>
      </c>
      <c r="E19" s="13" t="n">
        <v>1</v>
      </c>
      <c r="F19" s="13" t="n">
        <v>1</v>
      </c>
      <c r="G19" s="13" t="n">
        <v>1</v>
      </c>
      <c r="H19" s="13" t="n">
        <v>1</v>
      </c>
      <c r="I19" s="13" t="n">
        <v>0</v>
      </c>
      <c r="J19" s="13" t="n">
        <v>0</v>
      </c>
      <c r="K19" s="13" t="n">
        <v>0</v>
      </c>
      <c r="L19" s="13" t="n">
        <v>1</v>
      </c>
      <c r="M19" s="13" t="n">
        <v>0</v>
      </c>
      <c r="N19" s="13" t="n">
        <v>1</v>
      </c>
      <c r="O19" s="13" t="n">
        <v>1</v>
      </c>
      <c r="P19" s="13" t="n">
        <v>1</v>
      </c>
      <c r="Q19" s="13" t="n">
        <v>1</v>
      </c>
      <c r="R19" s="13" t="n">
        <v>1</v>
      </c>
      <c r="S19" s="13" t="n">
        <v>1</v>
      </c>
      <c r="T19" s="13" t="n">
        <v>1</v>
      </c>
      <c r="U19" s="13" t="n">
        <v>1</v>
      </c>
      <c r="V19" s="13" t="n">
        <v>1</v>
      </c>
      <c r="W19" s="13" t="n">
        <v>0</v>
      </c>
      <c r="X19" s="13" t="n">
        <v>1</v>
      </c>
      <c r="Y19" s="13" t="n">
        <v>1</v>
      </c>
      <c r="Z19" s="13" t="n">
        <v>1</v>
      </c>
      <c r="AA19" s="13" t="n">
        <v>1</v>
      </c>
      <c r="AB19" s="13" t="n">
        <v>1</v>
      </c>
      <c r="AC19" s="13" t="n">
        <v>1</v>
      </c>
      <c r="AD19" s="13" t="n">
        <v>1</v>
      </c>
      <c r="AE19" s="13" t="n">
        <v>1</v>
      </c>
      <c r="AF19" s="12">
        <f>COUNTIF(D19:AE19,1)</f>
        <v/>
      </c>
      <c r="AG19" s="12">
        <f>IF(COUNT(D19:AE19)=0,"",ROUND(AF19/28*100,1))</f>
        <v/>
      </c>
      <c r="AH19" s="12">
        <f>COUNTIF(D19:AE19,0)</f>
        <v/>
      </c>
      <c r="AI19" s="12">
        <f>IF(COUNT(D19:AE19)=0,"",ROUND(AH19/28*100,1))</f>
        <v/>
      </c>
      <c r="AJ19" s="20">
        <f>IF(AG19="","",IF(AG19&gt;=Нэгтгэл!$K$4,"Хангалттай эзэмшиж байна",IF(AG19&gt;=Нэгтгэл!$K$5,"Ахиж байна","Хөгжиж байна")))</f>
        <v/>
      </c>
    </row>
    <row r="20" ht="16" customHeight="1">
      <c r="A20" s="12" t="n">
        <v>14</v>
      </c>
      <c r="B20" s="12">
        <f>IF(Нэгтгэл!B20="","",Нэгтгэл!B20)</f>
        <v/>
      </c>
      <c r="C20" s="4" t="n"/>
      <c r="D20" s="13" t="n">
        <v>1</v>
      </c>
      <c r="E20" s="13" t="n">
        <v>0</v>
      </c>
      <c r="F20" s="13" t="n">
        <v>1</v>
      </c>
      <c r="G20" s="13" t="n">
        <v>0</v>
      </c>
      <c r="H20" s="13" t="n">
        <v>1</v>
      </c>
      <c r="I20" s="13" t="n">
        <v>1</v>
      </c>
      <c r="J20" s="13" t="n">
        <v>1</v>
      </c>
      <c r="K20" s="13" t="n">
        <v>1</v>
      </c>
      <c r="L20" s="13" t="n">
        <v>0</v>
      </c>
      <c r="M20" s="13" t="n">
        <v>1</v>
      </c>
      <c r="N20" s="13" t="n">
        <v>1</v>
      </c>
      <c r="O20" s="13" t="n">
        <v>1</v>
      </c>
      <c r="P20" s="13" t="n">
        <v>0</v>
      </c>
      <c r="Q20" s="13" t="n">
        <v>1</v>
      </c>
      <c r="R20" s="13" t="n">
        <v>0</v>
      </c>
      <c r="S20" s="13" t="n">
        <v>0</v>
      </c>
      <c r="T20" s="13" t="n">
        <v>1</v>
      </c>
      <c r="U20" s="13" t="n">
        <v>0</v>
      </c>
      <c r="V20" s="13" t="n">
        <v>1</v>
      </c>
      <c r="W20" s="13" t="n">
        <v>1</v>
      </c>
      <c r="X20" s="13" t="n">
        <v>1</v>
      </c>
      <c r="Y20" s="13" t="n">
        <v>1</v>
      </c>
      <c r="Z20" s="13" t="n">
        <v>0</v>
      </c>
      <c r="AA20" s="13" t="n">
        <v>1</v>
      </c>
      <c r="AB20" s="13" t="n">
        <v>1</v>
      </c>
      <c r="AC20" s="13" t="n">
        <v>1</v>
      </c>
      <c r="AD20" s="13" t="n">
        <v>1</v>
      </c>
      <c r="AE20" s="13" t="n">
        <v>0</v>
      </c>
      <c r="AF20" s="12">
        <f>COUNTIF(D20:AE20,1)</f>
        <v/>
      </c>
      <c r="AG20" s="12">
        <f>IF(COUNT(D20:AE20)=0,"",ROUND(AF20/28*100,1))</f>
        <v/>
      </c>
      <c r="AH20" s="12">
        <f>COUNTIF(D20:AE20,0)</f>
        <v/>
      </c>
      <c r="AI20" s="12">
        <f>IF(COUNT(D20:AE20)=0,"",ROUND(AH20/28*100,1))</f>
        <v/>
      </c>
      <c r="AJ20" s="20">
        <f>IF(AG20="","",IF(AG20&gt;=Нэгтгэл!$K$4,"Хангалттай эзэмшиж байна",IF(AG20&gt;=Нэгтгэл!$K$5,"Ахиж байна","Хөгжиж байна")))</f>
        <v/>
      </c>
    </row>
    <row r="21" ht="16" customHeight="1">
      <c r="A21" s="12" t="n">
        <v>15</v>
      </c>
      <c r="B21" s="12">
        <f>IF(Нэгтгэл!B21="","",Нэгтгэл!B21)</f>
        <v/>
      </c>
      <c r="C21" s="4" t="n"/>
      <c r="D21" s="13" t="n">
        <v>1</v>
      </c>
      <c r="E21" s="13" t="n">
        <v>1</v>
      </c>
      <c r="F21" s="13" t="n">
        <v>1</v>
      </c>
      <c r="G21" s="13" t="n">
        <v>1</v>
      </c>
      <c r="H21" s="13" t="n">
        <v>0</v>
      </c>
      <c r="I21" s="13" t="n">
        <v>1</v>
      </c>
      <c r="J21" s="13" t="n">
        <v>1</v>
      </c>
      <c r="K21" s="13" t="n">
        <v>1</v>
      </c>
      <c r="L21" s="13" t="n">
        <v>1</v>
      </c>
      <c r="M21" s="13" t="n">
        <v>1</v>
      </c>
      <c r="N21" s="13" t="n">
        <v>1</v>
      </c>
      <c r="O21" s="13" t="n">
        <v>1</v>
      </c>
      <c r="P21" s="13" t="n">
        <v>1</v>
      </c>
      <c r="Q21" s="13" t="n">
        <v>1</v>
      </c>
      <c r="R21" s="13" t="n">
        <v>1</v>
      </c>
      <c r="S21" s="13" t="n">
        <v>1</v>
      </c>
      <c r="T21" s="13" t="n">
        <v>0</v>
      </c>
      <c r="U21" s="13" t="n">
        <v>1</v>
      </c>
      <c r="V21" s="13" t="n">
        <v>1</v>
      </c>
      <c r="W21" s="13" t="n">
        <v>0</v>
      </c>
      <c r="X21" s="13" t="n">
        <v>0</v>
      </c>
      <c r="Y21" s="13" t="n">
        <v>1</v>
      </c>
      <c r="Z21" s="13" t="n">
        <v>0</v>
      </c>
      <c r="AA21" s="13" t="n">
        <v>1</v>
      </c>
      <c r="AB21" s="13" t="n">
        <v>1</v>
      </c>
      <c r="AC21" s="13" t="n">
        <v>1</v>
      </c>
      <c r="AD21" s="13" t="n">
        <v>1</v>
      </c>
      <c r="AE21" s="13" t="n">
        <v>1</v>
      </c>
      <c r="AF21" s="12">
        <f>COUNTIF(D21:AE21,1)</f>
        <v/>
      </c>
      <c r="AG21" s="12">
        <f>IF(COUNT(D21:AE21)=0,"",ROUND(AF21/28*100,1))</f>
        <v/>
      </c>
      <c r="AH21" s="12">
        <f>COUNTIF(D21:AE21,0)</f>
        <v/>
      </c>
      <c r="AI21" s="12">
        <f>IF(COUNT(D21:AE21)=0,"",ROUND(AH21/28*100,1))</f>
        <v/>
      </c>
      <c r="AJ21" s="20">
        <f>IF(AG21="","",IF(AG21&gt;=Нэгтгэл!$K$4,"Хангалттай эзэмшиж байна",IF(AG21&gt;=Нэгтгэл!$K$5,"Ахиж байна","Хөгжиж байна")))</f>
        <v/>
      </c>
    </row>
    <row r="22" ht="16" customHeight="1">
      <c r="A22" s="12" t="n">
        <v>16</v>
      </c>
      <c r="B22" s="12">
        <f>IF(Нэгтгэл!B22="","",Нэгтгэл!B22)</f>
        <v/>
      </c>
      <c r="C22" s="4" t="n"/>
      <c r="D22" s="13" t="n">
        <v>1</v>
      </c>
      <c r="E22" s="13" t="n">
        <v>0</v>
      </c>
      <c r="F22" s="13" t="n">
        <v>0</v>
      </c>
      <c r="G22" s="13" t="n">
        <v>0</v>
      </c>
      <c r="H22" s="13" t="n">
        <v>1</v>
      </c>
      <c r="I22" s="13" t="n">
        <v>1</v>
      </c>
      <c r="J22" s="13" t="n">
        <v>0</v>
      </c>
      <c r="K22" s="13" t="n">
        <v>1</v>
      </c>
      <c r="L22" s="13" t="n">
        <v>1</v>
      </c>
      <c r="M22" s="13" t="n">
        <v>1</v>
      </c>
      <c r="N22" s="13" t="n">
        <v>1</v>
      </c>
      <c r="O22" s="13" t="n">
        <v>0</v>
      </c>
      <c r="P22" s="13" t="n">
        <v>1</v>
      </c>
      <c r="Q22" s="13" t="n">
        <v>0</v>
      </c>
      <c r="R22" s="13" t="n">
        <v>1</v>
      </c>
      <c r="S22" s="13" t="n">
        <v>1</v>
      </c>
      <c r="T22" s="13" t="n">
        <v>1</v>
      </c>
      <c r="U22" s="13" t="n">
        <v>1</v>
      </c>
      <c r="V22" s="13" t="n">
        <v>1</v>
      </c>
      <c r="W22" s="13" t="n">
        <v>1</v>
      </c>
      <c r="X22" s="13" t="n">
        <v>1</v>
      </c>
      <c r="Y22" s="13" t="n">
        <v>1</v>
      </c>
      <c r="Z22" s="13" t="n">
        <v>1</v>
      </c>
      <c r="AA22" s="13" t="n">
        <v>1</v>
      </c>
      <c r="AB22" s="13" t="n">
        <v>0</v>
      </c>
      <c r="AC22" s="13" t="n">
        <v>1</v>
      </c>
      <c r="AD22" s="13" t="n">
        <v>1</v>
      </c>
      <c r="AE22" s="13" t="n">
        <v>1</v>
      </c>
      <c r="AF22" s="12">
        <f>COUNTIF(D22:AE22,1)</f>
        <v/>
      </c>
      <c r="AG22" s="12">
        <f>IF(COUNT(D22:AE22)=0,"",ROUND(AF22/28*100,1))</f>
        <v/>
      </c>
      <c r="AH22" s="12">
        <f>COUNTIF(D22:AE22,0)</f>
        <v/>
      </c>
      <c r="AI22" s="12">
        <f>IF(COUNT(D22:AE22)=0,"",ROUND(AH22/28*100,1))</f>
        <v/>
      </c>
      <c r="AJ22" s="20">
        <f>IF(AG22="","",IF(AG22&gt;=Нэгтгэл!$K$4,"Хангалттай эзэмшиж байна",IF(AG22&gt;=Нэгтгэл!$K$5,"Ахиж байна","Хөгжиж байна")))</f>
        <v/>
      </c>
    </row>
    <row r="23" ht="16" customHeight="1">
      <c r="A23" s="12" t="n">
        <v>17</v>
      </c>
      <c r="B23" s="12">
        <f>IF(Нэгтгэл!B23="","",Нэгтгэл!B23)</f>
        <v/>
      </c>
      <c r="C23" s="4" t="n"/>
      <c r="D23" s="13" t="n">
        <v>1</v>
      </c>
      <c r="E23" s="13" t="n">
        <v>1</v>
      </c>
      <c r="F23" s="13" t="n">
        <v>0</v>
      </c>
      <c r="G23" s="13" t="n">
        <v>1</v>
      </c>
      <c r="H23" s="13" t="n">
        <v>1</v>
      </c>
      <c r="I23" s="13" t="n">
        <v>1</v>
      </c>
      <c r="J23" s="13" t="n">
        <v>0</v>
      </c>
      <c r="K23" s="13" t="n">
        <v>0</v>
      </c>
      <c r="L23" s="13" t="n">
        <v>1</v>
      </c>
      <c r="M23" s="13" t="n">
        <v>1</v>
      </c>
      <c r="N23" s="13" t="n">
        <v>1</v>
      </c>
      <c r="O23" s="13" t="n">
        <v>1</v>
      </c>
      <c r="P23" s="13" t="n">
        <v>1</v>
      </c>
      <c r="Q23" s="13" t="n">
        <v>1</v>
      </c>
      <c r="R23" s="13" t="n">
        <v>1</v>
      </c>
      <c r="S23" s="13" t="n">
        <v>0</v>
      </c>
      <c r="T23" s="13" t="n">
        <v>1</v>
      </c>
      <c r="U23" s="13" t="n">
        <v>0</v>
      </c>
      <c r="V23" s="13" t="n">
        <v>1</v>
      </c>
      <c r="W23" s="13" t="n">
        <v>1</v>
      </c>
      <c r="X23" s="13" t="n">
        <v>1</v>
      </c>
      <c r="Y23" s="13" t="n">
        <v>1</v>
      </c>
      <c r="Z23" s="13" t="n">
        <v>0</v>
      </c>
      <c r="AA23" s="13" t="n">
        <v>1</v>
      </c>
      <c r="AB23" s="13" t="n">
        <v>1</v>
      </c>
      <c r="AC23" s="13" t="n">
        <v>0</v>
      </c>
      <c r="AD23" s="13" t="n">
        <v>0</v>
      </c>
      <c r="AE23" s="13" t="n">
        <v>1</v>
      </c>
      <c r="AF23" s="12">
        <f>COUNTIF(D23:AE23,1)</f>
        <v/>
      </c>
      <c r="AG23" s="12">
        <f>IF(COUNT(D23:AE23)=0,"",ROUND(AF23/28*100,1))</f>
        <v/>
      </c>
      <c r="AH23" s="12">
        <f>COUNTIF(D23:AE23,0)</f>
        <v/>
      </c>
      <c r="AI23" s="12">
        <f>IF(COUNT(D23:AE23)=0,"",ROUND(AH23/28*100,1))</f>
        <v/>
      </c>
      <c r="AJ23" s="20">
        <f>IF(AG23="","",IF(AG23&gt;=Нэгтгэл!$K$4,"Хангалттай эзэмшиж байна",IF(AG23&gt;=Нэгтгэл!$K$5,"Ахиж байна","Хөгжиж байна")))</f>
        <v/>
      </c>
    </row>
    <row r="24" ht="16" customHeight="1">
      <c r="A24" s="12" t="n">
        <v>18</v>
      </c>
      <c r="B24" s="12">
        <f>IF(Нэгтгэл!B24="","",Нэгтгэл!B24)</f>
        <v/>
      </c>
      <c r="C24" s="4" t="n"/>
      <c r="D24" s="13" t="n">
        <v>1</v>
      </c>
      <c r="E24" s="13" t="n">
        <v>0</v>
      </c>
      <c r="F24" s="13" t="n">
        <v>1</v>
      </c>
      <c r="G24" s="13" t="n">
        <v>0</v>
      </c>
      <c r="H24" s="13" t="n">
        <v>1</v>
      </c>
      <c r="I24" s="13" t="n">
        <v>1</v>
      </c>
      <c r="J24" s="13" t="n">
        <v>1</v>
      </c>
      <c r="K24" s="13" t="n">
        <v>0</v>
      </c>
      <c r="L24" s="13" t="n">
        <v>1</v>
      </c>
      <c r="M24" s="13" t="n">
        <v>1</v>
      </c>
      <c r="N24" s="13" t="n">
        <v>0</v>
      </c>
      <c r="O24" s="13" t="n">
        <v>1</v>
      </c>
      <c r="P24" s="13" t="n">
        <v>1</v>
      </c>
      <c r="Q24" s="13" t="n">
        <v>1</v>
      </c>
      <c r="R24" s="13" t="n">
        <v>0</v>
      </c>
      <c r="S24" s="13" t="n">
        <v>1</v>
      </c>
      <c r="T24" s="13" t="n">
        <v>1</v>
      </c>
      <c r="U24" s="13" t="n">
        <v>1</v>
      </c>
      <c r="V24" s="13" t="n">
        <v>0</v>
      </c>
      <c r="W24" s="13" t="n">
        <v>1</v>
      </c>
      <c r="X24" s="13" t="n">
        <v>1</v>
      </c>
      <c r="Y24" s="13" t="n">
        <v>0</v>
      </c>
      <c r="Z24" s="13" t="n">
        <v>1</v>
      </c>
      <c r="AA24" s="13" t="n">
        <v>1</v>
      </c>
      <c r="AB24" s="13" t="n">
        <v>1</v>
      </c>
      <c r="AC24" s="13" t="n">
        <v>1</v>
      </c>
      <c r="AD24" s="13" t="n">
        <v>1</v>
      </c>
      <c r="AE24" s="13" t="n">
        <v>1</v>
      </c>
      <c r="AF24" s="12">
        <f>COUNTIF(D24:AE24,1)</f>
        <v/>
      </c>
      <c r="AG24" s="12">
        <f>IF(COUNT(D24:AE24)=0,"",ROUND(AF24/28*100,1))</f>
        <v/>
      </c>
      <c r="AH24" s="12">
        <f>COUNTIF(D24:AE24,0)</f>
        <v/>
      </c>
      <c r="AI24" s="12">
        <f>IF(COUNT(D24:AE24)=0,"",ROUND(AH24/28*100,1))</f>
        <v/>
      </c>
      <c r="AJ24" s="20">
        <f>IF(AG24="","",IF(AG24&gt;=Нэгтгэл!$K$4,"Хангалттай эзэмшиж байна",IF(AG24&gt;=Нэгтгэл!$K$5,"Ахиж байна","Хөгжиж байна")))</f>
        <v/>
      </c>
    </row>
    <row r="25" ht="16" customHeight="1">
      <c r="A25" s="12" t="n">
        <v>19</v>
      </c>
      <c r="B25" s="12">
        <f>IF(Нэгтгэл!B25="","",Нэгтгэл!B25)</f>
        <v/>
      </c>
      <c r="C25" s="4" t="n"/>
      <c r="D25" s="13" t="n">
        <v>1</v>
      </c>
      <c r="E25" s="13" t="n">
        <v>1</v>
      </c>
      <c r="F25" s="13" t="n">
        <v>1</v>
      </c>
      <c r="G25" s="13" t="n">
        <v>1</v>
      </c>
      <c r="H25" s="13" t="n">
        <v>1</v>
      </c>
      <c r="I25" s="13" t="n">
        <v>1</v>
      </c>
      <c r="J25" s="13" t="n">
        <v>0</v>
      </c>
      <c r="K25" s="13" t="n">
        <v>0</v>
      </c>
      <c r="L25" s="13" t="n">
        <v>0</v>
      </c>
      <c r="M25" s="13" t="n">
        <v>1</v>
      </c>
      <c r="N25" s="13" t="n">
        <v>1</v>
      </c>
      <c r="O25" s="13" t="n">
        <v>0</v>
      </c>
      <c r="P25" s="13" t="n">
        <v>0</v>
      </c>
      <c r="Q25" s="13" t="n">
        <v>1</v>
      </c>
      <c r="R25" s="13" t="n">
        <v>1</v>
      </c>
      <c r="S25" s="13" t="n">
        <v>1</v>
      </c>
      <c r="T25" s="13" t="n">
        <v>1</v>
      </c>
      <c r="U25" s="13" t="n">
        <v>1</v>
      </c>
      <c r="V25" s="13" t="n">
        <v>1</v>
      </c>
      <c r="W25" s="13" t="n">
        <v>1</v>
      </c>
      <c r="X25" s="13" t="n">
        <v>1</v>
      </c>
      <c r="Y25" s="13" t="n">
        <v>1</v>
      </c>
      <c r="Z25" s="13" t="n">
        <v>1</v>
      </c>
      <c r="AA25" s="13" t="n">
        <v>1</v>
      </c>
      <c r="AB25" s="13" t="n">
        <v>1</v>
      </c>
      <c r="AC25" s="13" t="n">
        <v>1</v>
      </c>
      <c r="AD25" s="13" t="n">
        <v>1</v>
      </c>
      <c r="AE25" s="13" t="n">
        <v>0</v>
      </c>
      <c r="AF25" s="12">
        <f>COUNTIF(D25:AE25,1)</f>
        <v/>
      </c>
      <c r="AG25" s="12">
        <f>IF(COUNT(D25:AE25)=0,"",ROUND(AF25/28*100,1))</f>
        <v/>
      </c>
      <c r="AH25" s="12">
        <f>COUNTIF(D25:AE25,0)</f>
        <v/>
      </c>
      <c r="AI25" s="12">
        <f>IF(COUNT(D25:AE25)=0,"",ROUND(AH25/28*100,1))</f>
        <v/>
      </c>
      <c r="AJ25" s="20">
        <f>IF(AG25="","",IF(AG25&gt;=Нэгтгэл!$K$4,"Хангалттай эзэмшиж байна",IF(AG25&gt;=Нэгтгэл!$K$5,"Ахиж байна","Хөгжиж байна")))</f>
        <v/>
      </c>
    </row>
    <row r="26" ht="16" customHeight="1">
      <c r="A26" s="12" t="n">
        <v>20</v>
      </c>
      <c r="B26" s="12">
        <f>IF(Нэгтгэл!B26="","",Нэгтгэл!B26)</f>
        <v/>
      </c>
      <c r="C26" s="4" t="n"/>
      <c r="D26" s="13" t="n">
        <v>1</v>
      </c>
      <c r="E26" s="13" t="n">
        <v>1</v>
      </c>
      <c r="F26" s="13" t="n">
        <v>1</v>
      </c>
      <c r="G26" s="13" t="n">
        <v>1</v>
      </c>
      <c r="H26" s="13" t="n">
        <v>1</v>
      </c>
      <c r="I26" s="13" t="n">
        <v>0</v>
      </c>
      <c r="J26" s="13" t="n">
        <v>1</v>
      </c>
      <c r="K26" s="13" t="n">
        <v>0</v>
      </c>
      <c r="L26" s="13" t="n">
        <v>1</v>
      </c>
      <c r="M26" s="13" t="n">
        <v>1</v>
      </c>
      <c r="N26" s="13" t="n">
        <v>0</v>
      </c>
      <c r="O26" s="13" t="n">
        <v>0</v>
      </c>
      <c r="P26" s="13" t="n">
        <v>1</v>
      </c>
      <c r="Q26" s="13" t="n">
        <v>1</v>
      </c>
      <c r="R26" s="13" t="n">
        <v>1</v>
      </c>
      <c r="S26" s="13" t="n">
        <v>0</v>
      </c>
      <c r="T26" s="13" t="n">
        <v>1</v>
      </c>
      <c r="U26" s="13" t="n">
        <v>0</v>
      </c>
      <c r="V26" s="13" t="n">
        <v>1</v>
      </c>
      <c r="W26" s="13" t="n">
        <v>0</v>
      </c>
      <c r="X26" s="13" t="n">
        <v>0</v>
      </c>
      <c r="Y26" s="13" t="n">
        <v>1</v>
      </c>
      <c r="Z26" s="13" t="n">
        <v>1</v>
      </c>
      <c r="AA26" s="13" t="n">
        <v>1</v>
      </c>
      <c r="AB26" s="13" t="n">
        <v>1</v>
      </c>
      <c r="AC26" s="13" t="n">
        <v>0</v>
      </c>
      <c r="AD26" s="13" t="n">
        <v>1</v>
      </c>
      <c r="AE26" s="13" t="n">
        <v>1</v>
      </c>
      <c r="AF26" s="12">
        <f>COUNTIF(D26:AE26,1)</f>
        <v/>
      </c>
      <c r="AG26" s="12">
        <f>IF(COUNT(D26:AE26)=0,"",ROUND(AF26/28*100,1))</f>
        <v/>
      </c>
      <c r="AH26" s="12">
        <f>COUNTIF(D26:AE26,0)</f>
        <v/>
      </c>
      <c r="AI26" s="12">
        <f>IF(COUNT(D26:AE26)=0,"",ROUND(AH26/28*100,1))</f>
        <v/>
      </c>
      <c r="AJ26" s="20">
        <f>IF(AG26="","",IF(AG26&gt;=Нэгтгэл!$K$4,"Хангалттай эзэмшиж байна",IF(AG26&gt;=Нэгтгэл!$K$5,"Ахиж байна","Хөгжиж байна")))</f>
        <v/>
      </c>
    </row>
    <row r="27" ht="16" customHeight="1">
      <c r="A27" s="12" t="n">
        <v>21</v>
      </c>
      <c r="B27" s="12">
        <f>IF(Нэгтгэл!B27="","",Нэгтгэл!B27)</f>
        <v/>
      </c>
      <c r="C27" s="4" t="n"/>
      <c r="D27" s="13" t="n">
        <v>1</v>
      </c>
      <c r="E27" s="13" t="n">
        <v>1</v>
      </c>
      <c r="F27" s="13" t="n">
        <v>0</v>
      </c>
      <c r="G27" s="13" t="n">
        <v>1</v>
      </c>
      <c r="H27" s="13" t="n">
        <v>0</v>
      </c>
      <c r="I27" s="13" t="n">
        <v>1</v>
      </c>
      <c r="J27" s="13" t="n">
        <v>0</v>
      </c>
      <c r="K27" s="13" t="n">
        <v>0</v>
      </c>
      <c r="L27" s="13" t="n">
        <v>0</v>
      </c>
      <c r="M27" s="13" t="n">
        <v>1</v>
      </c>
      <c r="N27" s="13" t="n">
        <v>1</v>
      </c>
      <c r="O27" s="13" t="n">
        <v>0</v>
      </c>
      <c r="P27" s="13" t="n">
        <v>0</v>
      </c>
      <c r="Q27" s="13" t="n">
        <v>1</v>
      </c>
      <c r="R27" s="13" t="n">
        <v>1</v>
      </c>
      <c r="S27" s="13" t="n">
        <v>1</v>
      </c>
      <c r="T27" s="13" t="n">
        <v>1</v>
      </c>
      <c r="U27" s="13" t="n">
        <v>0</v>
      </c>
      <c r="V27" s="13" t="n">
        <v>0</v>
      </c>
      <c r="W27" s="13" t="n">
        <v>1</v>
      </c>
      <c r="X27" s="13" t="n">
        <v>1</v>
      </c>
      <c r="Y27" s="13" t="n">
        <v>1</v>
      </c>
      <c r="Z27" s="13" t="n">
        <v>0</v>
      </c>
      <c r="AA27" s="13" t="n">
        <v>0</v>
      </c>
      <c r="AB27" s="13" t="n">
        <v>1</v>
      </c>
      <c r="AC27" s="13" t="n">
        <v>0</v>
      </c>
      <c r="AD27" s="13" t="n">
        <v>1</v>
      </c>
      <c r="AE27" s="13" t="n">
        <v>0</v>
      </c>
      <c r="AF27" s="12">
        <f>COUNTIF(D27:AE27,1)</f>
        <v/>
      </c>
      <c r="AG27" s="12">
        <f>IF(COUNT(D27:AE27)=0,"",ROUND(AF27/28*100,1))</f>
        <v/>
      </c>
      <c r="AH27" s="12">
        <f>COUNTIF(D27:AE27,0)</f>
        <v/>
      </c>
      <c r="AI27" s="12">
        <f>IF(COUNT(D27:AE27)=0,"",ROUND(AH27/28*100,1))</f>
        <v/>
      </c>
      <c r="AJ27" s="20">
        <f>IF(AG27="","",IF(AG27&gt;=Нэгтгэл!$K$4,"Хангалттай эзэмшиж байна",IF(AG27&gt;=Нэгтгэл!$K$5,"Ахиж байна","Хөгжиж байна")))</f>
        <v/>
      </c>
    </row>
    <row r="28" ht="16" customHeight="1">
      <c r="A28" s="12" t="n">
        <v>22</v>
      </c>
      <c r="B28" s="12">
        <f>IF(Нэгтгэл!B28="","",Нэгтгэл!B28)</f>
        <v/>
      </c>
      <c r="C28" s="4" t="n"/>
      <c r="D28" s="13" t="n">
        <v>0</v>
      </c>
      <c r="E28" s="13" t="n">
        <v>1</v>
      </c>
      <c r="F28" s="13" t="n">
        <v>1</v>
      </c>
      <c r="G28" s="13" t="n">
        <v>1</v>
      </c>
      <c r="H28" s="13" t="n">
        <v>1</v>
      </c>
      <c r="I28" s="13" t="n">
        <v>1</v>
      </c>
      <c r="J28" s="13" t="n">
        <v>1</v>
      </c>
      <c r="K28" s="13" t="n">
        <v>1</v>
      </c>
      <c r="L28" s="13" t="n">
        <v>0</v>
      </c>
      <c r="M28" s="13" t="n">
        <v>1</v>
      </c>
      <c r="N28" s="13" t="n">
        <v>0</v>
      </c>
      <c r="O28" s="13" t="n">
        <v>1</v>
      </c>
      <c r="P28" s="13" t="n">
        <v>1</v>
      </c>
      <c r="Q28" s="13" t="n">
        <v>1</v>
      </c>
      <c r="R28" s="13" t="n">
        <v>1</v>
      </c>
      <c r="S28" s="13" t="n">
        <v>1</v>
      </c>
      <c r="T28" s="13" t="n">
        <v>1</v>
      </c>
      <c r="U28" s="13" t="n">
        <v>1</v>
      </c>
      <c r="V28" s="13" t="n">
        <v>1</v>
      </c>
      <c r="W28" s="13" t="n">
        <v>1</v>
      </c>
      <c r="X28" s="13" t="n">
        <v>0</v>
      </c>
      <c r="Y28" s="13" t="n">
        <v>0</v>
      </c>
      <c r="Z28" s="13" t="n">
        <v>1</v>
      </c>
      <c r="AA28" s="13" t="n">
        <v>0</v>
      </c>
      <c r="AB28" s="13" t="n">
        <v>1</v>
      </c>
      <c r="AC28" s="13" t="n">
        <v>1</v>
      </c>
      <c r="AD28" s="13" t="n">
        <v>0</v>
      </c>
      <c r="AE28" s="13" t="n">
        <v>1</v>
      </c>
      <c r="AF28" s="12">
        <f>COUNTIF(D28:AE28,1)</f>
        <v/>
      </c>
      <c r="AG28" s="12">
        <f>IF(COUNT(D28:AE28)=0,"",ROUND(AF28/28*100,1))</f>
        <v/>
      </c>
      <c r="AH28" s="12">
        <f>COUNTIF(D28:AE28,0)</f>
        <v/>
      </c>
      <c r="AI28" s="12">
        <f>IF(COUNT(D28:AE28)=0,"",ROUND(AH28/28*100,1))</f>
        <v/>
      </c>
      <c r="AJ28" s="20">
        <f>IF(AG28="","",IF(AG28&gt;=Нэгтгэл!$K$4,"Хангалттай эзэмшиж байна",IF(AG28&gt;=Нэгтгэл!$K$5,"Ахиж байна","Хөгжиж байна")))</f>
        <v/>
      </c>
    </row>
    <row r="29" ht="16" customHeight="1">
      <c r="A29" s="12" t="n">
        <v>23</v>
      </c>
      <c r="B29" s="12">
        <f>IF(Нэгтгэл!B29="","",Нэгтгэл!B29)</f>
        <v/>
      </c>
      <c r="C29" s="4" t="n"/>
      <c r="D29" s="13" t="n">
        <v>1</v>
      </c>
      <c r="E29" s="13" t="n">
        <v>1</v>
      </c>
      <c r="F29" s="13" t="n">
        <v>1</v>
      </c>
      <c r="G29" s="13" t="n">
        <v>1</v>
      </c>
      <c r="H29" s="13" t="n">
        <v>0</v>
      </c>
      <c r="I29" s="13" t="n">
        <v>0</v>
      </c>
      <c r="J29" s="13" t="n">
        <v>1</v>
      </c>
      <c r="K29" s="13" t="n">
        <v>1</v>
      </c>
      <c r="L29" s="13" t="n">
        <v>1</v>
      </c>
      <c r="M29" s="13" t="n">
        <v>0</v>
      </c>
      <c r="N29" s="13" t="n">
        <v>1</v>
      </c>
      <c r="O29" s="13" t="n">
        <v>1</v>
      </c>
      <c r="P29" s="13" t="n">
        <v>0</v>
      </c>
      <c r="Q29" s="13" t="n">
        <v>1</v>
      </c>
      <c r="R29" s="13" t="n">
        <v>1</v>
      </c>
      <c r="S29" s="13" t="n">
        <v>1</v>
      </c>
      <c r="T29" s="13" t="n">
        <v>1</v>
      </c>
      <c r="U29" s="13" t="n">
        <v>1</v>
      </c>
      <c r="V29" s="13" t="n">
        <v>1</v>
      </c>
      <c r="W29" s="13" t="n">
        <v>1</v>
      </c>
      <c r="X29" s="13" t="n">
        <v>1</v>
      </c>
      <c r="Y29" s="13" t="n">
        <v>1</v>
      </c>
      <c r="Z29" s="13" t="n">
        <v>1</v>
      </c>
      <c r="AA29" s="13" t="n">
        <v>1</v>
      </c>
      <c r="AB29" s="13" t="n">
        <v>0</v>
      </c>
      <c r="AC29" s="13" t="n">
        <v>0</v>
      </c>
      <c r="AD29" s="13" t="n">
        <v>1</v>
      </c>
      <c r="AE29" s="13" t="n">
        <v>1</v>
      </c>
      <c r="AF29" s="12">
        <f>COUNTIF(D29:AE29,1)</f>
        <v/>
      </c>
      <c r="AG29" s="12">
        <f>IF(COUNT(D29:AE29)=0,"",ROUND(AF29/28*100,1))</f>
        <v/>
      </c>
      <c r="AH29" s="12">
        <f>COUNTIF(D29:AE29,0)</f>
        <v/>
      </c>
      <c r="AI29" s="12">
        <f>IF(COUNT(D29:AE29)=0,"",ROUND(AH29/28*100,1))</f>
        <v/>
      </c>
      <c r="AJ29" s="20">
        <f>IF(AG29="","",IF(AG29&gt;=Нэгтгэл!$K$4,"Хангалттай эзэмшиж байна",IF(AG29&gt;=Нэгтгэл!$K$5,"Ахиж байна","Хөгжиж байна")))</f>
        <v/>
      </c>
    </row>
    <row r="30" ht="16" customHeight="1">
      <c r="A30" s="12" t="n">
        <v>24</v>
      </c>
      <c r="B30" s="12">
        <f>IF(Нэгтгэл!B30="","",Нэгтгэл!B30)</f>
        <v/>
      </c>
      <c r="C30" s="4" t="n"/>
      <c r="D30" s="13" t="n">
        <v>0</v>
      </c>
      <c r="E30" s="13" t="n">
        <v>1</v>
      </c>
      <c r="F30" s="13" t="n">
        <v>1</v>
      </c>
      <c r="G30" s="13" t="n">
        <v>1</v>
      </c>
      <c r="H30" s="13" t="n">
        <v>1</v>
      </c>
      <c r="I30" s="13" t="n">
        <v>1</v>
      </c>
      <c r="J30" s="13" t="n">
        <v>0</v>
      </c>
      <c r="K30" s="13" t="n">
        <v>1</v>
      </c>
      <c r="L30" s="13" t="n">
        <v>1</v>
      </c>
      <c r="M30" s="13" t="n">
        <v>0</v>
      </c>
      <c r="N30" s="13" t="n">
        <v>1</v>
      </c>
      <c r="O30" s="13" t="n">
        <v>0</v>
      </c>
      <c r="P30" s="13" t="n">
        <v>1</v>
      </c>
      <c r="Q30" s="13" t="n">
        <v>1</v>
      </c>
      <c r="R30" s="13" t="n">
        <v>1</v>
      </c>
      <c r="S30" s="13" t="n">
        <v>1</v>
      </c>
      <c r="T30" s="13" t="n">
        <v>1</v>
      </c>
      <c r="U30" s="13" t="n">
        <v>0</v>
      </c>
      <c r="V30" s="13" t="n">
        <v>1</v>
      </c>
      <c r="W30" s="13" t="n">
        <v>0</v>
      </c>
      <c r="X30" s="13" t="n">
        <v>1</v>
      </c>
      <c r="Y30" s="13" t="n">
        <v>1</v>
      </c>
      <c r="Z30" s="13" t="n">
        <v>1</v>
      </c>
      <c r="AA30" s="13" t="n">
        <v>0</v>
      </c>
      <c r="AB30" s="13" t="n">
        <v>1</v>
      </c>
      <c r="AC30" s="13" t="n">
        <v>0</v>
      </c>
      <c r="AD30" s="13" t="n">
        <v>1</v>
      </c>
      <c r="AE30" s="13" t="n">
        <v>1</v>
      </c>
      <c r="AF30" s="12">
        <f>COUNTIF(D30:AE30,1)</f>
        <v/>
      </c>
      <c r="AG30" s="12">
        <f>IF(COUNT(D30:AE30)=0,"",ROUND(AF30/28*100,1))</f>
        <v/>
      </c>
      <c r="AH30" s="12">
        <f>COUNTIF(D30:AE30,0)</f>
        <v/>
      </c>
      <c r="AI30" s="12">
        <f>IF(COUNT(D30:AE30)=0,"",ROUND(AH30/28*100,1))</f>
        <v/>
      </c>
      <c r="AJ30" s="20">
        <f>IF(AG30="","",IF(AG30&gt;=Нэгтгэл!$K$4,"Хангалттай эзэмшиж байна",IF(AG30&gt;=Нэгтгэл!$K$5,"Ахиж байна","Хөгжиж байна")))</f>
        <v/>
      </c>
    </row>
    <row r="31" ht="16" customHeight="1">
      <c r="A31" s="12" t="n">
        <v>25</v>
      </c>
      <c r="B31" s="12">
        <f>IF(Нэгтгэл!B31="","",Нэгтгэл!B31)</f>
        <v/>
      </c>
      <c r="C31" s="4" t="n"/>
      <c r="D31" s="13" t="n">
        <v>1</v>
      </c>
      <c r="E31" s="13" t="n">
        <v>1</v>
      </c>
      <c r="F31" s="13" t="n">
        <v>0</v>
      </c>
      <c r="G31" s="13" t="n">
        <v>1</v>
      </c>
      <c r="H31" s="13" t="n">
        <v>1</v>
      </c>
      <c r="I31" s="13" t="n">
        <v>1</v>
      </c>
      <c r="J31" s="13" t="n">
        <v>1</v>
      </c>
      <c r="K31" s="13" t="n">
        <v>1</v>
      </c>
      <c r="L31" s="13" t="n">
        <v>1</v>
      </c>
      <c r="M31" s="13" t="n">
        <v>1</v>
      </c>
      <c r="N31" s="13" t="n">
        <v>0</v>
      </c>
      <c r="O31" s="13" t="n">
        <v>1</v>
      </c>
      <c r="P31" s="13" t="n">
        <v>0</v>
      </c>
      <c r="Q31" s="13" t="n">
        <v>0</v>
      </c>
      <c r="R31" s="13" t="n">
        <v>1</v>
      </c>
      <c r="S31" s="13" t="n">
        <v>1</v>
      </c>
      <c r="T31" s="13" t="n">
        <v>1</v>
      </c>
      <c r="U31" s="13" t="n">
        <v>1</v>
      </c>
      <c r="V31" s="13" t="n">
        <v>1</v>
      </c>
      <c r="W31" s="13" t="n">
        <v>0</v>
      </c>
      <c r="X31" s="13" t="n">
        <v>0</v>
      </c>
      <c r="Y31" s="13" t="n">
        <v>1</v>
      </c>
      <c r="Z31" s="13" t="n">
        <v>1</v>
      </c>
      <c r="AA31" s="13" t="n">
        <v>1</v>
      </c>
      <c r="AB31" s="13" t="n">
        <v>0</v>
      </c>
      <c r="AC31" s="13" t="n">
        <v>1</v>
      </c>
      <c r="AD31" s="13" t="n">
        <v>1</v>
      </c>
      <c r="AE31" s="13" t="n">
        <v>0</v>
      </c>
      <c r="AF31" s="12">
        <f>COUNTIF(D31:AE31,1)</f>
        <v/>
      </c>
      <c r="AG31" s="12">
        <f>IF(COUNT(D31:AE31)=0,"",ROUND(AF31/28*100,1))</f>
        <v/>
      </c>
      <c r="AH31" s="12">
        <f>COUNTIF(D31:AE31,0)</f>
        <v/>
      </c>
      <c r="AI31" s="12">
        <f>IF(COUNT(D31:AE31)=0,"",ROUND(AH31/28*100,1))</f>
        <v/>
      </c>
      <c r="AJ31" s="20">
        <f>IF(AG31="","",IF(AG31&gt;=Нэгтгэл!$K$4,"Хангалттай эзэмшиж байна",IF(AG31&gt;=Нэгтгэл!$K$5,"Ахиж байна","Хөгжиж байна")))</f>
        <v/>
      </c>
    </row>
    <row r="32" ht="16" customHeight="1">
      <c r="A32" s="12" t="n">
        <v>26</v>
      </c>
      <c r="B32" s="12">
        <f>IF(Нэгтгэл!B32="","",Нэгтгэл!B32)</f>
        <v/>
      </c>
      <c r="C32" s="4" t="n"/>
      <c r="D32" s="13" t="n">
        <v>1</v>
      </c>
      <c r="E32" s="13" t="n">
        <v>1</v>
      </c>
      <c r="F32" s="13" t="n">
        <v>1</v>
      </c>
      <c r="G32" s="13" t="n">
        <v>0</v>
      </c>
      <c r="H32" s="13" t="n">
        <v>1</v>
      </c>
      <c r="I32" s="13" t="n">
        <v>1</v>
      </c>
      <c r="J32" s="13" t="n">
        <v>1</v>
      </c>
      <c r="K32" s="13" t="n">
        <v>0</v>
      </c>
      <c r="L32" s="13" t="n">
        <v>1</v>
      </c>
      <c r="M32" s="13" t="n">
        <v>0</v>
      </c>
      <c r="N32" s="13" t="n">
        <v>1</v>
      </c>
      <c r="O32" s="13" t="n">
        <v>1</v>
      </c>
      <c r="P32" s="13" t="n">
        <v>0</v>
      </c>
      <c r="Q32" s="13" t="n">
        <v>1</v>
      </c>
      <c r="R32" s="13" t="n">
        <v>1</v>
      </c>
      <c r="S32" s="13" t="n">
        <v>1</v>
      </c>
      <c r="T32" s="13" t="n">
        <v>1</v>
      </c>
      <c r="U32" s="13" t="n">
        <v>1</v>
      </c>
      <c r="V32" s="13" t="n">
        <v>0</v>
      </c>
      <c r="W32" s="13" t="n">
        <v>0</v>
      </c>
      <c r="X32" s="13" t="n">
        <v>1</v>
      </c>
      <c r="Y32" s="13" t="n">
        <v>1</v>
      </c>
      <c r="Z32" s="13" t="n">
        <v>1</v>
      </c>
      <c r="AA32" s="13" t="n">
        <v>1</v>
      </c>
      <c r="AB32" s="13" t="n">
        <v>1</v>
      </c>
      <c r="AC32" s="13" t="n">
        <v>0</v>
      </c>
      <c r="AD32" s="13" t="n">
        <v>0</v>
      </c>
      <c r="AE32" s="13" t="n">
        <v>0</v>
      </c>
      <c r="AF32" s="12">
        <f>COUNTIF(D32:AE32,1)</f>
        <v/>
      </c>
      <c r="AG32" s="12">
        <f>IF(COUNT(D32:AE32)=0,"",ROUND(AF32/28*100,1))</f>
        <v/>
      </c>
      <c r="AH32" s="12">
        <f>COUNTIF(D32:AE32,0)</f>
        <v/>
      </c>
      <c r="AI32" s="12">
        <f>IF(COUNT(D32:AE32)=0,"",ROUND(AH32/28*100,1))</f>
        <v/>
      </c>
      <c r="AJ32" s="20">
        <f>IF(AG32="","",IF(AG32&gt;=Нэгтгэл!$K$4,"Хангалттай эзэмшиж байна",IF(AG32&gt;=Нэгтгэл!$K$5,"Ахиж байна","Хөгжиж байна")))</f>
        <v/>
      </c>
    </row>
    <row r="33" ht="16" customHeight="1">
      <c r="A33" s="12" t="n">
        <v>27</v>
      </c>
      <c r="B33" s="12">
        <f>IF(Нэгтгэл!B33="","",Нэгтгэл!B33)</f>
        <v/>
      </c>
      <c r="C33" s="4" t="n"/>
      <c r="D33" s="13" t="n">
        <v>0</v>
      </c>
      <c r="E33" s="13" t="n">
        <v>1</v>
      </c>
      <c r="F33" s="13" t="n">
        <v>1</v>
      </c>
      <c r="G33" s="13" t="n">
        <v>1</v>
      </c>
      <c r="H33" s="13" t="n">
        <v>1</v>
      </c>
      <c r="I33" s="13" t="n">
        <v>0</v>
      </c>
      <c r="J33" s="13" t="n">
        <v>1</v>
      </c>
      <c r="K33" s="13" t="n">
        <v>1</v>
      </c>
      <c r="L33" s="13" t="n">
        <v>1</v>
      </c>
      <c r="M33" s="13" t="n">
        <v>0</v>
      </c>
      <c r="N33" s="13" t="n">
        <v>0</v>
      </c>
      <c r="O33" s="13" t="n">
        <v>1</v>
      </c>
      <c r="P33" s="13" t="n">
        <v>0</v>
      </c>
      <c r="Q33" s="13" t="n">
        <v>1</v>
      </c>
      <c r="R33" s="13" t="n">
        <v>1</v>
      </c>
      <c r="S33" s="13" t="n">
        <v>1</v>
      </c>
      <c r="T33" s="13" t="n">
        <v>1</v>
      </c>
      <c r="U33" s="13" t="n">
        <v>0</v>
      </c>
      <c r="V33" s="13" t="n">
        <v>1</v>
      </c>
      <c r="W33" s="13" t="n">
        <v>1</v>
      </c>
      <c r="X33" s="13" t="n">
        <v>0</v>
      </c>
      <c r="Y33" s="13" t="n">
        <v>1</v>
      </c>
      <c r="Z33" s="13" t="n">
        <v>1</v>
      </c>
      <c r="AA33" s="13" t="n">
        <v>1</v>
      </c>
      <c r="AB33" s="13" t="n">
        <v>1</v>
      </c>
      <c r="AC33" s="13" t="n">
        <v>1</v>
      </c>
      <c r="AD33" s="13" t="n">
        <v>1</v>
      </c>
      <c r="AE33" s="13" t="n">
        <v>1</v>
      </c>
      <c r="AF33" s="12">
        <f>COUNTIF(D33:AE33,1)</f>
        <v/>
      </c>
      <c r="AG33" s="12">
        <f>IF(COUNT(D33:AE33)=0,"",ROUND(AF33/28*100,1))</f>
        <v/>
      </c>
      <c r="AH33" s="12">
        <f>COUNTIF(D33:AE33,0)</f>
        <v/>
      </c>
      <c r="AI33" s="12">
        <f>IF(COUNT(D33:AE33)=0,"",ROUND(AH33/28*100,1))</f>
        <v/>
      </c>
      <c r="AJ33" s="20">
        <f>IF(AG33="","",IF(AG33&gt;=Нэгтгэл!$K$4,"Хангалттай эзэмшиж байна",IF(AG33&gt;=Нэгтгэл!$K$5,"Ахиж байна","Хөгжиж байна")))</f>
        <v/>
      </c>
    </row>
    <row r="34" ht="16" customHeight="1">
      <c r="A34" s="12" t="n">
        <v>28</v>
      </c>
      <c r="B34" s="12">
        <f>IF(Нэгтгэл!B34="","",Нэгтгэл!B34)</f>
        <v/>
      </c>
      <c r="C34" s="4" t="n"/>
      <c r="D34" s="13" t="n">
        <v>1</v>
      </c>
      <c r="E34" s="13" t="n">
        <v>0</v>
      </c>
      <c r="F34" s="13" t="n">
        <v>1</v>
      </c>
      <c r="G34" s="13" t="n">
        <v>1</v>
      </c>
      <c r="H34" s="13" t="n">
        <v>1</v>
      </c>
      <c r="I34" s="13" t="n">
        <v>1</v>
      </c>
      <c r="J34" s="13" t="n">
        <v>1</v>
      </c>
      <c r="K34" s="13" t="n">
        <v>0</v>
      </c>
      <c r="L34" s="13" t="n">
        <v>1</v>
      </c>
      <c r="M34" s="13" t="n">
        <v>1</v>
      </c>
      <c r="N34" s="13" t="n">
        <v>0</v>
      </c>
      <c r="O34" s="13" t="n">
        <v>1</v>
      </c>
      <c r="P34" s="13" t="n">
        <v>1</v>
      </c>
      <c r="Q34" s="13" t="n">
        <v>1</v>
      </c>
      <c r="R34" s="13" t="n">
        <v>1</v>
      </c>
      <c r="S34" s="13" t="n">
        <v>0</v>
      </c>
      <c r="T34" s="13" t="n">
        <v>1</v>
      </c>
      <c r="U34" s="13" t="n">
        <v>1</v>
      </c>
      <c r="V34" s="13" t="n">
        <v>0</v>
      </c>
      <c r="W34" s="13" t="n">
        <v>1</v>
      </c>
      <c r="X34" s="13" t="n">
        <v>0</v>
      </c>
      <c r="Y34" s="13" t="n">
        <v>1</v>
      </c>
      <c r="Z34" s="13" t="n">
        <v>0</v>
      </c>
      <c r="AA34" s="13" t="n">
        <v>1</v>
      </c>
      <c r="AB34" s="13" t="n">
        <v>0</v>
      </c>
      <c r="AC34" s="13" t="n">
        <v>1</v>
      </c>
      <c r="AD34" s="13" t="n">
        <v>1</v>
      </c>
      <c r="AE34" s="13" t="n">
        <v>1</v>
      </c>
      <c r="AF34" s="12">
        <f>COUNTIF(D34:AE34,1)</f>
        <v/>
      </c>
      <c r="AG34" s="12">
        <f>IF(COUNT(D34:AE34)=0,"",ROUND(AF34/28*100,1))</f>
        <v/>
      </c>
      <c r="AH34" s="12">
        <f>COUNTIF(D34:AE34,0)</f>
        <v/>
      </c>
      <c r="AI34" s="12">
        <f>IF(COUNT(D34:AE34)=0,"",ROUND(AH34/28*100,1))</f>
        <v/>
      </c>
      <c r="AJ34" s="20">
        <f>IF(AG34="","",IF(AG34&gt;=Нэгтгэл!$K$4,"Хангалттай эзэмшиж байна",IF(AG34&gt;=Нэгтгэл!$K$5,"Ахиж байна","Хөгжиж байна")))</f>
        <v/>
      </c>
    </row>
    <row r="35" ht="16" customHeight="1">
      <c r="A35" s="12" t="n">
        <v>29</v>
      </c>
      <c r="B35" s="12">
        <f>IF(Нэгтгэл!B35="","",Нэгтгэл!B35)</f>
        <v/>
      </c>
      <c r="C35" s="4" t="n"/>
      <c r="D35" s="13" t="n">
        <v>0</v>
      </c>
      <c r="E35" s="13" t="n">
        <v>1</v>
      </c>
      <c r="F35" s="13" t="n">
        <v>1</v>
      </c>
      <c r="G35" s="13" t="n">
        <v>1</v>
      </c>
      <c r="H35" s="13" t="n">
        <v>1</v>
      </c>
      <c r="I35" s="13" t="n">
        <v>1</v>
      </c>
      <c r="J35" s="13" t="n">
        <v>1</v>
      </c>
      <c r="K35" s="13" t="n">
        <v>1</v>
      </c>
      <c r="L35" s="13" t="n">
        <v>1</v>
      </c>
      <c r="M35" s="13" t="n">
        <v>1</v>
      </c>
      <c r="N35" s="13" t="n">
        <v>1</v>
      </c>
      <c r="O35" s="13" t="n">
        <v>1</v>
      </c>
      <c r="P35" s="13" t="n">
        <v>1</v>
      </c>
      <c r="Q35" s="13" t="n">
        <v>1</v>
      </c>
      <c r="R35" s="13" t="n">
        <v>1</v>
      </c>
      <c r="S35" s="13" t="n">
        <v>0</v>
      </c>
      <c r="T35" s="13" t="n">
        <v>1</v>
      </c>
      <c r="U35" s="13" t="n">
        <v>0</v>
      </c>
      <c r="V35" s="13" t="n">
        <v>1</v>
      </c>
      <c r="W35" s="13" t="n">
        <v>1</v>
      </c>
      <c r="X35" s="13" t="n">
        <v>0</v>
      </c>
      <c r="Y35" s="13" t="n">
        <v>0</v>
      </c>
      <c r="Z35" s="13" t="n">
        <v>1</v>
      </c>
      <c r="AA35" s="13" t="n">
        <v>1</v>
      </c>
      <c r="AB35" s="13" t="n">
        <v>1</v>
      </c>
      <c r="AC35" s="13" t="n">
        <v>1</v>
      </c>
      <c r="AD35" s="13" t="n">
        <v>0</v>
      </c>
      <c r="AE35" s="13" t="n">
        <v>1</v>
      </c>
      <c r="AF35" s="12">
        <f>COUNTIF(D35:AE35,1)</f>
        <v/>
      </c>
      <c r="AG35" s="12">
        <f>IF(COUNT(D35:AE35)=0,"",ROUND(AF35/28*100,1))</f>
        <v/>
      </c>
      <c r="AH35" s="12">
        <f>COUNTIF(D35:AE35,0)</f>
        <v/>
      </c>
      <c r="AI35" s="12">
        <f>IF(COUNT(D35:AE35)=0,"",ROUND(AH35/28*100,1))</f>
        <v/>
      </c>
      <c r="AJ35" s="20">
        <f>IF(AG35="","",IF(AG35&gt;=Нэгтгэл!$K$4,"Хангалттай эзэмшиж байна",IF(AG35&gt;=Нэгтгэл!$K$5,"Ахиж байна","Хөгжиж байна")))</f>
        <v/>
      </c>
    </row>
    <row r="36" ht="16" customHeight="1">
      <c r="A36" s="12" t="n">
        <v>30</v>
      </c>
      <c r="B36" s="12">
        <f>IF(Нэгтгэл!B36="","",Нэгтгэл!B36)</f>
        <v/>
      </c>
      <c r="C36" s="4" t="n"/>
      <c r="D36" s="13" t="n">
        <v>0</v>
      </c>
      <c r="E36" s="13" t="n">
        <v>0</v>
      </c>
      <c r="F36" s="13" t="n">
        <v>0</v>
      </c>
      <c r="G36" s="13" t="n">
        <v>1</v>
      </c>
      <c r="H36" s="13" t="n">
        <v>1</v>
      </c>
      <c r="I36" s="13" t="n">
        <v>0</v>
      </c>
      <c r="J36" s="13" t="n">
        <v>0</v>
      </c>
      <c r="K36" s="13" t="n">
        <v>1</v>
      </c>
      <c r="L36" s="13" t="n">
        <v>0</v>
      </c>
      <c r="M36" s="13" t="n">
        <v>1</v>
      </c>
      <c r="N36" s="13" t="n">
        <v>0</v>
      </c>
      <c r="O36" s="13" t="n">
        <v>1</v>
      </c>
      <c r="P36" s="13" t="n">
        <v>1</v>
      </c>
      <c r="Q36" s="13" t="n">
        <v>0</v>
      </c>
      <c r="R36" s="13" t="n">
        <v>0</v>
      </c>
      <c r="S36" s="13" t="n">
        <v>1</v>
      </c>
      <c r="T36" s="13" t="n">
        <v>1</v>
      </c>
      <c r="U36" s="13" t="n">
        <v>1</v>
      </c>
      <c r="V36" s="13" t="n">
        <v>0</v>
      </c>
      <c r="W36" s="13" t="n">
        <v>1</v>
      </c>
      <c r="X36" s="13" t="n">
        <v>0</v>
      </c>
      <c r="Y36" s="13" t="n">
        <v>1</v>
      </c>
      <c r="Z36" s="13" t="n">
        <v>1</v>
      </c>
      <c r="AA36" s="13" t="n">
        <v>1</v>
      </c>
      <c r="AB36" s="13" t="n">
        <v>1</v>
      </c>
      <c r="AC36" s="13" t="n">
        <v>0</v>
      </c>
      <c r="AD36" s="13" t="n">
        <v>1</v>
      </c>
      <c r="AE36" s="13" t="n">
        <v>1</v>
      </c>
      <c r="AF36" s="12">
        <f>COUNTIF(D36:AE36,1)</f>
        <v/>
      </c>
      <c r="AG36" s="12">
        <f>IF(COUNT(D36:AE36)=0,"",ROUND(AF36/28*100,1))</f>
        <v/>
      </c>
      <c r="AH36" s="12">
        <f>COUNTIF(D36:AE36,0)</f>
        <v/>
      </c>
      <c r="AI36" s="12">
        <f>IF(COUNT(D36:AE36)=0,"",ROUND(AH36/28*100,1))</f>
        <v/>
      </c>
      <c r="AJ36" s="20">
        <f>IF(AG36="","",IF(AG36&gt;=Нэгтгэл!$K$4,"Хангалттай эзэмшиж байна",IF(AG36&gt;=Нэгтгэл!$K$5,"Ахиж байна","Хөгжиж байна")))</f>
        <v/>
      </c>
    </row>
    <row r="37" ht="16" customHeight="1">
      <c r="A37" s="12" t="n">
        <v>31</v>
      </c>
      <c r="B37" s="12">
        <f>IF(Нэгтгэл!B37="","",Нэгтгэл!B37)</f>
        <v/>
      </c>
      <c r="C37" s="4" t="n"/>
      <c r="D37" s="13" t="n">
        <v>0</v>
      </c>
      <c r="E37" s="13" t="n">
        <v>1</v>
      </c>
      <c r="F37" s="13" t="n">
        <v>0</v>
      </c>
      <c r="G37" s="13" t="n">
        <v>1</v>
      </c>
      <c r="H37" s="13" t="n">
        <v>1</v>
      </c>
      <c r="I37" s="13" t="n">
        <v>1</v>
      </c>
      <c r="J37" s="13" t="n">
        <v>1</v>
      </c>
      <c r="K37" s="13" t="n">
        <v>1</v>
      </c>
      <c r="L37" s="13" t="n">
        <v>1</v>
      </c>
      <c r="M37" s="13" t="n">
        <v>0</v>
      </c>
      <c r="N37" s="13" t="n">
        <v>0</v>
      </c>
      <c r="O37" s="13" t="n">
        <v>1</v>
      </c>
      <c r="P37" s="13" t="n">
        <v>0</v>
      </c>
      <c r="Q37" s="13" t="n">
        <v>1</v>
      </c>
      <c r="R37" s="13" t="n">
        <v>1</v>
      </c>
      <c r="S37" s="13" t="n">
        <v>1</v>
      </c>
      <c r="T37" s="13" t="n">
        <v>1</v>
      </c>
      <c r="U37" s="13" t="n">
        <v>0</v>
      </c>
      <c r="V37" s="13" t="n">
        <v>1</v>
      </c>
      <c r="W37" s="13" t="n">
        <v>0</v>
      </c>
      <c r="X37" s="13" t="n">
        <v>1</v>
      </c>
      <c r="Y37" s="13" t="n">
        <v>1</v>
      </c>
      <c r="Z37" s="13" t="n">
        <v>1</v>
      </c>
      <c r="AA37" s="13" t="n">
        <v>1</v>
      </c>
      <c r="AB37" s="13" t="n">
        <v>1</v>
      </c>
      <c r="AC37" s="13" t="n">
        <v>1</v>
      </c>
      <c r="AD37" s="13" t="n">
        <v>0</v>
      </c>
      <c r="AE37" s="13" t="n">
        <v>1</v>
      </c>
      <c r="AF37" s="12">
        <f>COUNTIF(D37:AE37,1)</f>
        <v/>
      </c>
      <c r="AG37" s="12">
        <f>IF(COUNT(D37:AE37)=0,"",ROUND(AF37/28*100,1))</f>
        <v/>
      </c>
      <c r="AH37" s="12">
        <f>COUNTIF(D37:AE37,0)</f>
        <v/>
      </c>
      <c r="AI37" s="12">
        <f>IF(COUNT(D37:AE37)=0,"",ROUND(AH37/28*100,1))</f>
        <v/>
      </c>
      <c r="AJ37" s="20">
        <f>IF(AG37="","",IF(AG37&gt;=Нэгтгэл!$K$4,"Хангалттай эзэмшиж байна",IF(AG37&gt;=Нэгтгэл!$K$5,"Ахиж байна","Хөгжиж байна")))</f>
        <v/>
      </c>
    </row>
    <row r="38" ht="17" customHeight="1">
      <c r="A38" s="5" t="inlineStr">
        <is>
          <t>Чадна (1)</t>
        </is>
      </c>
      <c r="B38" s="15" t="n"/>
      <c r="C38" s="15" t="n"/>
      <c r="D38" s="5">
        <f>COUNTIF(D7:D37,1)</f>
        <v/>
      </c>
      <c r="E38" s="5">
        <f>COUNTIF(E7:E37,1)</f>
        <v/>
      </c>
      <c r="F38" s="5">
        <f>COUNTIF(F7:F37,1)</f>
        <v/>
      </c>
      <c r="G38" s="5">
        <f>COUNTIF(G7:G37,1)</f>
        <v/>
      </c>
      <c r="H38" s="5">
        <f>COUNTIF(H7:H37,1)</f>
        <v/>
      </c>
      <c r="I38" s="5">
        <f>COUNTIF(I7:I37,1)</f>
        <v/>
      </c>
      <c r="J38" s="5">
        <f>COUNTIF(J7:J37,1)</f>
        <v/>
      </c>
      <c r="K38" s="5">
        <f>COUNTIF(K7:K37,1)</f>
        <v/>
      </c>
      <c r="L38" s="5">
        <f>COUNTIF(L7:L37,1)</f>
        <v/>
      </c>
      <c r="M38" s="5">
        <f>COUNTIF(M7:M37,1)</f>
        <v/>
      </c>
      <c r="N38" s="5">
        <f>COUNTIF(N7:N37,1)</f>
        <v/>
      </c>
      <c r="O38" s="5">
        <f>COUNTIF(O7:O37,1)</f>
        <v/>
      </c>
      <c r="P38" s="5">
        <f>COUNTIF(P7:P37,1)</f>
        <v/>
      </c>
      <c r="Q38" s="5">
        <f>COUNTIF(Q7:Q37,1)</f>
        <v/>
      </c>
      <c r="R38" s="5">
        <f>COUNTIF(R7:R37,1)</f>
        <v/>
      </c>
      <c r="S38" s="5">
        <f>COUNTIF(S7:S37,1)</f>
        <v/>
      </c>
      <c r="T38" s="5">
        <f>COUNTIF(T7:T37,1)</f>
        <v/>
      </c>
      <c r="U38" s="5">
        <f>COUNTIF(U7:U37,1)</f>
        <v/>
      </c>
      <c r="V38" s="5">
        <f>COUNTIF(V7:V37,1)</f>
        <v/>
      </c>
      <c r="W38" s="5">
        <f>COUNTIF(W7:W37,1)</f>
        <v/>
      </c>
      <c r="X38" s="5">
        <f>COUNTIF(X7:X37,1)</f>
        <v/>
      </c>
      <c r="Y38" s="5">
        <f>COUNTIF(Y7:Y37,1)</f>
        <v/>
      </c>
      <c r="Z38" s="5">
        <f>COUNTIF(Z7:Z37,1)</f>
        <v/>
      </c>
      <c r="AA38" s="5">
        <f>COUNTIF(AA7:AA37,1)</f>
        <v/>
      </c>
      <c r="AB38" s="5">
        <f>COUNTIF(AB7:AB37,1)</f>
        <v/>
      </c>
      <c r="AC38" s="5">
        <f>COUNTIF(AC7:AC37,1)</f>
        <v/>
      </c>
      <c r="AD38" s="5">
        <f>COUNTIF(AD7:AD37,1)</f>
        <v/>
      </c>
      <c r="AE38" s="5">
        <f>COUNTIF(AE7:AE37,1)</f>
        <v/>
      </c>
      <c r="AF38" s="21" t="inlineStr">
        <is>
          <t>Хангалттай эзэмшиж байна</t>
        </is>
      </c>
      <c r="AG38" s="22" t="n"/>
      <c r="AH38" s="22" t="n"/>
      <c r="AI38" s="23" t="n"/>
      <c r="AJ38" s="5">
        <f>COUNTIF(AJ7:AJ37,"Хангалттай эзэмшиж байна")</f>
        <v/>
      </c>
    </row>
    <row r="39" ht="17" customHeight="1">
      <c r="A39" s="5" t="inlineStr">
        <is>
          <t>Хувь</t>
        </is>
      </c>
      <c r="B39" s="15" t="n"/>
      <c r="C39" s="15" t="n"/>
      <c r="D39" s="5">
        <f>IF(COUNT(D7:D37)=0,"",ROUND(COUNTIF(D7:D37,1)/COUNT(D7:D37)*100,1))</f>
        <v/>
      </c>
      <c r="E39" s="5">
        <f>IF(COUNT(E7:E37)=0,"",ROUND(COUNTIF(E7:E37,1)/COUNT(E7:E37)*100,1))</f>
        <v/>
      </c>
      <c r="F39" s="5">
        <f>IF(COUNT(F7:F37)=0,"",ROUND(COUNTIF(F7:F37,1)/COUNT(F7:F37)*100,1))</f>
        <v/>
      </c>
      <c r="G39" s="5">
        <f>IF(COUNT(G7:G37)=0,"",ROUND(COUNTIF(G7:G37,1)/COUNT(G7:G37)*100,1))</f>
        <v/>
      </c>
      <c r="H39" s="5">
        <f>IF(COUNT(H7:H37)=0,"",ROUND(COUNTIF(H7:H37,1)/COUNT(H7:H37)*100,1))</f>
        <v/>
      </c>
      <c r="I39" s="5">
        <f>IF(COUNT(I7:I37)=0,"",ROUND(COUNTIF(I7:I37,1)/COUNT(I7:I37)*100,1))</f>
        <v/>
      </c>
      <c r="J39" s="5">
        <f>IF(COUNT(J7:J37)=0,"",ROUND(COUNTIF(J7:J37,1)/COUNT(J7:J37)*100,1))</f>
        <v/>
      </c>
      <c r="K39" s="5">
        <f>IF(COUNT(K7:K37)=0,"",ROUND(COUNTIF(K7:K37,1)/COUNT(K7:K37)*100,1))</f>
        <v/>
      </c>
      <c r="L39" s="5">
        <f>IF(COUNT(L7:L37)=0,"",ROUND(COUNTIF(L7:L37,1)/COUNT(L7:L37)*100,1))</f>
        <v/>
      </c>
      <c r="M39" s="5">
        <f>IF(COUNT(M7:M37)=0,"",ROUND(COUNTIF(M7:M37,1)/COUNT(M7:M37)*100,1))</f>
        <v/>
      </c>
      <c r="N39" s="5">
        <f>IF(COUNT(N7:N37)=0,"",ROUND(COUNTIF(N7:N37,1)/COUNT(N7:N37)*100,1))</f>
        <v/>
      </c>
      <c r="O39" s="5">
        <f>IF(COUNT(O7:O37)=0,"",ROUND(COUNTIF(O7:O37,1)/COUNT(O7:O37)*100,1))</f>
        <v/>
      </c>
      <c r="P39" s="5">
        <f>IF(COUNT(P7:P37)=0,"",ROUND(COUNTIF(P7:P37,1)/COUNT(P7:P37)*100,1))</f>
        <v/>
      </c>
      <c r="Q39" s="5">
        <f>IF(COUNT(Q7:Q37)=0,"",ROUND(COUNTIF(Q7:Q37,1)/COUNT(Q7:Q37)*100,1))</f>
        <v/>
      </c>
      <c r="R39" s="5">
        <f>IF(COUNT(R7:R37)=0,"",ROUND(COUNTIF(R7:R37,1)/COUNT(R7:R37)*100,1))</f>
        <v/>
      </c>
      <c r="S39" s="5">
        <f>IF(COUNT(S7:S37)=0,"",ROUND(COUNTIF(S7:S37,1)/COUNT(S7:S37)*100,1))</f>
        <v/>
      </c>
      <c r="T39" s="5">
        <f>IF(COUNT(T7:T37)=0,"",ROUND(COUNTIF(T7:T37,1)/COUNT(T7:T37)*100,1))</f>
        <v/>
      </c>
      <c r="U39" s="5">
        <f>IF(COUNT(U7:U37)=0,"",ROUND(COUNTIF(U7:U37,1)/COUNT(U7:U37)*100,1))</f>
        <v/>
      </c>
      <c r="V39" s="5">
        <f>IF(COUNT(V7:V37)=0,"",ROUND(COUNTIF(V7:V37,1)/COUNT(V7:V37)*100,1))</f>
        <v/>
      </c>
      <c r="W39" s="5">
        <f>IF(COUNT(W7:W37)=0,"",ROUND(COUNTIF(W7:W37,1)/COUNT(W7:W37)*100,1))</f>
        <v/>
      </c>
      <c r="X39" s="5">
        <f>IF(COUNT(X7:X37)=0,"",ROUND(COUNTIF(X7:X37,1)/COUNT(X7:X37)*100,1))</f>
        <v/>
      </c>
      <c r="Y39" s="5">
        <f>IF(COUNT(Y7:Y37)=0,"",ROUND(COUNTIF(Y7:Y37,1)/COUNT(Y7:Y37)*100,1))</f>
        <v/>
      </c>
      <c r="Z39" s="5">
        <f>IF(COUNT(Z7:Z37)=0,"",ROUND(COUNTIF(Z7:Z37,1)/COUNT(Z7:Z37)*100,1))</f>
        <v/>
      </c>
      <c r="AA39" s="5">
        <f>IF(COUNT(AA7:AA37)=0,"",ROUND(COUNTIF(AA7:AA37,1)/COUNT(AA7:AA37)*100,1))</f>
        <v/>
      </c>
      <c r="AB39" s="5">
        <f>IF(COUNT(AB7:AB37)=0,"",ROUND(COUNTIF(AB7:AB37,1)/COUNT(AB7:AB37)*100,1))</f>
        <v/>
      </c>
      <c r="AC39" s="5">
        <f>IF(COUNT(AC7:AC37)=0,"",ROUND(COUNTIF(AC7:AC37,1)/COUNT(AC7:AC37)*100,1))</f>
        <v/>
      </c>
      <c r="AD39" s="5">
        <f>IF(COUNT(AD7:AD37)=0,"",ROUND(COUNTIF(AD7:AD37,1)/COUNT(AD7:AD37)*100,1))</f>
        <v/>
      </c>
      <c r="AE39" s="5">
        <f>IF(COUNT(AE7:AE37)=0,"",ROUND(COUNTIF(AE7:AE37,1)/COUNT(AE7:AE37)*100,1))</f>
        <v/>
      </c>
      <c r="AF39" s="21" t="inlineStr">
        <is>
          <t>Ахиж байна</t>
        </is>
      </c>
      <c r="AG39" s="22" t="n"/>
      <c r="AH39" s="22" t="n"/>
      <c r="AI39" s="23" t="n"/>
      <c r="AJ39" s="5">
        <f>COUNTIF(AJ7:AJ37,"Ахиж байна")</f>
        <v/>
      </c>
    </row>
    <row r="40" ht="17" customHeight="1">
      <c r="A40" s="5" t="inlineStr">
        <is>
          <t>Чадахгүй (0)</t>
        </is>
      </c>
      <c r="B40" s="15" t="n"/>
      <c r="C40" s="15" t="n"/>
      <c r="D40" s="5">
        <f>COUNTIF(D7:D37,0)</f>
        <v/>
      </c>
      <c r="E40" s="5">
        <f>COUNTIF(E7:E37,0)</f>
        <v/>
      </c>
      <c r="F40" s="5">
        <f>COUNTIF(F7:F37,0)</f>
        <v/>
      </c>
      <c r="G40" s="5">
        <f>COUNTIF(G7:G37,0)</f>
        <v/>
      </c>
      <c r="H40" s="5">
        <f>COUNTIF(H7:H37,0)</f>
        <v/>
      </c>
      <c r="I40" s="5">
        <f>COUNTIF(I7:I37,0)</f>
        <v/>
      </c>
      <c r="J40" s="5">
        <f>COUNTIF(J7:J37,0)</f>
        <v/>
      </c>
      <c r="K40" s="5">
        <f>COUNTIF(K7:K37,0)</f>
        <v/>
      </c>
      <c r="L40" s="5">
        <f>COUNTIF(L7:L37,0)</f>
        <v/>
      </c>
      <c r="M40" s="5">
        <f>COUNTIF(M7:M37,0)</f>
        <v/>
      </c>
      <c r="N40" s="5">
        <f>COUNTIF(N7:N37,0)</f>
        <v/>
      </c>
      <c r="O40" s="5">
        <f>COUNTIF(O7:O37,0)</f>
        <v/>
      </c>
      <c r="P40" s="5">
        <f>COUNTIF(P7:P37,0)</f>
        <v/>
      </c>
      <c r="Q40" s="5">
        <f>COUNTIF(Q7:Q37,0)</f>
        <v/>
      </c>
      <c r="R40" s="5">
        <f>COUNTIF(R7:R37,0)</f>
        <v/>
      </c>
      <c r="S40" s="5">
        <f>COUNTIF(S7:S37,0)</f>
        <v/>
      </c>
      <c r="T40" s="5">
        <f>COUNTIF(T7:T37,0)</f>
        <v/>
      </c>
      <c r="U40" s="5">
        <f>COUNTIF(U7:U37,0)</f>
        <v/>
      </c>
      <c r="V40" s="5">
        <f>COUNTIF(V7:V37,0)</f>
        <v/>
      </c>
      <c r="W40" s="5">
        <f>COUNTIF(W7:W37,0)</f>
        <v/>
      </c>
      <c r="X40" s="5">
        <f>COUNTIF(X7:X37,0)</f>
        <v/>
      </c>
      <c r="Y40" s="5">
        <f>COUNTIF(Y7:Y37,0)</f>
        <v/>
      </c>
      <c r="Z40" s="5">
        <f>COUNTIF(Z7:Z37,0)</f>
        <v/>
      </c>
      <c r="AA40" s="5">
        <f>COUNTIF(AA7:AA37,0)</f>
        <v/>
      </c>
      <c r="AB40" s="5">
        <f>COUNTIF(AB7:AB37,0)</f>
        <v/>
      </c>
      <c r="AC40" s="5">
        <f>COUNTIF(AC7:AC37,0)</f>
        <v/>
      </c>
      <c r="AD40" s="5">
        <f>COUNTIF(AD7:AD37,0)</f>
        <v/>
      </c>
      <c r="AE40" s="5">
        <f>COUNTIF(AE7:AE37,0)</f>
        <v/>
      </c>
      <c r="AF40" s="21" t="inlineStr">
        <is>
          <t>Хөгжиж байна</t>
        </is>
      </c>
      <c r="AG40" s="22" t="n"/>
      <c r="AH40" s="22" t="n"/>
      <c r="AI40" s="23" t="n"/>
      <c r="AJ40" s="5">
        <f>COUNTIF(AJ7:AJ37,"Хөгжиж байна")</f>
        <v/>
      </c>
    </row>
    <row r="41" ht="17" customHeight="1">
      <c r="A41" s="5" t="inlineStr">
        <is>
          <t>Хувь</t>
        </is>
      </c>
      <c r="B41" s="15" t="n"/>
      <c r="C41" s="15" t="n"/>
      <c r="D41" s="5">
        <f>IF(COUNT(D7:D37)=0,"",ROUND(COUNTIF(D7:D37,0)/COUNT(D7:D37)*100,1))</f>
        <v/>
      </c>
      <c r="E41" s="5">
        <f>IF(COUNT(E7:E37)=0,"",ROUND(COUNTIF(E7:E37,0)/COUNT(E7:E37)*100,1))</f>
        <v/>
      </c>
      <c r="F41" s="5">
        <f>IF(COUNT(F7:F37)=0,"",ROUND(COUNTIF(F7:F37,0)/COUNT(F7:F37)*100,1))</f>
        <v/>
      </c>
      <c r="G41" s="5">
        <f>IF(COUNT(G7:G37)=0,"",ROUND(COUNTIF(G7:G37,0)/COUNT(G7:G37)*100,1))</f>
        <v/>
      </c>
      <c r="H41" s="5">
        <f>IF(COUNT(H7:H37)=0,"",ROUND(COUNTIF(H7:H37,0)/COUNT(H7:H37)*100,1))</f>
        <v/>
      </c>
      <c r="I41" s="5">
        <f>IF(COUNT(I7:I37)=0,"",ROUND(COUNTIF(I7:I37,0)/COUNT(I7:I37)*100,1))</f>
        <v/>
      </c>
      <c r="J41" s="5">
        <f>IF(COUNT(J7:J37)=0,"",ROUND(COUNTIF(J7:J37,0)/COUNT(J7:J37)*100,1))</f>
        <v/>
      </c>
      <c r="K41" s="5">
        <f>IF(COUNT(K7:K37)=0,"",ROUND(COUNTIF(K7:K37,0)/COUNT(K7:K37)*100,1))</f>
        <v/>
      </c>
      <c r="L41" s="5">
        <f>IF(COUNT(L7:L37)=0,"",ROUND(COUNTIF(L7:L37,0)/COUNT(L7:L37)*100,1))</f>
        <v/>
      </c>
      <c r="M41" s="5">
        <f>IF(COUNT(M7:M37)=0,"",ROUND(COUNTIF(M7:M37,0)/COUNT(M7:M37)*100,1))</f>
        <v/>
      </c>
      <c r="N41" s="5">
        <f>IF(COUNT(N7:N37)=0,"",ROUND(COUNTIF(N7:N37,0)/COUNT(N7:N37)*100,1))</f>
        <v/>
      </c>
      <c r="O41" s="5">
        <f>IF(COUNT(O7:O37)=0,"",ROUND(COUNTIF(O7:O37,0)/COUNT(O7:O37)*100,1))</f>
        <v/>
      </c>
      <c r="P41" s="5">
        <f>IF(COUNT(P7:P37)=0,"",ROUND(COUNTIF(P7:P37,0)/COUNT(P7:P37)*100,1))</f>
        <v/>
      </c>
      <c r="Q41" s="5">
        <f>IF(COUNT(Q7:Q37)=0,"",ROUND(COUNTIF(Q7:Q37,0)/COUNT(Q7:Q37)*100,1))</f>
        <v/>
      </c>
      <c r="R41" s="5">
        <f>IF(COUNT(R7:R37)=0,"",ROUND(COUNTIF(R7:R37,0)/COUNT(R7:R37)*100,1))</f>
        <v/>
      </c>
      <c r="S41" s="5">
        <f>IF(COUNT(S7:S37)=0,"",ROUND(COUNTIF(S7:S37,0)/COUNT(S7:S37)*100,1))</f>
        <v/>
      </c>
      <c r="T41" s="5">
        <f>IF(COUNT(T7:T37)=0,"",ROUND(COUNTIF(T7:T37,0)/COUNT(T7:T37)*100,1))</f>
        <v/>
      </c>
      <c r="U41" s="5">
        <f>IF(COUNT(U7:U37)=0,"",ROUND(COUNTIF(U7:U37,0)/COUNT(U7:U37)*100,1))</f>
        <v/>
      </c>
      <c r="V41" s="5">
        <f>IF(COUNT(V7:V37)=0,"",ROUND(COUNTIF(V7:V37,0)/COUNT(V7:V37)*100,1))</f>
        <v/>
      </c>
      <c r="W41" s="5">
        <f>IF(COUNT(W7:W37)=0,"",ROUND(COUNTIF(W7:W37,0)/COUNT(W7:W37)*100,1))</f>
        <v/>
      </c>
      <c r="X41" s="5">
        <f>IF(COUNT(X7:X37)=0,"",ROUND(COUNTIF(X7:X37,0)/COUNT(X7:X37)*100,1))</f>
        <v/>
      </c>
      <c r="Y41" s="5">
        <f>IF(COUNT(Y7:Y37)=0,"",ROUND(COUNTIF(Y7:Y37,0)/COUNT(Y7:Y37)*100,1))</f>
        <v/>
      </c>
      <c r="Z41" s="5">
        <f>IF(COUNT(Z7:Z37)=0,"",ROUND(COUNTIF(Z7:Z37,0)/COUNT(Z7:Z37)*100,1))</f>
        <v/>
      </c>
      <c r="AA41" s="5">
        <f>IF(COUNT(AA7:AA37)=0,"",ROUND(COUNTIF(AA7:AA37,0)/COUNT(AA7:AA37)*100,1))</f>
        <v/>
      </c>
      <c r="AB41" s="5">
        <f>IF(COUNT(AB7:AB37)=0,"",ROUND(COUNTIF(AB7:AB37,0)/COUNT(AB7:AB37)*100,1))</f>
        <v/>
      </c>
      <c r="AC41" s="5">
        <f>IF(COUNT(AC7:AC37)=0,"",ROUND(COUNTIF(AC7:AC37,0)/COUNT(AC7:AC37)*100,1))</f>
        <v/>
      </c>
      <c r="AD41" s="5">
        <f>IF(COUNT(AD7:AD37)=0,"",ROUND(COUNTIF(AD7:AD37,0)/COUNT(AD7:AD37)*100,1))</f>
        <v/>
      </c>
      <c r="AE41" s="5">
        <f>IF(COUNT(AE7:AE37)=0,"",ROUND(COUNTIF(AE7:AE37,0)/COUNT(AE7:AE37)*100,1))</f>
        <v/>
      </c>
      <c r="AF41" s="15" t="n"/>
      <c r="AG41" s="15" t="n"/>
      <c r="AH41" s="15" t="n"/>
      <c r="AI41" s="15" t="n"/>
      <c r="AJ41" s="15" t="n"/>
    </row>
  </sheetData>
  <mergeCells count="48">
    <mergeCell ref="A41:C41"/>
    <mergeCell ref="B16:C16"/>
    <mergeCell ref="B7:C7"/>
    <mergeCell ref="B25:C25"/>
    <mergeCell ref="AF40:AI40"/>
    <mergeCell ref="B22:C22"/>
    <mergeCell ref="B31:C31"/>
    <mergeCell ref="D3:AE3"/>
    <mergeCell ref="B18:C18"/>
    <mergeCell ref="B27:C27"/>
    <mergeCell ref="AF38:AI38"/>
    <mergeCell ref="B12:C12"/>
    <mergeCell ref="B21:C21"/>
    <mergeCell ref="B11:C11"/>
    <mergeCell ref="B23:C23"/>
    <mergeCell ref="A3:A6"/>
    <mergeCell ref="B14:C14"/>
    <mergeCell ref="A2:AJ2"/>
    <mergeCell ref="AJ3:AJ6"/>
    <mergeCell ref="AF39:AI39"/>
    <mergeCell ref="B17:C17"/>
    <mergeCell ref="B8:C8"/>
    <mergeCell ref="A38:C38"/>
    <mergeCell ref="B13:C13"/>
    <mergeCell ref="B29:C29"/>
    <mergeCell ref="B19:C19"/>
    <mergeCell ref="B34:C34"/>
    <mergeCell ref="B37:C37"/>
    <mergeCell ref="B10:C10"/>
    <mergeCell ref="B28:C28"/>
    <mergeCell ref="A40:C40"/>
    <mergeCell ref="AG3:AG6"/>
    <mergeCell ref="AI3:AI6"/>
    <mergeCell ref="A39:C39"/>
    <mergeCell ref="B9:C9"/>
    <mergeCell ref="B3:C6"/>
    <mergeCell ref="B24:C24"/>
    <mergeCell ref="B30:C30"/>
    <mergeCell ref="B15:C15"/>
    <mergeCell ref="B33:C33"/>
    <mergeCell ref="B20:C20"/>
    <mergeCell ref="AF3:AF6"/>
    <mergeCell ref="B36:C36"/>
    <mergeCell ref="B32:C32"/>
    <mergeCell ref="AH3:AH6"/>
    <mergeCell ref="B26:C26"/>
    <mergeCell ref="B35:C35"/>
    <mergeCell ref="A1:AJ1"/>
  </mergeCells>
  <conditionalFormatting sqref="D7:AE37">
    <cfRule type="cellIs" priority="1" operator="equal" dxfId="0">
      <formula>0</formula>
    </cfRule>
  </conditionalFormatting>
  <dataValidations count="1">
    <dataValidation sqref="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J7 J8 J9 J10 J11 J12 J13 J14 J15 J16 J17 J18 J19 J20 J21 J22 J23 J24 J25 J26 J27 J28 J29 J30 J31 J32 J33 J34 J35 J36 J37 K7 K8 K9 K10 K11 K12 K13 K14 K15 K16 K17 K18 K19 K20 K21 K22 K23 K24 K25 K26 K27 K28 K29 K30 K31 K32 K33 K34 K35 K36 K37 L7 L8 L9 L10 L11 L12 L13 L14 L15 L16 L17 L18 L19 L20 L21 L22 L23 L24 L25 L26 L27 L28 L29 L30 L31 L32 L33 L34 L35 L36 L37 M7 M8 M9 M10 M11 M12 M13 M14 M15 M16 M17 M18 M19 M20 M21 M22 M23 M24 M25 M26 M27 M28 M29 M30 M31 M32 M33 M34 M35 M36 M37 N7 N8 N9 N10 N11 N12 N13 N14 N15 N16 N17 N18 N19 N20 N21 N22 N23 N24 N25 N26 N27 N28 N29 N30 N31 N32 N33 N34 N35 N36 N37 O7 O8 O9 O10 O11 O12 O13 O14 O15 O16 O17 O18 O19 O20 O21 O22 O23 O24 O25 O26 O27 O28 O29 O30 O31 O32 O33 O34 O35 O36 O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S7 S8 S9 S10 S11 S12 S13 S14 S15 S16 S17 S18 S19 S20 S21 S22 S23 S24 S25 S26 S27 S28 S29 S30 S31 S32 S33 S34 S35 S36 S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W7 W8 W9 W10 W11 W12 W13 W14 W15 W16 W17 W18 W19 W20 W21 W22 W23 W24 W25 W26 W27 W28 W29 W30 W31 W32 W33 W34 W35 W36 W37 X7 X8 X9 X10 X11 X12 X13 X14 X15 X16 X17 X18 X19 X20 X21 X22 X23 X24 X25 X26 X27 X28 X29 X30 X31 X32 X33 X34 X35 X36 X37 Y7 Y8 Y9 Y10 Y11 Y12 Y13 Y14 Y15 Y16 Y17 Y18 Y19 Y20 Y21 Y22 Y23 Y24 Y25 Y26 Y27 Y28 Y29 Y30 Y31 Y32 Y33 Y34 Y35 Y36 Y37 Z7 Z8 Z9 Z10 Z11 Z12 Z13 Z14 Z15 Z16 Z17 Z18 Z19 Z20 Z21 Z22 Z23 Z24 Z25 Z26 Z27 Z28 Z29 Z30 Z31 Z32 Z33 Z34 Z35 Z36 Z37 AA7 AA8 AA9 AA10 AA11 AA12 AA13 AA14 AA15 AA16 AA17 AA18 AA19 AA20 AA21 AA22 AA23 AA24 AA25 AA26 AA27 AA28 AA29 AA30 AA31 AA32 AA33 AA34 AA35 AA36 AA37 AB7 AB8 AB9 AB10 AB11 AB12 AB13 AB14 AB15 AB16 AB17 AB18 AB19 AB20 AB21 AB22 AB23 AB24 AB25 AB26 AB27 AB28 AB29 AB30 AB31 AB32 AB33 AB34 AB35 AB36 AB37 AC7 AC8 AC9 AC10 AC11 AC12 AC13 AC14 AC15 AC16 AC17 AC18 AC19 AC20 AC21 AC22 AC23 AC24 AC25 AC26 AC27 AC28 AC29 AC30 AC31 AC32 AC33 AC34 AC35 AC36 AC37 AD7 AD8 AD9 AD10 AD11 AD12 AD13 AD14 AD15 AD16 AD17 AD18 AD19 AD20 AD21 AD22 AD23 AD24 AD25 AD26 AD27 AD28 AD29 AD30 AD31 AD32 AD33 AD34 AD35 AD36 AD37 AE7 AE8 AE9 AE10 AE11 AE12 AE13 AE14 AE15 AE16 AE17 AE18 AE19 AE20 AE21 AE22 AE23 AE24 AE25 AE26 AE27 AE28 AE29 AE30 AE31 AE32 AE33 AE34 AE35 AE36 AE37"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1" fitToWidth="1"/>
</worksheet>
</file>

<file path=xl/worksheets/sheet4.xml><?xml version="1.0" encoding="utf-8"?>
<worksheet xmlns="http://schemas.openxmlformats.org/spreadsheetml/2006/main">
  <sheetPr>
    <outlinePr summaryBelow="1" summaryRight="1"/>
    <pageSetUpPr fitToPage="1"/>
  </sheetPr>
  <dimension ref="A1:U41"/>
  <sheetViews>
    <sheetView workbookViewId="0">
      <selection activeCell="A1" sqref="A1"/>
    </sheetView>
  </sheetViews>
  <sheetFormatPr baseColWidth="8" defaultRowHeight="15"/>
  <cols>
    <col width="4.5" customWidth="1" min="1" max="1"/>
    <col width="8" customWidth="1" min="2" max="2"/>
    <col width="4"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7" customWidth="1" min="17" max="17"/>
    <col width="7" customWidth="1" min="18" max="18"/>
    <col width="8" customWidth="1" min="19" max="19"/>
    <col width="7" customWidth="1" min="20" max="20"/>
    <col width="14" customWidth="1" min="21" max="21"/>
  </cols>
  <sheetData>
    <row r="1">
      <c r="A1" s="1" t="inlineStr">
        <is>
          <t>................ ЦЭЦЭРЛЭГИЙН БЭЛТГЭЛ БҮЛГИЙН (5 НАС) ГАРААНЫ (ОНОШЛОХ) ҮНЭЛГЭЭ</t>
        </is>
      </c>
    </row>
    <row r="2">
      <c r="A2" s="18" t="inlineStr">
        <is>
          <t>Үнэлгээний хүрээ: Төлөвшил          Огноо: 20.... оны .... сар          Багш: ................................          Чадна = 1, Чадахгүй = 0  (А/79 журам, IV түвшний шалгуур)</t>
        </is>
      </c>
    </row>
    <row r="3">
      <c r="A3" s="3" t="inlineStr">
        <is>
          <t>№</t>
        </is>
      </c>
      <c r="B3" s="3" t="inlineStr">
        <is>
          <t>Хүүхдийн код</t>
        </is>
      </c>
      <c r="C3" s="4" t="n"/>
      <c r="D3" s="3" t="inlineStr">
        <is>
          <t>Үнэлгээний хүрээ: Төлөвшил</t>
        </is>
      </c>
      <c r="E3" s="4" t="n"/>
      <c r="F3" s="4" t="n"/>
      <c r="G3" s="4" t="n"/>
      <c r="H3" s="4" t="n"/>
      <c r="I3" s="4" t="n"/>
      <c r="J3" s="4" t="n"/>
      <c r="K3" s="4" t="n"/>
      <c r="L3" s="4" t="n"/>
      <c r="M3" s="4" t="n"/>
      <c r="N3" s="4" t="n"/>
      <c r="O3" s="4" t="n"/>
      <c r="P3" s="4" t="n"/>
      <c r="Q3" s="5" t="inlineStr">
        <is>
          <t>Чадна (1)</t>
        </is>
      </c>
      <c r="R3" s="5" t="inlineStr">
        <is>
          <t>Хувь</t>
        </is>
      </c>
      <c r="S3" s="5" t="inlineStr">
        <is>
          <t>Чадахгүй (0)</t>
        </is>
      </c>
      <c r="T3" s="5" t="inlineStr">
        <is>
          <t>Хувь</t>
        </is>
      </c>
      <c r="U3" s="5" t="inlineStr">
        <is>
          <t>Түвшин</t>
        </is>
      </c>
    </row>
    <row r="4" ht="140" customHeight="1">
      <c r="A4" s="4" t="n"/>
      <c r="B4" s="4" t="n"/>
      <c r="C4" s="4" t="n"/>
      <c r="D4" s="6" t="inlineStr">
        <is>
          <t>Хувийн ариун цэвэр сахихын ач холбогдлыг ойлгож, тогтмол дагаж мөрддөг.</t>
        </is>
      </c>
      <c r="E4" s="6" t="inlineStr">
        <is>
          <t>Хоол хүнс, зууш бэлтгэхэд өөрийн хэмжээнд оролцож тусалдаг.</t>
        </is>
      </c>
      <c r="F4" s="6" t="inlineStr">
        <is>
          <t>Бохирдсон хоолны хэрэгслийг насанд хүрэгчидтэй хамтран цэвэрлэдэг.</t>
        </is>
      </c>
      <c r="G4" s="6" t="inlineStr">
        <is>
          <t>Ухаалаг төхөөрөмжийг хэрэглэх үедээ бусдын заавар, дүрмийг мөрддөг.</t>
        </is>
      </c>
      <c r="H4" s="6" t="inlineStr">
        <is>
          <t>Тоглоомын дүрэм баримтлан хамтран тоглодог.</t>
        </is>
      </c>
      <c r="I4" s="6" t="inlineStr">
        <is>
          <t>Гэр бүл, цэцэрлэг, анги, олон нийтийн газарт тогтсон дүрмийг баримталдаг.</t>
        </is>
      </c>
      <c r="J4" s="6" t="inlineStr">
        <is>
          <t>Өөрийнх нь үйлдэл бусдын сэтгэлийн хөдөлгөөнд нөлөөлж буйг мэдэж зохицон харилцдаг.</t>
        </is>
      </c>
      <c r="K4" s="6" t="inlineStr">
        <is>
          <t>Харилцан ярианд идэвх санаачилга (асуулт асуух гэх мэт)-тай оролцдог.</t>
        </is>
      </c>
      <c r="L4" s="6" t="inlineStr">
        <is>
          <t>Амьтдыг хайрлан хамгаалдаг.</t>
        </is>
      </c>
      <c r="M4" s="6" t="inlineStr">
        <is>
          <t>Бусдын сонирхол, ялгаатай байдалд хүндэтгэлтэй ханддаг.</t>
        </is>
      </c>
      <c r="N4" s="6" t="inlineStr">
        <is>
          <t>Орчиндоо хариуцлагатай байж, хог ангилж, байгаль бохирдуулахгүй байх үйлийг хийдэг.</t>
        </is>
      </c>
      <c r="O4" s="6" t="inlineStr">
        <is>
          <t>Үндэсний соёл, зан заншлын зарим үйлийг бие даан болон найз нөхөдтэйгээ хамтран хийдэг.</t>
        </is>
      </c>
      <c r="P4" s="6" t="inlineStr">
        <is>
          <t>Дүрийн зан чанарын талаар харилцан ярилцдаг.</t>
        </is>
      </c>
      <c r="Q4" s="4" t="n"/>
      <c r="R4" s="4" t="n"/>
      <c r="S4" s="4" t="n"/>
      <c r="T4" s="4" t="n"/>
      <c r="U4" s="4" t="n"/>
    </row>
    <row r="5" ht="173" customHeight="1">
      <c r="A5" s="4" t="n"/>
      <c r="B5" s="4" t="n"/>
      <c r="C5" s="4" t="n"/>
      <c r="D5" s="19" t="inlineStr">
        <is>
          <t>СҮД: ХЭМ4.2а. Хувийн ариун цэвэр сахих үйлийг өөрийн санаачилгаар бие даан хийнэ.</t>
        </is>
      </c>
      <c r="E5" s="19" t="inlineStr">
        <is>
          <t>СҮД: ХЭМ4.2в. Хүнсний бүтээгдэхүүний төрлийг мэдэж, насанд хүрэгчтэй хамтран хялбар зууш бэлтгэнэ.</t>
        </is>
      </c>
      <c r="F5" s="19" t="inlineStr">
        <is>
          <t>СҮД: ХЭМ4.2г. Хоолны хэрэгслийг угааж, цэвэрлэхэд насанд хүрэгчтэй хамтран оролцоно.</t>
        </is>
      </c>
      <c r="G5" s="19" t="inlineStr">
        <is>
          <t>СҮД: ХЭМ4.2з. Ухаалаг төхөөрөмжийн хэрэглээний эерэг, сөрөг нөлөөг тайлбарлан, зохистой хэрэглэх цаг, дүрмийг мөрдөж, бусдад сануулна.</t>
        </is>
      </c>
      <c r="H5" s="19" t="inlineStr">
        <is>
          <t>СҮД: НСХ4.3в. Өдөр тутмын үйл ажиллагаанд тодорхой дүрэм баримтлан хамтран оролцдог болно.</t>
        </is>
      </c>
      <c r="I5" s="19" t="inlineStr">
        <is>
          <t>СҮД: НСХ4.3в. Өдөр тутмын үйл ажиллагаанд тодорхой дүрэм баримтлан хамтран оролцдог болно.</t>
        </is>
      </c>
      <c r="J5" s="19" t="inlineStr">
        <is>
          <t>СҮД: НСХ4.3а. Хүмүүс хоорондоо хэрхэн харилцан хамааралтай байдгийг тайлбарладаг болно.</t>
        </is>
      </c>
      <c r="K5" s="19" t="inlineStr">
        <is>
          <t>СҮД: ХЯ4.2а. Тодорхой сэдвээр санаа бодлоо илэрхийлж, идэвхтэй ярилцана.</t>
        </is>
      </c>
      <c r="L5" s="19" t="inlineStr">
        <is>
          <t>СҮД: БНО4.1а. Амьтдын үр төл, идэш тэжээл, амьдрах орчны ялгааг тайлбарлаж, хайрлан хамгаалах үйлд оролцоно.</t>
        </is>
      </c>
      <c r="M5" s="19" t="inlineStr">
        <is>
          <t>СҮД: БНО4.2а. Өөрийнхөө тухай танилцуулж, бусдын сонирхол, ялгаатай байдалд хүндэтгэлтэй хандана.</t>
        </is>
      </c>
      <c r="N5" s="19" t="inlineStr">
        <is>
          <t>СҮД: БНО4.2г. Орчны эд зүйлсийг гамтай хэрэглэж, ус бохирдуулахгүй байх, хог хаягдал ангилах үйлд хариуцлагатай хандана.</t>
        </is>
      </c>
      <c r="O5" s="19" t="inlineStr">
        <is>
          <t>СҮД: БНО4.2д. Өөрийн үндэсний өв соёлыг бусад үндэстний соёлоос ялган таньж, уламжлалт зан үйл, ёс заншлаар бахархана.</t>
        </is>
      </c>
      <c r="P5" s="19" t="inlineStr">
        <is>
          <t>СҮД: ХӨГ4.1д. Дүрийн зан чанар, харилцааг илэрхийлж хамтран тоглоно.</t>
        </is>
      </c>
      <c r="Q5" s="4" t="n"/>
      <c r="R5" s="4" t="n"/>
      <c r="S5" s="4" t="n"/>
      <c r="T5" s="4" t="n"/>
      <c r="U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10" t="inlineStr">
        <is>
          <t>1 / 0</t>
        </is>
      </c>
      <c r="K6" s="10" t="inlineStr">
        <is>
          <t>1 / 0</t>
        </is>
      </c>
      <c r="L6" s="10" t="inlineStr">
        <is>
          <t>1 / 0</t>
        </is>
      </c>
      <c r="M6" s="10" t="inlineStr">
        <is>
          <t>1 / 0</t>
        </is>
      </c>
      <c r="N6" s="10" t="inlineStr">
        <is>
          <t>1 / 0</t>
        </is>
      </c>
      <c r="O6" s="10" t="inlineStr">
        <is>
          <t>1 / 0</t>
        </is>
      </c>
      <c r="P6" s="10" t="inlineStr">
        <is>
          <t>1 / 0</t>
        </is>
      </c>
      <c r="Q6" s="4" t="n"/>
      <c r="R6" s="4" t="n"/>
      <c r="S6" s="4" t="n"/>
      <c r="T6" s="4" t="n"/>
      <c r="U6" s="4" t="n"/>
    </row>
    <row r="7" ht="16" customHeight="1">
      <c r="A7" s="12" t="n">
        <v>1</v>
      </c>
      <c r="B7" s="12">
        <f>IF(Нэгтгэл!B7="","",Нэгтгэл!B7)</f>
        <v/>
      </c>
      <c r="C7" s="4" t="n"/>
      <c r="D7" s="13" t="n">
        <v>1</v>
      </c>
      <c r="E7" s="13" t="n">
        <v>1</v>
      </c>
      <c r="F7" s="13" t="n">
        <v>0</v>
      </c>
      <c r="G7" s="13" t="n">
        <v>0</v>
      </c>
      <c r="H7" s="13" t="n">
        <v>1</v>
      </c>
      <c r="I7" s="13" t="n">
        <v>1</v>
      </c>
      <c r="J7" s="13" t="n">
        <v>1</v>
      </c>
      <c r="K7" s="13" t="n">
        <v>0</v>
      </c>
      <c r="L7" s="13" t="n">
        <v>1</v>
      </c>
      <c r="M7" s="13" t="n">
        <v>1</v>
      </c>
      <c r="N7" s="13" t="n">
        <v>1</v>
      </c>
      <c r="O7" s="13" t="n">
        <v>0</v>
      </c>
      <c r="P7" s="13" t="n">
        <v>1</v>
      </c>
      <c r="Q7" s="12">
        <f>COUNTIF(D7:P7,1)</f>
        <v/>
      </c>
      <c r="R7" s="12">
        <f>IF(COUNT(D7:P7)=0,"",ROUND(Q7/13*100,1))</f>
        <v/>
      </c>
      <c r="S7" s="12">
        <f>COUNTIF(D7:P7,0)</f>
        <v/>
      </c>
      <c r="T7" s="12">
        <f>IF(COUNT(D7:P7)=0,"",ROUND(S7/13*100,1))</f>
        <v/>
      </c>
      <c r="U7" s="20">
        <f>IF(R7="","",IF(R7&gt;=Нэгтгэл!$K$4,"Хангалттай эзэмшиж байна",IF(R7&gt;=Нэгтгэл!$K$5,"Ахиж байна","Хөгжиж байна")))</f>
        <v/>
      </c>
    </row>
    <row r="8" ht="16" customHeight="1">
      <c r="A8" s="12" t="n">
        <v>2</v>
      </c>
      <c r="B8" s="12">
        <f>IF(Нэгтгэл!B8="","",Нэгтгэл!B8)</f>
        <v/>
      </c>
      <c r="C8" s="4" t="n"/>
      <c r="D8" s="13" t="n">
        <v>1</v>
      </c>
      <c r="E8" s="13" t="n">
        <v>0</v>
      </c>
      <c r="F8" s="13" t="n">
        <v>1</v>
      </c>
      <c r="G8" s="13" t="n">
        <v>1</v>
      </c>
      <c r="H8" s="13" t="n">
        <v>0</v>
      </c>
      <c r="I8" s="13" t="n">
        <v>1</v>
      </c>
      <c r="J8" s="13" t="n">
        <v>0</v>
      </c>
      <c r="K8" s="13" t="n">
        <v>1</v>
      </c>
      <c r="L8" s="13" t="n">
        <v>1</v>
      </c>
      <c r="M8" s="13" t="n">
        <v>1</v>
      </c>
      <c r="N8" s="13" t="n">
        <v>1</v>
      </c>
      <c r="O8" s="13" t="n">
        <v>1</v>
      </c>
      <c r="P8" s="13" t="n">
        <v>1</v>
      </c>
      <c r="Q8" s="12">
        <f>COUNTIF(D8:P8,1)</f>
        <v/>
      </c>
      <c r="R8" s="12">
        <f>IF(COUNT(D8:P8)=0,"",ROUND(Q8/13*100,1))</f>
        <v/>
      </c>
      <c r="S8" s="12">
        <f>COUNTIF(D8:P8,0)</f>
        <v/>
      </c>
      <c r="T8" s="12">
        <f>IF(COUNT(D8:P8)=0,"",ROUND(S8/13*100,1))</f>
        <v/>
      </c>
      <c r="U8" s="20">
        <f>IF(R8="","",IF(R8&gt;=Нэгтгэл!$K$4,"Хангалттай эзэмшиж байна",IF(R8&gt;=Нэгтгэл!$K$5,"Ахиж байна","Хөгжиж байна")))</f>
        <v/>
      </c>
    </row>
    <row r="9" ht="16" customHeight="1">
      <c r="A9" s="12" t="n">
        <v>3</v>
      </c>
      <c r="B9" s="12">
        <f>IF(Нэгтгэл!B9="","",Нэгтгэл!B9)</f>
        <v/>
      </c>
      <c r="C9" s="4" t="n"/>
      <c r="D9" s="13" t="n">
        <v>1</v>
      </c>
      <c r="E9" s="13" t="n">
        <v>1</v>
      </c>
      <c r="F9" s="13" t="n">
        <v>0</v>
      </c>
      <c r="G9" s="13" t="n">
        <v>0</v>
      </c>
      <c r="H9" s="13" t="n">
        <v>1</v>
      </c>
      <c r="I9" s="13" t="n">
        <v>1</v>
      </c>
      <c r="J9" s="13" t="n">
        <v>1</v>
      </c>
      <c r="K9" s="13" t="n">
        <v>1</v>
      </c>
      <c r="L9" s="13" t="n">
        <v>1</v>
      </c>
      <c r="M9" s="13" t="n">
        <v>1</v>
      </c>
      <c r="N9" s="13" t="n">
        <v>1</v>
      </c>
      <c r="O9" s="13" t="n">
        <v>0</v>
      </c>
      <c r="P9" s="13" t="n">
        <v>1</v>
      </c>
      <c r="Q9" s="12">
        <f>COUNTIF(D9:P9,1)</f>
        <v/>
      </c>
      <c r="R9" s="12">
        <f>IF(COUNT(D9:P9)=0,"",ROUND(Q9/13*100,1))</f>
        <v/>
      </c>
      <c r="S9" s="12">
        <f>COUNTIF(D9:P9,0)</f>
        <v/>
      </c>
      <c r="T9" s="12">
        <f>IF(COUNT(D9:P9)=0,"",ROUND(S9/13*100,1))</f>
        <v/>
      </c>
      <c r="U9" s="20">
        <f>IF(R9="","",IF(R9&gt;=Нэгтгэл!$K$4,"Хангалттай эзэмшиж байна",IF(R9&gt;=Нэгтгэл!$K$5,"Ахиж байна","Хөгжиж байна")))</f>
        <v/>
      </c>
    </row>
    <row r="10" ht="16" customHeight="1">
      <c r="A10" s="12" t="n">
        <v>4</v>
      </c>
      <c r="B10" s="12">
        <f>IF(Нэгтгэл!B10="","",Нэгтгэл!B10)</f>
        <v/>
      </c>
      <c r="C10" s="4" t="n"/>
      <c r="D10" s="13" t="n">
        <v>0</v>
      </c>
      <c r="E10" s="13" t="n">
        <v>1</v>
      </c>
      <c r="F10" s="13" t="n">
        <v>1</v>
      </c>
      <c r="G10" s="13" t="n">
        <v>1</v>
      </c>
      <c r="H10" s="13" t="n">
        <v>0</v>
      </c>
      <c r="I10" s="13" t="n">
        <v>0</v>
      </c>
      <c r="J10" s="13" t="n">
        <v>0</v>
      </c>
      <c r="K10" s="13" t="n">
        <v>0</v>
      </c>
      <c r="L10" s="13" t="n">
        <v>1</v>
      </c>
      <c r="M10" s="13" t="n">
        <v>1</v>
      </c>
      <c r="N10" s="13" t="n">
        <v>0</v>
      </c>
      <c r="O10" s="13" t="n">
        <v>0</v>
      </c>
      <c r="P10" s="13" t="n">
        <v>0</v>
      </c>
      <c r="Q10" s="12">
        <f>COUNTIF(D10:P10,1)</f>
        <v/>
      </c>
      <c r="R10" s="12">
        <f>IF(COUNT(D10:P10)=0,"",ROUND(Q10/13*100,1))</f>
        <v/>
      </c>
      <c r="S10" s="12">
        <f>COUNTIF(D10:P10,0)</f>
        <v/>
      </c>
      <c r="T10" s="12">
        <f>IF(COUNT(D10:P10)=0,"",ROUND(S10/13*100,1))</f>
        <v/>
      </c>
      <c r="U10" s="20">
        <f>IF(R10="","",IF(R10&gt;=Нэгтгэл!$K$4,"Хангалттай эзэмшиж байна",IF(R10&gt;=Нэгтгэл!$K$5,"Ахиж байна","Хөгжиж байна")))</f>
        <v/>
      </c>
    </row>
    <row r="11" ht="16" customHeight="1">
      <c r="A11" s="12" t="n">
        <v>5</v>
      </c>
      <c r="B11" s="12">
        <f>IF(Нэгтгэл!B11="","",Нэгтгэл!B11)</f>
        <v/>
      </c>
      <c r="C11" s="4" t="n"/>
      <c r="D11" s="13" t="n">
        <v>1</v>
      </c>
      <c r="E11" s="13" t="n">
        <v>1</v>
      </c>
      <c r="F11" s="13" t="n">
        <v>0</v>
      </c>
      <c r="G11" s="13" t="n">
        <v>0</v>
      </c>
      <c r="H11" s="13" t="n">
        <v>0</v>
      </c>
      <c r="I11" s="13" t="n">
        <v>0</v>
      </c>
      <c r="J11" s="13" t="n">
        <v>0</v>
      </c>
      <c r="K11" s="13" t="n">
        <v>1</v>
      </c>
      <c r="L11" s="13" t="n">
        <v>1</v>
      </c>
      <c r="M11" s="13" t="n">
        <v>0</v>
      </c>
      <c r="N11" s="13" t="n">
        <v>1</v>
      </c>
      <c r="O11" s="13" t="n">
        <v>1</v>
      </c>
      <c r="P11" s="13" t="n">
        <v>1</v>
      </c>
      <c r="Q11" s="12">
        <f>COUNTIF(D11:P11,1)</f>
        <v/>
      </c>
      <c r="R11" s="12">
        <f>IF(COUNT(D11:P11)=0,"",ROUND(Q11/13*100,1))</f>
        <v/>
      </c>
      <c r="S11" s="12">
        <f>COUNTIF(D11:P11,0)</f>
        <v/>
      </c>
      <c r="T11" s="12">
        <f>IF(COUNT(D11:P11)=0,"",ROUND(S11/13*100,1))</f>
        <v/>
      </c>
      <c r="U11" s="20">
        <f>IF(R11="","",IF(R11&gt;=Нэгтгэл!$K$4,"Хангалттай эзэмшиж байна",IF(R11&gt;=Нэгтгэл!$K$5,"Ахиж байна","Хөгжиж байна")))</f>
        <v/>
      </c>
    </row>
    <row r="12" ht="16" customHeight="1">
      <c r="A12" s="12" t="n">
        <v>6</v>
      </c>
      <c r="B12" s="12">
        <f>IF(Нэгтгэл!B12="","",Нэгтгэл!B12)</f>
        <v/>
      </c>
      <c r="C12" s="4" t="n"/>
      <c r="D12" s="13" t="n">
        <v>1</v>
      </c>
      <c r="E12" s="13" t="n">
        <v>1</v>
      </c>
      <c r="F12" s="13" t="n">
        <v>0</v>
      </c>
      <c r="G12" s="13" t="n">
        <v>1</v>
      </c>
      <c r="H12" s="13" t="n">
        <v>0</v>
      </c>
      <c r="I12" s="13" t="n">
        <v>1</v>
      </c>
      <c r="J12" s="13" t="n">
        <v>1</v>
      </c>
      <c r="K12" s="13" t="n">
        <v>0</v>
      </c>
      <c r="L12" s="13" t="n">
        <v>1</v>
      </c>
      <c r="M12" s="13" t="n">
        <v>1</v>
      </c>
      <c r="N12" s="13" t="n">
        <v>1</v>
      </c>
      <c r="O12" s="13" t="n">
        <v>0</v>
      </c>
      <c r="P12" s="13" t="n">
        <v>1</v>
      </c>
      <c r="Q12" s="12">
        <f>COUNTIF(D12:P12,1)</f>
        <v/>
      </c>
      <c r="R12" s="12">
        <f>IF(COUNT(D12:P12)=0,"",ROUND(Q12/13*100,1))</f>
        <v/>
      </c>
      <c r="S12" s="12">
        <f>COUNTIF(D12:P12,0)</f>
        <v/>
      </c>
      <c r="T12" s="12">
        <f>IF(COUNT(D12:P12)=0,"",ROUND(S12/13*100,1))</f>
        <v/>
      </c>
      <c r="U12" s="20">
        <f>IF(R12="","",IF(R12&gt;=Нэгтгэл!$K$4,"Хангалттай эзэмшиж байна",IF(R12&gt;=Нэгтгэл!$K$5,"Ахиж байна","Хөгжиж байна")))</f>
        <v/>
      </c>
    </row>
    <row r="13" ht="16" customHeight="1">
      <c r="A13" s="12" t="n">
        <v>7</v>
      </c>
      <c r="B13" s="12">
        <f>IF(Нэгтгэл!B13="","",Нэгтгэл!B13)</f>
        <v/>
      </c>
      <c r="C13" s="4" t="n"/>
      <c r="D13" s="13" t="n">
        <v>1</v>
      </c>
      <c r="E13" s="13" t="n">
        <v>1</v>
      </c>
      <c r="F13" s="13" t="n">
        <v>1</v>
      </c>
      <c r="G13" s="13" t="n">
        <v>0</v>
      </c>
      <c r="H13" s="13" t="n">
        <v>1</v>
      </c>
      <c r="I13" s="13" t="n">
        <v>1</v>
      </c>
      <c r="J13" s="13" t="n">
        <v>1</v>
      </c>
      <c r="K13" s="13" t="n">
        <v>1</v>
      </c>
      <c r="L13" s="13" t="n">
        <v>0</v>
      </c>
      <c r="M13" s="13" t="n">
        <v>1</v>
      </c>
      <c r="N13" s="13" t="n">
        <v>1</v>
      </c>
      <c r="O13" s="13" t="n">
        <v>1</v>
      </c>
      <c r="P13" s="13" t="n">
        <v>0</v>
      </c>
      <c r="Q13" s="12">
        <f>COUNTIF(D13:P13,1)</f>
        <v/>
      </c>
      <c r="R13" s="12">
        <f>IF(COUNT(D13:P13)=0,"",ROUND(Q13/13*100,1))</f>
        <v/>
      </c>
      <c r="S13" s="12">
        <f>COUNTIF(D13:P13,0)</f>
        <v/>
      </c>
      <c r="T13" s="12">
        <f>IF(COUNT(D13:P13)=0,"",ROUND(S13/13*100,1))</f>
        <v/>
      </c>
      <c r="U13" s="20">
        <f>IF(R13="","",IF(R13&gt;=Нэгтгэл!$K$4,"Хангалттай эзэмшиж байна",IF(R13&gt;=Нэгтгэл!$K$5,"Ахиж байна","Хөгжиж байна")))</f>
        <v/>
      </c>
    </row>
    <row r="14" ht="16" customHeight="1">
      <c r="A14" s="12" t="n">
        <v>8</v>
      </c>
      <c r="B14" s="12">
        <f>IF(Нэгтгэл!B14="","",Нэгтгэл!B14)</f>
        <v/>
      </c>
      <c r="C14" s="4" t="n"/>
      <c r="D14" s="13" t="n">
        <v>1</v>
      </c>
      <c r="E14" s="13" t="n">
        <v>1</v>
      </c>
      <c r="F14" s="13" t="n">
        <v>1</v>
      </c>
      <c r="G14" s="13" t="n">
        <v>1</v>
      </c>
      <c r="H14" s="13" t="n">
        <v>1</v>
      </c>
      <c r="I14" s="13" t="n">
        <v>1</v>
      </c>
      <c r="J14" s="13" t="n">
        <v>1</v>
      </c>
      <c r="K14" s="13" t="n">
        <v>1</v>
      </c>
      <c r="L14" s="13" t="n">
        <v>1</v>
      </c>
      <c r="M14" s="13" t="n">
        <v>1</v>
      </c>
      <c r="N14" s="13" t="n">
        <v>1</v>
      </c>
      <c r="O14" s="13" t="n">
        <v>1</v>
      </c>
      <c r="P14" s="13" t="n">
        <v>0</v>
      </c>
      <c r="Q14" s="12">
        <f>COUNTIF(D14:P14,1)</f>
        <v/>
      </c>
      <c r="R14" s="12">
        <f>IF(COUNT(D14:P14)=0,"",ROUND(Q14/13*100,1))</f>
        <v/>
      </c>
      <c r="S14" s="12">
        <f>COUNTIF(D14:P14,0)</f>
        <v/>
      </c>
      <c r="T14" s="12">
        <f>IF(COUNT(D14:P14)=0,"",ROUND(S14/13*100,1))</f>
        <v/>
      </c>
      <c r="U14" s="20">
        <f>IF(R14="","",IF(R14&gt;=Нэгтгэл!$K$4,"Хангалттай эзэмшиж байна",IF(R14&gt;=Нэгтгэл!$K$5,"Ахиж байна","Хөгжиж байна")))</f>
        <v/>
      </c>
    </row>
    <row r="15" ht="16" customHeight="1">
      <c r="A15" s="12" t="n">
        <v>9</v>
      </c>
      <c r="B15" s="12">
        <f>IF(Нэгтгэл!B15="","",Нэгтгэл!B15)</f>
        <v/>
      </c>
      <c r="C15" s="4" t="n"/>
      <c r="D15" s="13" t="n">
        <v>1</v>
      </c>
      <c r="E15" s="13" t="n">
        <v>0</v>
      </c>
      <c r="F15" s="13" t="n">
        <v>1</v>
      </c>
      <c r="G15" s="13" t="n">
        <v>0</v>
      </c>
      <c r="H15" s="13" t="n">
        <v>1</v>
      </c>
      <c r="I15" s="13" t="n">
        <v>1</v>
      </c>
      <c r="J15" s="13" t="n">
        <v>1</v>
      </c>
      <c r="K15" s="13" t="n">
        <v>0</v>
      </c>
      <c r="L15" s="13" t="n">
        <v>1</v>
      </c>
      <c r="M15" s="13" t="n">
        <v>1</v>
      </c>
      <c r="N15" s="13" t="n">
        <v>0</v>
      </c>
      <c r="O15" s="13" t="n">
        <v>1</v>
      </c>
      <c r="P15" s="13" t="n">
        <v>1</v>
      </c>
      <c r="Q15" s="12">
        <f>COUNTIF(D15:P15,1)</f>
        <v/>
      </c>
      <c r="R15" s="12">
        <f>IF(COUNT(D15:P15)=0,"",ROUND(Q15/13*100,1))</f>
        <v/>
      </c>
      <c r="S15" s="12">
        <f>COUNTIF(D15:P15,0)</f>
        <v/>
      </c>
      <c r="T15" s="12">
        <f>IF(COUNT(D15:P15)=0,"",ROUND(S15/13*100,1))</f>
        <v/>
      </c>
      <c r="U15" s="20">
        <f>IF(R15="","",IF(R15&gt;=Нэгтгэл!$K$4,"Хангалттай эзэмшиж байна",IF(R15&gt;=Нэгтгэл!$K$5,"Ахиж байна","Хөгжиж байна")))</f>
        <v/>
      </c>
    </row>
    <row r="16" ht="16" customHeight="1">
      <c r="A16" s="12" t="n">
        <v>10</v>
      </c>
      <c r="B16" s="12">
        <f>IF(Нэгтгэл!B16="","",Нэгтгэл!B16)</f>
        <v/>
      </c>
      <c r="C16" s="4" t="n"/>
      <c r="D16" s="13" t="n">
        <v>1</v>
      </c>
      <c r="E16" s="13" t="n">
        <v>0</v>
      </c>
      <c r="F16" s="13" t="n">
        <v>0</v>
      </c>
      <c r="G16" s="13" t="n">
        <v>1</v>
      </c>
      <c r="H16" s="13" t="n">
        <v>1</v>
      </c>
      <c r="I16" s="13" t="n">
        <v>1</v>
      </c>
      <c r="J16" s="13" t="n">
        <v>1</v>
      </c>
      <c r="K16" s="13" t="n">
        <v>0</v>
      </c>
      <c r="L16" s="13" t="n">
        <v>1</v>
      </c>
      <c r="M16" s="13" t="n">
        <v>1</v>
      </c>
      <c r="N16" s="13" t="n">
        <v>1</v>
      </c>
      <c r="O16" s="13" t="n">
        <v>1</v>
      </c>
      <c r="P16" s="13" t="n">
        <v>1</v>
      </c>
      <c r="Q16" s="12">
        <f>COUNTIF(D16:P16,1)</f>
        <v/>
      </c>
      <c r="R16" s="12">
        <f>IF(COUNT(D16:P16)=0,"",ROUND(Q16/13*100,1))</f>
        <v/>
      </c>
      <c r="S16" s="12">
        <f>COUNTIF(D16:P16,0)</f>
        <v/>
      </c>
      <c r="T16" s="12">
        <f>IF(COUNT(D16:P16)=0,"",ROUND(S16/13*100,1))</f>
        <v/>
      </c>
      <c r="U16" s="20">
        <f>IF(R16="","",IF(R16&gt;=Нэгтгэл!$K$4,"Хангалттай эзэмшиж байна",IF(R16&gt;=Нэгтгэл!$K$5,"Ахиж байна","Хөгжиж байна")))</f>
        <v/>
      </c>
    </row>
    <row r="17" ht="16" customHeight="1">
      <c r="A17" s="12" t="n">
        <v>11</v>
      </c>
      <c r="B17" s="12">
        <f>IF(Нэгтгэл!B17="","",Нэгтгэл!B17)</f>
        <v/>
      </c>
      <c r="C17" s="4" t="n"/>
      <c r="D17" s="13" t="n">
        <v>1</v>
      </c>
      <c r="E17" s="13" t="n">
        <v>0</v>
      </c>
      <c r="F17" s="13" t="n">
        <v>0</v>
      </c>
      <c r="G17" s="13" t="n">
        <v>0</v>
      </c>
      <c r="H17" s="13" t="n">
        <v>0</v>
      </c>
      <c r="I17" s="13" t="n">
        <v>1</v>
      </c>
      <c r="J17" s="13" t="n">
        <v>0</v>
      </c>
      <c r="K17" s="13" t="n">
        <v>1</v>
      </c>
      <c r="L17" s="13" t="n">
        <v>1</v>
      </c>
      <c r="M17" s="13" t="n">
        <v>1</v>
      </c>
      <c r="N17" s="13" t="n">
        <v>1</v>
      </c>
      <c r="O17" s="13" t="n">
        <v>1</v>
      </c>
      <c r="P17" s="13" t="n">
        <v>1</v>
      </c>
      <c r="Q17" s="12">
        <f>COUNTIF(D17:P17,1)</f>
        <v/>
      </c>
      <c r="R17" s="12">
        <f>IF(COUNT(D17:P17)=0,"",ROUND(Q17/13*100,1))</f>
        <v/>
      </c>
      <c r="S17" s="12">
        <f>COUNTIF(D17:P17,0)</f>
        <v/>
      </c>
      <c r="T17" s="12">
        <f>IF(COUNT(D17:P17)=0,"",ROUND(S17/13*100,1))</f>
        <v/>
      </c>
      <c r="U17" s="20">
        <f>IF(R17="","",IF(R17&gt;=Нэгтгэл!$K$4,"Хангалттай эзэмшиж байна",IF(R17&gt;=Нэгтгэл!$K$5,"Ахиж байна","Хөгжиж байна")))</f>
        <v/>
      </c>
    </row>
    <row r="18" ht="16" customHeight="1">
      <c r="A18" s="12" t="n">
        <v>12</v>
      </c>
      <c r="B18" s="12">
        <f>IF(Нэгтгэл!B18="","",Нэгтгэл!B18)</f>
        <v/>
      </c>
      <c r="C18" s="4" t="n"/>
      <c r="D18" s="13" t="n">
        <v>1</v>
      </c>
      <c r="E18" s="13" t="n">
        <v>1</v>
      </c>
      <c r="F18" s="13" t="n">
        <v>0</v>
      </c>
      <c r="G18" s="13" t="n">
        <v>0</v>
      </c>
      <c r="H18" s="13" t="n">
        <v>1</v>
      </c>
      <c r="I18" s="13" t="n">
        <v>1</v>
      </c>
      <c r="J18" s="13" t="n">
        <v>1</v>
      </c>
      <c r="K18" s="13" t="n">
        <v>0</v>
      </c>
      <c r="L18" s="13" t="n">
        <v>0</v>
      </c>
      <c r="M18" s="13" t="n">
        <v>1</v>
      </c>
      <c r="N18" s="13" t="n">
        <v>0</v>
      </c>
      <c r="O18" s="13" t="n">
        <v>1</v>
      </c>
      <c r="P18" s="13" t="n">
        <v>1</v>
      </c>
      <c r="Q18" s="12">
        <f>COUNTIF(D18:P18,1)</f>
        <v/>
      </c>
      <c r="R18" s="12">
        <f>IF(COUNT(D18:P18)=0,"",ROUND(Q18/13*100,1))</f>
        <v/>
      </c>
      <c r="S18" s="12">
        <f>COUNTIF(D18:P18,0)</f>
        <v/>
      </c>
      <c r="T18" s="12">
        <f>IF(COUNT(D18:P18)=0,"",ROUND(S18/13*100,1))</f>
        <v/>
      </c>
      <c r="U18" s="20">
        <f>IF(R18="","",IF(R18&gt;=Нэгтгэл!$K$4,"Хангалттай эзэмшиж байна",IF(R18&gt;=Нэгтгэл!$K$5,"Ахиж байна","Хөгжиж байна")))</f>
        <v/>
      </c>
    </row>
    <row r="19" ht="16" customHeight="1">
      <c r="A19" s="12" t="n">
        <v>13</v>
      </c>
      <c r="B19" s="12">
        <f>IF(Нэгтгэл!B19="","",Нэгтгэл!B19)</f>
        <v/>
      </c>
      <c r="C19" s="4" t="n"/>
      <c r="D19" s="13" t="n">
        <v>1</v>
      </c>
      <c r="E19" s="13" t="n">
        <v>1</v>
      </c>
      <c r="F19" s="13" t="n">
        <v>1</v>
      </c>
      <c r="G19" s="13" t="n">
        <v>1</v>
      </c>
      <c r="H19" s="13" t="n">
        <v>0</v>
      </c>
      <c r="I19" s="13" t="n">
        <v>0</v>
      </c>
      <c r="J19" s="13" t="n">
        <v>1</v>
      </c>
      <c r="K19" s="13" t="n">
        <v>1</v>
      </c>
      <c r="L19" s="13" t="n">
        <v>1</v>
      </c>
      <c r="M19" s="13" t="n">
        <v>1</v>
      </c>
      <c r="N19" s="13" t="n">
        <v>1</v>
      </c>
      <c r="O19" s="13" t="n">
        <v>0</v>
      </c>
      <c r="P19" s="13" t="n">
        <v>0</v>
      </c>
      <c r="Q19" s="12">
        <f>COUNTIF(D19:P19,1)</f>
        <v/>
      </c>
      <c r="R19" s="12">
        <f>IF(COUNT(D19:P19)=0,"",ROUND(Q19/13*100,1))</f>
        <v/>
      </c>
      <c r="S19" s="12">
        <f>COUNTIF(D19:P19,0)</f>
        <v/>
      </c>
      <c r="T19" s="12">
        <f>IF(COUNT(D19:P19)=0,"",ROUND(S19/13*100,1))</f>
        <v/>
      </c>
      <c r="U19" s="20">
        <f>IF(R19="","",IF(R19&gt;=Нэгтгэл!$K$4,"Хангалттай эзэмшиж байна",IF(R19&gt;=Нэгтгэл!$K$5,"Ахиж байна","Хөгжиж байна")))</f>
        <v/>
      </c>
    </row>
    <row r="20" ht="16" customHeight="1">
      <c r="A20" s="12" t="n">
        <v>14</v>
      </c>
      <c r="B20" s="12">
        <f>IF(Нэгтгэл!B20="","",Нэгтгэл!B20)</f>
        <v/>
      </c>
      <c r="C20" s="4" t="n"/>
      <c r="D20" s="13" t="n">
        <v>0</v>
      </c>
      <c r="E20" s="13" t="n">
        <v>1</v>
      </c>
      <c r="F20" s="13" t="n">
        <v>1</v>
      </c>
      <c r="G20" s="13" t="n">
        <v>1</v>
      </c>
      <c r="H20" s="13" t="n">
        <v>1</v>
      </c>
      <c r="I20" s="13" t="n">
        <v>1</v>
      </c>
      <c r="J20" s="13" t="n">
        <v>1</v>
      </c>
      <c r="K20" s="13" t="n">
        <v>1</v>
      </c>
      <c r="L20" s="13" t="n">
        <v>1</v>
      </c>
      <c r="M20" s="13" t="n">
        <v>0</v>
      </c>
      <c r="N20" s="13" t="n">
        <v>1</v>
      </c>
      <c r="O20" s="13" t="n">
        <v>1</v>
      </c>
      <c r="P20" s="13" t="n">
        <v>1</v>
      </c>
      <c r="Q20" s="12">
        <f>COUNTIF(D20:P20,1)</f>
        <v/>
      </c>
      <c r="R20" s="12">
        <f>IF(COUNT(D20:P20)=0,"",ROUND(Q20/13*100,1))</f>
        <v/>
      </c>
      <c r="S20" s="12">
        <f>COUNTIF(D20:P20,0)</f>
        <v/>
      </c>
      <c r="T20" s="12">
        <f>IF(COUNT(D20:P20)=0,"",ROUND(S20/13*100,1))</f>
        <v/>
      </c>
      <c r="U20" s="20">
        <f>IF(R20="","",IF(R20&gt;=Нэгтгэл!$K$4,"Хангалттай эзэмшиж байна",IF(R20&gt;=Нэгтгэл!$K$5,"Ахиж байна","Хөгжиж байна")))</f>
        <v/>
      </c>
    </row>
    <row r="21" ht="16" customHeight="1">
      <c r="A21" s="12" t="n">
        <v>15</v>
      </c>
      <c r="B21" s="12">
        <f>IF(Нэгтгэл!B21="","",Нэгтгэл!B21)</f>
        <v/>
      </c>
      <c r="C21" s="4" t="n"/>
      <c r="D21" s="13" t="n">
        <v>0</v>
      </c>
      <c r="E21" s="13" t="n">
        <v>1</v>
      </c>
      <c r="F21" s="13" t="n">
        <v>1</v>
      </c>
      <c r="G21" s="13" t="n">
        <v>1</v>
      </c>
      <c r="H21" s="13" t="n">
        <v>1</v>
      </c>
      <c r="I21" s="13" t="n">
        <v>0</v>
      </c>
      <c r="J21" s="13" t="n">
        <v>1</v>
      </c>
      <c r="K21" s="13" t="n">
        <v>1</v>
      </c>
      <c r="L21" s="13" t="n">
        <v>0</v>
      </c>
      <c r="M21" s="13" t="n">
        <v>1</v>
      </c>
      <c r="N21" s="13" t="n">
        <v>1</v>
      </c>
      <c r="O21" s="13" t="n">
        <v>1</v>
      </c>
      <c r="P21" s="13" t="n">
        <v>1</v>
      </c>
      <c r="Q21" s="12">
        <f>COUNTIF(D21:P21,1)</f>
        <v/>
      </c>
      <c r="R21" s="12">
        <f>IF(COUNT(D21:P21)=0,"",ROUND(Q21/13*100,1))</f>
        <v/>
      </c>
      <c r="S21" s="12">
        <f>COUNTIF(D21:P21,0)</f>
        <v/>
      </c>
      <c r="T21" s="12">
        <f>IF(COUNT(D21:P21)=0,"",ROUND(S21/13*100,1))</f>
        <v/>
      </c>
      <c r="U21" s="20">
        <f>IF(R21="","",IF(R21&gt;=Нэгтгэл!$K$4,"Хангалттай эзэмшиж байна",IF(R21&gt;=Нэгтгэл!$K$5,"Ахиж байна","Хөгжиж байна")))</f>
        <v/>
      </c>
    </row>
    <row r="22" ht="16" customHeight="1">
      <c r="A22" s="12" t="n">
        <v>16</v>
      </c>
      <c r="B22" s="12">
        <f>IF(Нэгтгэл!B22="","",Нэгтгэл!B22)</f>
        <v/>
      </c>
      <c r="C22" s="4" t="n"/>
      <c r="D22" s="13" t="n">
        <v>0</v>
      </c>
      <c r="E22" s="13" t="n">
        <v>1</v>
      </c>
      <c r="F22" s="13" t="n">
        <v>0</v>
      </c>
      <c r="G22" s="13" t="n">
        <v>0</v>
      </c>
      <c r="H22" s="13" t="n">
        <v>0</v>
      </c>
      <c r="I22" s="13" t="n">
        <v>1</v>
      </c>
      <c r="J22" s="13" t="n">
        <v>1</v>
      </c>
      <c r="K22" s="13" t="n">
        <v>0</v>
      </c>
      <c r="L22" s="13" t="n">
        <v>1</v>
      </c>
      <c r="M22" s="13" t="n">
        <v>1</v>
      </c>
      <c r="N22" s="13" t="n">
        <v>1</v>
      </c>
      <c r="O22" s="13" t="n">
        <v>0</v>
      </c>
      <c r="P22" s="13" t="n">
        <v>1</v>
      </c>
      <c r="Q22" s="12">
        <f>COUNTIF(D22:P22,1)</f>
        <v/>
      </c>
      <c r="R22" s="12">
        <f>IF(COUNT(D22:P22)=0,"",ROUND(Q22/13*100,1))</f>
        <v/>
      </c>
      <c r="S22" s="12">
        <f>COUNTIF(D22:P22,0)</f>
        <v/>
      </c>
      <c r="T22" s="12">
        <f>IF(COUNT(D22:P22)=0,"",ROUND(S22/13*100,1))</f>
        <v/>
      </c>
      <c r="U22" s="20">
        <f>IF(R22="","",IF(R22&gt;=Нэгтгэл!$K$4,"Хангалттай эзэмшиж байна",IF(R22&gt;=Нэгтгэл!$K$5,"Ахиж байна","Хөгжиж байна")))</f>
        <v/>
      </c>
    </row>
    <row r="23" ht="16" customHeight="1">
      <c r="A23" s="12" t="n">
        <v>17</v>
      </c>
      <c r="B23" s="12">
        <f>IF(Нэгтгэл!B23="","",Нэгтгэл!B23)</f>
        <v/>
      </c>
      <c r="C23" s="4" t="n"/>
      <c r="D23" s="13" t="n">
        <v>1</v>
      </c>
      <c r="E23" s="13" t="n">
        <v>1</v>
      </c>
      <c r="F23" s="13" t="n">
        <v>1</v>
      </c>
      <c r="G23" s="13" t="n">
        <v>1</v>
      </c>
      <c r="H23" s="13" t="n">
        <v>0</v>
      </c>
      <c r="I23" s="13" t="n">
        <v>1</v>
      </c>
      <c r="J23" s="13" t="n">
        <v>1</v>
      </c>
      <c r="K23" s="13" t="n">
        <v>1</v>
      </c>
      <c r="L23" s="13" t="n">
        <v>1</v>
      </c>
      <c r="M23" s="13" t="n">
        <v>1</v>
      </c>
      <c r="N23" s="13" t="n">
        <v>1</v>
      </c>
      <c r="O23" s="13" t="n">
        <v>1</v>
      </c>
      <c r="P23" s="13" t="n">
        <v>1</v>
      </c>
      <c r="Q23" s="12">
        <f>COUNTIF(D23:P23,1)</f>
        <v/>
      </c>
      <c r="R23" s="12">
        <f>IF(COUNT(D23:P23)=0,"",ROUND(Q23/13*100,1))</f>
        <v/>
      </c>
      <c r="S23" s="12">
        <f>COUNTIF(D23:P23,0)</f>
        <v/>
      </c>
      <c r="T23" s="12">
        <f>IF(COUNT(D23:P23)=0,"",ROUND(S23/13*100,1))</f>
        <v/>
      </c>
      <c r="U23" s="20">
        <f>IF(R23="","",IF(R23&gt;=Нэгтгэл!$K$4,"Хангалттай эзэмшиж байна",IF(R23&gt;=Нэгтгэл!$K$5,"Ахиж байна","Хөгжиж байна")))</f>
        <v/>
      </c>
    </row>
    <row r="24" ht="16" customHeight="1">
      <c r="A24" s="12" t="n">
        <v>18</v>
      </c>
      <c r="B24" s="12">
        <f>IF(Нэгтгэл!B24="","",Нэгтгэл!B24)</f>
        <v/>
      </c>
      <c r="C24" s="4" t="n"/>
      <c r="D24" s="13" t="n">
        <v>0</v>
      </c>
      <c r="E24" s="13" t="n">
        <v>1</v>
      </c>
      <c r="F24" s="13" t="n">
        <v>0</v>
      </c>
      <c r="G24" s="13" t="n">
        <v>1</v>
      </c>
      <c r="H24" s="13" t="n">
        <v>0</v>
      </c>
      <c r="I24" s="13" t="n">
        <v>1</v>
      </c>
      <c r="J24" s="13" t="n">
        <v>0</v>
      </c>
      <c r="K24" s="13" t="n">
        <v>1</v>
      </c>
      <c r="L24" s="13" t="n">
        <v>0</v>
      </c>
      <c r="M24" s="13" t="n">
        <v>1</v>
      </c>
      <c r="N24" s="13" t="n">
        <v>1</v>
      </c>
      <c r="O24" s="13" t="n">
        <v>1</v>
      </c>
      <c r="P24" s="13" t="n">
        <v>1</v>
      </c>
      <c r="Q24" s="12">
        <f>COUNTIF(D24:P24,1)</f>
        <v/>
      </c>
      <c r="R24" s="12">
        <f>IF(COUNT(D24:P24)=0,"",ROUND(Q24/13*100,1))</f>
        <v/>
      </c>
      <c r="S24" s="12">
        <f>COUNTIF(D24:P24,0)</f>
        <v/>
      </c>
      <c r="T24" s="12">
        <f>IF(COUNT(D24:P24)=0,"",ROUND(S24/13*100,1))</f>
        <v/>
      </c>
      <c r="U24" s="20">
        <f>IF(R24="","",IF(R24&gt;=Нэгтгэл!$K$4,"Хангалттай эзэмшиж байна",IF(R24&gt;=Нэгтгэл!$K$5,"Ахиж байна","Хөгжиж байна")))</f>
        <v/>
      </c>
    </row>
    <row r="25" ht="16" customHeight="1">
      <c r="A25" s="12" t="n">
        <v>19</v>
      </c>
      <c r="B25" s="12">
        <f>IF(Нэгтгэл!B25="","",Нэгтгэл!B25)</f>
        <v/>
      </c>
      <c r="C25" s="4" t="n"/>
      <c r="D25" s="13" t="n">
        <v>1</v>
      </c>
      <c r="E25" s="13" t="n">
        <v>0</v>
      </c>
      <c r="F25" s="13" t="n">
        <v>1</v>
      </c>
      <c r="G25" s="13" t="n">
        <v>1</v>
      </c>
      <c r="H25" s="13" t="n">
        <v>1</v>
      </c>
      <c r="I25" s="13" t="n">
        <v>1</v>
      </c>
      <c r="J25" s="13" t="n">
        <v>0</v>
      </c>
      <c r="K25" s="13" t="n">
        <v>1</v>
      </c>
      <c r="L25" s="13" t="n">
        <v>1</v>
      </c>
      <c r="M25" s="13" t="n">
        <v>0</v>
      </c>
      <c r="N25" s="13" t="n">
        <v>1</v>
      </c>
      <c r="O25" s="13" t="n">
        <v>0</v>
      </c>
      <c r="P25" s="13" t="n">
        <v>1</v>
      </c>
      <c r="Q25" s="12">
        <f>COUNTIF(D25:P25,1)</f>
        <v/>
      </c>
      <c r="R25" s="12">
        <f>IF(COUNT(D25:P25)=0,"",ROUND(Q25/13*100,1))</f>
        <v/>
      </c>
      <c r="S25" s="12">
        <f>COUNTIF(D25:P25,0)</f>
        <v/>
      </c>
      <c r="T25" s="12">
        <f>IF(COUNT(D25:P25)=0,"",ROUND(S25/13*100,1))</f>
        <v/>
      </c>
      <c r="U25" s="20">
        <f>IF(R25="","",IF(R25&gt;=Нэгтгэл!$K$4,"Хангалттай эзэмшиж байна",IF(R25&gt;=Нэгтгэл!$K$5,"Ахиж байна","Хөгжиж байна")))</f>
        <v/>
      </c>
    </row>
    <row r="26" ht="16" customHeight="1">
      <c r="A26" s="12" t="n">
        <v>20</v>
      </c>
      <c r="B26" s="12">
        <f>IF(Нэгтгэл!B26="","",Нэгтгэл!B26)</f>
        <v/>
      </c>
      <c r="C26" s="4" t="n"/>
      <c r="D26" s="13" t="n">
        <v>1</v>
      </c>
      <c r="E26" s="13" t="n">
        <v>1</v>
      </c>
      <c r="F26" s="13" t="n">
        <v>1</v>
      </c>
      <c r="G26" s="13" t="n">
        <v>1</v>
      </c>
      <c r="H26" s="13" t="n">
        <v>1</v>
      </c>
      <c r="I26" s="13" t="n">
        <v>1</v>
      </c>
      <c r="J26" s="13" t="n">
        <v>1</v>
      </c>
      <c r="K26" s="13" t="n">
        <v>0</v>
      </c>
      <c r="L26" s="13" t="n">
        <v>0</v>
      </c>
      <c r="M26" s="13" t="n">
        <v>1</v>
      </c>
      <c r="N26" s="13" t="n">
        <v>1</v>
      </c>
      <c r="O26" s="13" t="n">
        <v>0</v>
      </c>
      <c r="P26" s="13" t="n">
        <v>1</v>
      </c>
      <c r="Q26" s="12">
        <f>COUNTIF(D26:P26,1)</f>
        <v/>
      </c>
      <c r="R26" s="12">
        <f>IF(COUNT(D26:P26)=0,"",ROUND(Q26/13*100,1))</f>
        <v/>
      </c>
      <c r="S26" s="12">
        <f>COUNTIF(D26:P26,0)</f>
        <v/>
      </c>
      <c r="T26" s="12">
        <f>IF(COUNT(D26:P26)=0,"",ROUND(S26/13*100,1))</f>
        <v/>
      </c>
      <c r="U26" s="20">
        <f>IF(R26="","",IF(R26&gt;=Нэгтгэл!$K$4,"Хангалттай эзэмшиж байна",IF(R26&gt;=Нэгтгэл!$K$5,"Ахиж байна","Хөгжиж байна")))</f>
        <v/>
      </c>
    </row>
    <row r="27" ht="16" customHeight="1">
      <c r="A27" s="12" t="n">
        <v>21</v>
      </c>
      <c r="B27" s="12">
        <f>IF(Нэгтгэл!B27="","",Нэгтгэл!B27)</f>
        <v/>
      </c>
      <c r="C27" s="4" t="n"/>
      <c r="D27" s="13" t="n">
        <v>1</v>
      </c>
      <c r="E27" s="13" t="n">
        <v>1</v>
      </c>
      <c r="F27" s="13" t="n">
        <v>0</v>
      </c>
      <c r="G27" s="13" t="n">
        <v>0</v>
      </c>
      <c r="H27" s="13" t="n">
        <v>1</v>
      </c>
      <c r="I27" s="13" t="n">
        <v>1</v>
      </c>
      <c r="J27" s="13" t="n">
        <v>1</v>
      </c>
      <c r="K27" s="13" t="n">
        <v>1</v>
      </c>
      <c r="L27" s="13" t="n">
        <v>1</v>
      </c>
      <c r="M27" s="13" t="n">
        <v>1</v>
      </c>
      <c r="N27" s="13" t="n">
        <v>1</v>
      </c>
      <c r="O27" s="13" t="n">
        <v>0</v>
      </c>
      <c r="P27" s="13" t="n">
        <v>0</v>
      </c>
      <c r="Q27" s="12">
        <f>COUNTIF(D27:P27,1)</f>
        <v/>
      </c>
      <c r="R27" s="12">
        <f>IF(COUNT(D27:P27)=0,"",ROUND(Q27/13*100,1))</f>
        <v/>
      </c>
      <c r="S27" s="12">
        <f>COUNTIF(D27:P27,0)</f>
        <v/>
      </c>
      <c r="T27" s="12">
        <f>IF(COUNT(D27:P27)=0,"",ROUND(S27/13*100,1))</f>
        <v/>
      </c>
      <c r="U27" s="20">
        <f>IF(R27="","",IF(R27&gt;=Нэгтгэл!$K$4,"Хангалттай эзэмшиж байна",IF(R27&gt;=Нэгтгэл!$K$5,"Ахиж байна","Хөгжиж байна")))</f>
        <v/>
      </c>
    </row>
    <row r="28" ht="16" customHeight="1">
      <c r="A28" s="12" t="n">
        <v>22</v>
      </c>
      <c r="B28" s="12">
        <f>IF(Нэгтгэл!B28="","",Нэгтгэл!B28)</f>
        <v/>
      </c>
      <c r="C28" s="4" t="n"/>
      <c r="D28" s="13" t="n">
        <v>1</v>
      </c>
      <c r="E28" s="13" t="n">
        <v>1</v>
      </c>
      <c r="F28" s="13" t="n">
        <v>1</v>
      </c>
      <c r="G28" s="13" t="n">
        <v>0</v>
      </c>
      <c r="H28" s="13" t="n">
        <v>1</v>
      </c>
      <c r="I28" s="13" t="n">
        <v>0</v>
      </c>
      <c r="J28" s="13" t="n">
        <v>1</v>
      </c>
      <c r="K28" s="13" t="n">
        <v>1</v>
      </c>
      <c r="L28" s="13" t="n">
        <v>1</v>
      </c>
      <c r="M28" s="13" t="n">
        <v>1</v>
      </c>
      <c r="N28" s="13" t="n">
        <v>1</v>
      </c>
      <c r="O28" s="13" t="n">
        <v>0</v>
      </c>
      <c r="P28" s="13" t="n">
        <v>0</v>
      </c>
      <c r="Q28" s="12">
        <f>COUNTIF(D28:P28,1)</f>
        <v/>
      </c>
      <c r="R28" s="12">
        <f>IF(COUNT(D28:P28)=0,"",ROUND(Q28/13*100,1))</f>
        <v/>
      </c>
      <c r="S28" s="12">
        <f>COUNTIF(D28:P28,0)</f>
        <v/>
      </c>
      <c r="T28" s="12">
        <f>IF(COUNT(D28:P28)=0,"",ROUND(S28/13*100,1))</f>
        <v/>
      </c>
      <c r="U28" s="20">
        <f>IF(R28="","",IF(R28&gt;=Нэгтгэл!$K$4,"Хангалттай эзэмшиж байна",IF(R28&gt;=Нэгтгэл!$K$5,"Ахиж байна","Хөгжиж байна")))</f>
        <v/>
      </c>
    </row>
    <row r="29" ht="16" customHeight="1">
      <c r="A29" s="12" t="n">
        <v>23</v>
      </c>
      <c r="B29" s="12">
        <f>IF(Нэгтгэл!B29="","",Нэгтгэл!B29)</f>
        <v/>
      </c>
      <c r="C29" s="4" t="n"/>
      <c r="D29" s="13" t="n">
        <v>0</v>
      </c>
      <c r="E29" s="13" t="n">
        <v>1</v>
      </c>
      <c r="F29" s="13" t="n">
        <v>0</v>
      </c>
      <c r="G29" s="13" t="n">
        <v>0</v>
      </c>
      <c r="H29" s="13" t="n">
        <v>1</v>
      </c>
      <c r="I29" s="13" t="n">
        <v>1</v>
      </c>
      <c r="J29" s="13" t="n">
        <v>1</v>
      </c>
      <c r="K29" s="13" t="n">
        <v>0</v>
      </c>
      <c r="L29" s="13" t="n">
        <v>1</v>
      </c>
      <c r="M29" s="13" t="n">
        <v>1</v>
      </c>
      <c r="N29" s="13" t="n">
        <v>1</v>
      </c>
      <c r="O29" s="13" t="n">
        <v>1</v>
      </c>
      <c r="P29" s="13" t="n">
        <v>1</v>
      </c>
      <c r="Q29" s="12">
        <f>COUNTIF(D29:P29,1)</f>
        <v/>
      </c>
      <c r="R29" s="12">
        <f>IF(COUNT(D29:P29)=0,"",ROUND(Q29/13*100,1))</f>
        <v/>
      </c>
      <c r="S29" s="12">
        <f>COUNTIF(D29:P29,0)</f>
        <v/>
      </c>
      <c r="T29" s="12">
        <f>IF(COUNT(D29:P29)=0,"",ROUND(S29/13*100,1))</f>
        <v/>
      </c>
      <c r="U29" s="20">
        <f>IF(R29="","",IF(R29&gt;=Нэгтгэл!$K$4,"Хангалттай эзэмшиж байна",IF(R29&gt;=Нэгтгэл!$K$5,"Ахиж байна","Хөгжиж байна")))</f>
        <v/>
      </c>
    </row>
    <row r="30" ht="16" customHeight="1">
      <c r="A30" s="12" t="n">
        <v>24</v>
      </c>
      <c r="B30" s="12">
        <f>IF(Нэгтгэл!B30="","",Нэгтгэл!B30)</f>
        <v/>
      </c>
      <c r="C30" s="4" t="n"/>
      <c r="D30" s="13" t="n">
        <v>0</v>
      </c>
      <c r="E30" s="13" t="n">
        <v>1</v>
      </c>
      <c r="F30" s="13" t="n">
        <v>0</v>
      </c>
      <c r="G30" s="13" t="n">
        <v>1</v>
      </c>
      <c r="H30" s="13" t="n">
        <v>1</v>
      </c>
      <c r="I30" s="13" t="n">
        <v>1</v>
      </c>
      <c r="J30" s="13" t="n">
        <v>1</v>
      </c>
      <c r="K30" s="13" t="n">
        <v>0</v>
      </c>
      <c r="L30" s="13" t="n">
        <v>1</v>
      </c>
      <c r="M30" s="13" t="n">
        <v>1</v>
      </c>
      <c r="N30" s="13" t="n">
        <v>1</v>
      </c>
      <c r="O30" s="13" t="n">
        <v>1</v>
      </c>
      <c r="P30" s="13" t="n">
        <v>0</v>
      </c>
      <c r="Q30" s="12">
        <f>COUNTIF(D30:P30,1)</f>
        <v/>
      </c>
      <c r="R30" s="12">
        <f>IF(COUNT(D30:P30)=0,"",ROUND(Q30/13*100,1))</f>
        <v/>
      </c>
      <c r="S30" s="12">
        <f>COUNTIF(D30:P30,0)</f>
        <v/>
      </c>
      <c r="T30" s="12">
        <f>IF(COUNT(D30:P30)=0,"",ROUND(S30/13*100,1))</f>
        <v/>
      </c>
      <c r="U30" s="20">
        <f>IF(R30="","",IF(R30&gt;=Нэгтгэл!$K$4,"Хангалттай эзэмшиж байна",IF(R30&gt;=Нэгтгэл!$K$5,"Ахиж байна","Хөгжиж байна")))</f>
        <v/>
      </c>
    </row>
    <row r="31" ht="16" customHeight="1">
      <c r="A31" s="12" t="n">
        <v>25</v>
      </c>
      <c r="B31" s="12">
        <f>IF(Нэгтгэл!B31="","",Нэгтгэл!B31)</f>
        <v/>
      </c>
      <c r="C31" s="4" t="n"/>
      <c r="D31" s="13" t="n">
        <v>1</v>
      </c>
      <c r="E31" s="13" t="n">
        <v>1</v>
      </c>
      <c r="F31" s="13" t="n">
        <v>0</v>
      </c>
      <c r="G31" s="13" t="n">
        <v>1</v>
      </c>
      <c r="H31" s="13" t="n">
        <v>0</v>
      </c>
      <c r="I31" s="13" t="n">
        <v>1</v>
      </c>
      <c r="J31" s="13" t="n">
        <v>0</v>
      </c>
      <c r="K31" s="13" t="n">
        <v>0</v>
      </c>
      <c r="L31" s="13" t="n">
        <v>0</v>
      </c>
      <c r="M31" s="13" t="n">
        <v>0</v>
      </c>
      <c r="N31" s="13" t="n">
        <v>1</v>
      </c>
      <c r="O31" s="13" t="n">
        <v>1</v>
      </c>
      <c r="P31" s="13" t="n">
        <v>1</v>
      </c>
      <c r="Q31" s="12">
        <f>COUNTIF(D31:P31,1)</f>
        <v/>
      </c>
      <c r="R31" s="12">
        <f>IF(COUNT(D31:P31)=0,"",ROUND(Q31/13*100,1))</f>
        <v/>
      </c>
      <c r="S31" s="12">
        <f>COUNTIF(D31:P31,0)</f>
        <v/>
      </c>
      <c r="T31" s="12">
        <f>IF(COUNT(D31:P31)=0,"",ROUND(S31/13*100,1))</f>
        <v/>
      </c>
      <c r="U31" s="20">
        <f>IF(R31="","",IF(R31&gt;=Нэгтгэл!$K$4,"Хангалттай эзэмшиж байна",IF(R31&gt;=Нэгтгэл!$K$5,"Ахиж байна","Хөгжиж байна")))</f>
        <v/>
      </c>
    </row>
    <row r="32" ht="16" customHeight="1">
      <c r="A32" s="12" t="n">
        <v>26</v>
      </c>
      <c r="B32" s="12">
        <f>IF(Нэгтгэл!B32="","",Нэгтгэл!B32)</f>
        <v/>
      </c>
      <c r="C32" s="4" t="n"/>
      <c r="D32" s="13" t="n">
        <v>1</v>
      </c>
      <c r="E32" s="13" t="n">
        <v>1</v>
      </c>
      <c r="F32" s="13" t="n">
        <v>0</v>
      </c>
      <c r="G32" s="13" t="n">
        <v>0</v>
      </c>
      <c r="H32" s="13" t="n">
        <v>1</v>
      </c>
      <c r="I32" s="13" t="n">
        <v>1</v>
      </c>
      <c r="J32" s="13" t="n">
        <v>1</v>
      </c>
      <c r="K32" s="13" t="n">
        <v>1</v>
      </c>
      <c r="L32" s="13" t="n">
        <v>1</v>
      </c>
      <c r="M32" s="13" t="n">
        <v>1</v>
      </c>
      <c r="N32" s="13" t="n">
        <v>1</v>
      </c>
      <c r="O32" s="13" t="n">
        <v>1</v>
      </c>
      <c r="P32" s="13" t="n">
        <v>0</v>
      </c>
      <c r="Q32" s="12">
        <f>COUNTIF(D32:P32,1)</f>
        <v/>
      </c>
      <c r="R32" s="12">
        <f>IF(COUNT(D32:P32)=0,"",ROUND(Q32/13*100,1))</f>
        <v/>
      </c>
      <c r="S32" s="12">
        <f>COUNTIF(D32:P32,0)</f>
        <v/>
      </c>
      <c r="T32" s="12">
        <f>IF(COUNT(D32:P32)=0,"",ROUND(S32/13*100,1))</f>
        <v/>
      </c>
      <c r="U32" s="20">
        <f>IF(R32="","",IF(R32&gt;=Нэгтгэл!$K$4,"Хангалттай эзэмшиж байна",IF(R32&gt;=Нэгтгэл!$K$5,"Ахиж байна","Хөгжиж байна")))</f>
        <v/>
      </c>
    </row>
    <row r="33" ht="16" customHeight="1">
      <c r="A33" s="12" t="n">
        <v>27</v>
      </c>
      <c r="B33" s="12">
        <f>IF(Нэгтгэл!B33="","",Нэгтгэл!B33)</f>
        <v/>
      </c>
      <c r="C33" s="4" t="n"/>
      <c r="D33" s="13" t="n">
        <v>1</v>
      </c>
      <c r="E33" s="13" t="n">
        <v>1</v>
      </c>
      <c r="F33" s="13" t="n">
        <v>0</v>
      </c>
      <c r="G33" s="13" t="n">
        <v>1</v>
      </c>
      <c r="H33" s="13" t="n">
        <v>1</v>
      </c>
      <c r="I33" s="13" t="n">
        <v>0</v>
      </c>
      <c r="J33" s="13" t="n">
        <v>1</v>
      </c>
      <c r="K33" s="13" t="n">
        <v>1</v>
      </c>
      <c r="L33" s="13" t="n">
        <v>1</v>
      </c>
      <c r="M33" s="13" t="n">
        <v>0</v>
      </c>
      <c r="N33" s="13" t="n">
        <v>0</v>
      </c>
      <c r="O33" s="13" t="n">
        <v>1</v>
      </c>
      <c r="P33" s="13" t="n">
        <v>1</v>
      </c>
      <c r="Q33" s="12">
        <f>COUNTIF(D33:P33,1)</f>
        <v/>
      </c>
      <c r="R33" s="12">
        <f>IF(COUNT(D33:P33)=0,"",ROUND(Q33/13*100,1))</f>
        <v/>
      </c>
      <c r="S33" s="12">
        <f>COUNTIF(D33:P33,0)</f>
        <v/>
      </c>
      <c r="T33" s="12">
        <f>IF(COUNT(D33:P33)=0,"",ROUND(S33/13*100,1))</f>
        <v/>
      </c>
      <c r="U33" s="20">
        <f>IF(R33="","",IF(R33&gt;=Нэгтгэл!$K$4,"Хангалттай эзэмшиж байна",IF(R33&gt;=Нэгтгэл!$K$5,"Ахиж байна","Хөгжиж байна")))</f>
        <v/>
      </c>
    </row>
    <row r="34" ht="16" customHeight="1">
      <c r="A34" s="12" t="n">
        <v>28</v>
      </c>
      <c r="B34" s="12">
        <f>IF(Нэгтгэл!B34="","",Нэгтгэл!B34)</f>
        <v/>
      </c>
      <c r="C34" s="4" t="n"/>
      <c r="D34" s="13" t="n">
        <v>1</v>
      </c>
      <c r="E34" s="13" t="n">
        <v>1</v>
      </c>
      <c r="F34" s="13" t="n">
        <v>1</v>
      </c>
      <c r="G34" s="13" t="n">
        <v>1</v>
      </c>
      <c r="H34" s="13" t="n">
        <v>1</v>
      </c>
      <c r="I34" s="13" t="n">
        <v>1</v>
      </c>
      <c r="J34" s="13" t="n">
        <v>1</v>
      </c>
      <c r="K34" s="13" t="n">
        <v>1</v>
      </c>
      <c r="L34" s="13" t="n">
        <v>1</v>
      </c>
      <c r="M34" s="13" t="n">
        <v>1</v>
      </c>
      <c r="N34" s="13" t="n">
        <v>0</v>
      </c>
      <c r="O34" s="13" t="n">
        <v>1</v>
      </c>
      <c r="P34" s="13" t="n">
        <v>1</v>
      </c>
      <c r="Q34" s="12">
        <f>COUNTIF(D34:P34,1)</f>
        <v/>
      </c>
      <c r="R34" s="12">
        <f>IF(COUNT(D34:P34)=0,"",ROUND(Q34/13*100,1))</f>
        <v/>
      </c>
      <c r="S34" s="12">
        <f>COUNTIF(D34:P34,0)</f>
        <v/>
      </c>
      <c r="T34" s="12">
        <f>IF(COUNT(D34:P34)=0,"",ROUND(S34/13*100,1))</f>
        <v/>
      </c>
      <c r="U34" s="20">
        <f>IF(R34="","",IF(R34&gt;=Нэгтгэл!$K$4,"Хангалттай эзэмшиж байна",IF(R34&gt;=Нэгтгэл!$K$5,"Ахиж байна","Хөгжиж байна")))</f>
        <v/>
      </c>
    </row>
    <row r="35" ht="16" customHeight="1">
      <c r="A35" s="12" t="n">
        <v>29</v>
      </c>
      <c r="B35" s="12">
        <f>IF(Нэгтгэл!B35="","",Нэгтгэл!B35)</f>
        <v/>
      </c>
      <c r="C35" s="4" t="n"/>
      <c r="D35" s="13" t="n">
        <v>1</v>
      </c>
      <c r="E35" s="13" t="n">
        <v>1</v>
      </c>
      <c r="F35" s="13" t="n">
        <v>0</v>
      </c>
      <c r="G35" s="13" t="n">
        <v>1</v>
      </c>
      <c r="H35" s="13" t="n">
        <v>1</v>
      </c>
      <c r="I35" s="13" t="n">
        <v>0</v>
      </c>
      <c r="J35" s="13" t="n">
        <v>1</v>
      </c>
      <c r="K35" s="13" t="n">
        <v>1</v>
      </c>
      <c r="L35" s="13" t="n">
        <v>0</v>
      </c>
      <c r="M35" s="13" t="n">
        <v>1</v>
      </c>
      <c r="N35" s="13" t="n">
        <v>1</v>
      </c>
      <c r="O35" s="13" t="n">
        <v>0</v>
      </c>
      <c r="P35" s="13" t="n">
        <v>1</v>
      </c>
      <c r="Q35" s="12">
        <f>COUNTIF(D35:P35,1)</f>
        <v/>
      </c>
      <c r="R35" s="12">
        <f>IF(COUNT(D35:P35)=0,"",ROUND(Q35/13*100,1))</f>
        <v/>
      </c>
      <c r="S35" s="12">
        <f>COUNTIF(D35:P35,0)</f>
        <v/>
      </c>
      <c r="T35" s="12">
        <f>IF(COUNT(D35:P35)=0,"",ROUND(S35/13*100,1))</f>
        <v/>
      </c>
      <c r="U35" s="20">
        <f>IF(R35="","",IF(R35&gt;=Нэгтгэл!$K$4,"Хангалттай эзэмшиж байна",IF(R35&gt;=Нэгтгэл!$K$5,"Ахиж байна","Хөгжиж байна")))</f>
        <v/>
      </c>
    </row>
    <row r="36" ht="16" customHeight="1">
      <c r="A36" s="12" t="n">
        <v>30</v>
      </c>
      <c r="B36" s="12">
        <f>IF(Нэгтгэл!B36="","",Нэгтгэл!B36)</f>
        <v/>
      </c>
      <c r="C36" s="4" t="n"/>
      <c r="D36" s="13" t="n">
        <v>0</v>
      </c>
      <c r="E36" s="13" t="n">
        <v>1</v>
      </c>
      <c r="F36" s="13" t="n">
        <v>0</v>
      </c>
      <c r="G36" s="13" t="n">
        <v>1</v>
      </c>
      <c r="H36" s="13" t="n">
        <v>1</v>
      </c>
      <c r="I36" s="13" t="n">
        <v>1</v>
      </c>
      <c r="J36" s="13" t="n">
        <v>1</v>
      </c>
      <c r="K36" s="13" t="n">
        <v>1</v>
      </c>
      <c r="L36" s="13" t="n">
        <v>1</v>
      </c>
      <c r="M36" s="13" t="n">
        <v>1</v>
      </c>
      <c r="N36" s="13" t="n">
        <v>0</v>
      </c>
      <c r="O36" s="13" t="n">
        <v>1</v>
      </c>
      <c r="P36" s="13" t="n">
        <v>1</v>
      </c>
      <c r="Q36" s="12">
        <f>COUNTIF(D36:P36,1)</f>
        <v/>
      </c>
      <c r="R36" s="12">
        <f>IF(COUNT(D36:P36)=0,"",ROUND(Q36/13*100,1))</f>
        <v/>
      </c>
      <c r="S36" s="12">
        <f>COUNTIF(D36:P36,0)</f>
        <v/>
      </c>
      <c r="T36" s="12">
        <f>IF(COUNT(D36:P36)=0,"",ROUND(S36/13*100,1))</f>
        <v/>
      </c>
      <c r="U36" s="20">
        <f>IF(R36="","",IF(R36&gt;=Нэгтгэл!$K$4,"Хангалттай эзэмшиж байна",IF(R36&gt;=Нэгтгэл!$K$5,"Ахиж байна","Хөгжиж байна")))</f>
        <v/>
      </c>
    </row>
    <row r="37" ht="16" customHeight="1">
      <c r="A37" s="12" t="n">
        <v>31</v>
      </c>
      <c r="B37" s="12">
        <f>IF(Нэгтгэл!B37="","",Нэгтгэл!B37)</f>
        <v/>
      </c>
      <c r="C37" s="4" t="n"/>
      <c r="D37" s="13" t="n">
        <v>0</v>
      </c>
      <c r="E37" s="13" t="n">
        <v>0</v>
      </c>
      <c r="F37" s="13" t="n">
        <v>1</v>
      </c>
      <c r="G37" s="13" t="n">
        <v>0</v>
      </c>
      <c r="H37" s="13" t="n">
        <v>0</v>
      </c>
      <c r="I37" s="13" t="n">
        <v>1</v>
      </c>
      <c r="J37" s="13" t="n">
        <v>1</v>
      </c>
      <c r="K37" s="13" t="n">
        <v>1</v>
      </c>
      <c r="L37" s="13" t="n">
        <v>1</v>
      </c>
      <c r="M37" s="13" t="n">
        <v>0</v>
      </c>
      <c r="N37" s="13" t="n">
        <v>1</v>
      </c>
      <c r="O37" s="13" t="n">
        <v>1</v>
      </c>
      <c r="P37" s="13" t="n">
        <v>0</v>
      </c>
      <c r="Q37" s="12">
        <f>COUNTIF(D37:P37,1)</f>
        <v/>
      </c>
      <c r="R37" s="12">
        <f>IF(COUNT(D37:P37)=0,"",ROUND(Q37/13*100,1))</f>
        <v/>
      </c>
      <c r="S37" s="12">
        <f>COUNTIF(D37:P37,0)</f>
        <v/>
      </c>
      <c r="T37" s="12">
        <f>IF(COUNT(D37:P37)=0,"",ROUND(S37/13*100,1))</f>
        <v/>
      </c>
      <c r="U37" s="20">
        <f>IF(R37="","",IF(R37&gt;=Нэгтгэл!$K$4,"Хангалттай эзэмшиж байна",IF(R37&gt;=Нэгтгэл!$K$5,"Ахиж байна","Хөгжиж байна")))</f>
        <v/>
      </c>
    </row>
    <row r="38" ht="17" customHeight="1">
      <c r="A38" s="5" t="inlineStr">
        <is>
          <t>Чадна (1)</t>
        </is>
      </c>
      <c r="B38" s="15" t="n"/>
      <c r="C38" s="15" t="n"/>
      <c r="D38" s="5">
        <f>COUNTIF(D7:D37,1)</f>
        <v/>
      </c>
      <c r="E38" s="5">
        <f>COUNTIF(E7:E37,1)</f>
        <v/>
      </c>
      <c r="F38" s="5">
        <f>COUNTIF(F7:F37,1)</f>
        <v/>
      </c>
      <c r="G38" s="5">
        <f>COUNTIF(G7:G37,1)</f>
        <v/>
      </c>
      <c r="H38" s="5">
        <f>COUNTIF(H7:H37,1)</f>
        <v/>
      </c>
      <c r="I38" s="5">
        <f>COUNTIF(I7:I37,1)</f>
        <v/>
      </c>
      <c r="J38" s="5">
        <f>COUNTIF(J7:J37,1)</f>
        <v/>
      </c>
      <c r="K38" s="5">
        <f>COUNTIF(K7:K37,1)</f>
        <v/>
      </c>
      <c r="L38" s="5">
        <f>COUNTIF(L7:L37,1)</f>
        <v/>
      </c>
      <c r="M38" s="5">
        <f>COUNTIF(M7:M37,1)</f>
        <v/>
      </c>
      <c r="N38" s="5">
        <f>COUNTIF(N7:N37,1)</f>
        <v/>
      </c>
      <c r="O38" s="5">
        <f>COUNTIF(O7:O37,1)</f>
        <v/>
      </c>
      <c r="P38" s="5">
        <f>COUNTIF(P7:P37,1)</f>
        <v/>
      </c>
      <c r="Q38" s="21" t="inlineStr">
        <is>
          <t>Хангалттай эзэмшиж байна</t>
        </is>
      </c>
      <c r="R38" s="22" t="n"/>
      <c r="S38" s="22" t="n"/>
      <c r="T38" s="23" t="n"/>
      <c r="U38" s="5">
        <f>COUNTIF(U7:U37,"Хангалттай эзэмшиж байна")</f>
        <v/>
      </c>
    </row>
    <row r="39" ht="17" customHeight="1">
      <c r="A39" s="5" t="inlineStr">
        <is>
          <t>Хувь</t>
        </is>
      </c>
      <c r="B39" s="15" t="n"/>
      <c r="C39" s="15" t="n"/>
      <c r="D39" s="5">
        <f>IF(COUNT(D7:D37)=0,"",ROUND(COUNTIF(D7:D37,1)/COUNT(D7:D37)*100,1))</f>
        <v/>
      </c>
      <c r="E39" s="5">
        <f>IF(COUNT(E7:E37)=0,"",ROUND(COUNTIF(E7:E37,1)/COUNT(E7:E37)*100,1))</f>
        <v/>
      </c>
      <c r="F39" s="5">
        <f>IF(COUNT(F7:F37)=0,"",ROUND(COUNTIF(F7:F37,1)/COUNT(F7:F37)*100,1))</f>
        <v/>
      </c>
      <c r="G39" s="5">
        <f>IF(COUNT(G7:G37)=0,"",ROUND(COUNTIF(G7:G37,1)/COUNT(G7:G37)*100,1))</f>
        <v/>
      </c>
      <c r="H39" s="5">
        <f>IF(COUNT(H7:H37)=0,"",ROUND(COUNTIF(H7:H37,1)/COUNT(H7:H37)*100,1))</f>
        <v/>
      </c>
      <c r="I39" s="5">
        <f>IF(COUNT(I7:I37)=0,"",ROUND(COUNTIF(I7:I37,1)/COUNT(I7:I37)*100,1))</f>
        <v/>
      </c>
      <c r="J39" s="5">
        <f>IF(COUNT(J7:J37)=0,"",ROUND(COUNTIF(J7:J37,1)/COUNT(J7:J37)*100,1))</f>
        <v/>
      </c>
      <c r="K39" s="5">
        <f>IF(COUNT(K7:K37)=0,"",ROUND(COUNTIF(K7:K37,1)/COUNT(K7:K37)*100,1))</f>
        <v/>
      </c>
      <c r="L39" s="5">
        <f>IF(COUNT(L7:L37)=0,"",ROUND(COUNTIF(L7:L37,1)/COUNT(L7:L37)*100,1))</f>
        <v/>
      </c>
      <c r="M39" s="5">
        <f>IF(COUNT(M7:M37)=0,"",ROUND(COUNTIF(M7:M37,1)/COUNT(M7:M37)*100,1))</f>
        <v/>
      </c>
      <c r="N39" s="5">
        <f>IF(COUNT(N7:N37)=0,"",ROUND(COUNTIF(N7:N37,1)/COUNT(N7:N37)*100,1))</f>
        <v/>
      </c>
      <c r="O39" s="5">
        <f>IF(COUNT(O7:O37)=0,"",ROUND(COUNTIF(O7:O37,1)/COUNT(O7:O37)*100,1))</f>
        <v/>
      </c>
      <c r="P39" s="5">
        <f>IF(COUNT(P7:P37)=0,"",ROUND(COUNTIF(P7:P37,1)/COUNT(P7:P37)*100,1))</f>
        <v/>
      </c>
      <c r="Q39" s="21" t="inlineStr">
        <is>
          <t>Ахиж байна</t>
        </is>
      </c>
      <c r="R39" s="22" t="n"/>
      <c r="S39" s="22" t="n"/>
      <c r="T39" s="23" t="n"/>
      <c r="U39" s="5">
        <f>COUNTIF(U7:U37,"Ахиж байна")</f>
        <v/>
      </c>
    </row>
    <row r="40" ht="17" customHeight="1">
      <c r="A40" s="5" t="inlineStr">
        <is>
          <t>Чадахгүй (0)</t>
        </is>
      </c>
      <c r="B40" s="15" t="n"/>
      <c r="C40" s="15" t="n"/>
      <c r="D40" s="5">
        <f>COUNTIF(D7:D37,0)</f>
        <v/>
      </c>
      <c r="E40" s="5">
        <f>COUNTIF(E7:E37,0)</f>
        <v/>
      </c>
      <c r="F40" s="5">
        <f>COUNTIF(F7:F37,0)</f>
        <v/>
      </c>
      <c r="G40" s="5">
        <f>COUNTIF(G7:G37,0)</f>
        <v/>
      </c>
      <c r="H40" s="5">
        <f>COUNTIF(H7:H37,0)</f>
        <v/>
      </c>
      <c r="I40" s="5">
        <f>COUNTIF(I7:I37,0)</f>
        <v/>
      </c>
      <c r="J40" s="5">
        <f>COUNTIF(J7:J37,0)</f>
        <v/>
      </c>
      <c r="K40" s="5">
        <f>COUNTIF(K7:K37,0)</f>
        <v/>
      </c>
      <c r="L40" s="5">
        <f>COUNTIF(L7:L37,0)</f>
        <v/>
      </c>
      <c r="M40" s="5">
        <f>COUNTIF(M7:M37,0)</f>
        <v/>
      </c>
      <c r="N40" s="5">
        <f>COUNTIF(N7:N37,0)</f>
        <v/>
      </c>
      <c r="O40" s="5">
        <f>COUNTIF(O7:O37,0)</f>
        <v/>
      </c>
      <c r="P40" s="5">
        <f>COUNTIF(P7:P37,0)</f>
        <v/>
      </c>
      <c r="Q40" s="21" t="inlineStr">
        <is>
          <t>Хөгжиж байна</t>
        </is>
      </c>
      <c r="R40" s="22" t="n"/>
      <c r="S40" s="22" t="n"/>
      <c r="T40" s="23" t="n"/>
      <c r="U40" s="5">
        <f>COUNTIF(U7:U37,"Хөгжиж байна")</f>
        <v/>
      </c>
    </row>
    <row r="41" ht="17" customHeight="1">
      <c r="A41" s="5" t="inlineStr">
        <is>
          <t>Хувь</t>
        </is>
      </c>
      <c r="B41" s="15" t="n"/>
      <c r="C41" s="15" t="n"/>
      <c r="D41" s="5">
        <f>IF(COUNT(D7:D37)=0,"",ROUND(COUNTIF(D7:D37,0)/COUNT(D7:D37)*100,1))</f>
        <v/>
      </c>
      <c r="E41" s="5">
        <f>IF(COUNT(E7:E37)=0,"",ROUND(COUNTIF(E7:E37,0)/COUNT(E7:E37)*100,1))</f>
        <v/>
      </c>
      <c r="F41" s="5">
        <f>IF(COUNT(F7:F37)=0,"",ROUND(COUNTIF(F7:F37,0)/COUNT(F7:F37)*100,1))</f>
        <v/>
      </c>
      <c r="G41" s="5">
        <f>IF(COUNT(G7:G37)=0,"",ROUND(COUNTIF(G7:G37,0)/COUNT(G7:G37)*100,1))</f>
        <v/>
      </c>
      <c r="H41" s="5">
        <f>IF(COUNT(H7:H37)=0,"",ROUND(COUNTIF(H7:H37,0)/COUNT(H7:H37)*100,1))</f>
        <v/>
      </c>
      <c r="I41" s="5">
        <f>IF(COUNT(I7:I37)=0,"",ROUND(COUNTIF(I7:I37,0)/COUNT(I7:I37)*100,1))</f>
        <v/>
      </c>
      <c r="J41" s="5">
        <f>IF(COUNT(J7:J37)=0,"",ROUND(COUNTIF(J7:J37,0)/COUNT(J7:J37)*100,1))</f>
        <v/>
      </c>
      <c r="K41" s="5">
        <f>IF(COUNT(K7:K37)=0,"",ROUND(COUNTIF(K7:K37,0)/COUNT(K7:K37)*100,1))</f>
        <v/>
      </c>
      <c r="L41" s="5">
        <f>IF(COUNT(L7:L37)=0,"",ROUND(COUNTIF(L7:L37,0)/COUNT(L7:L37)*100,1))</f>
        <v/>
      </c>
      <c r="M41" s="5">
        <f>IF(COUNT(M7:M37)=0,"",ROUND(COUNTIF(M7:M37,0)/COUNT(M7:M37)*100,1))</f>
        <v/>
      </c>
      <c r="N41" s="5">
        <f>IF(COUNT(N7:N37)=0,"",ROUND(COUNTIF(N7:N37,0)/COUNT(N7:N37)*100,1))</f>
        <v/>
      </c>
      <c r="O41" s="5">
        <f>IF(COUNT(O7:O37)=0,"",ROUND(COUNTIF(O7:O37,0)/COUNT(O7:O37)*100,1))</f>
        <v/>
      </c>
      <c r="P41" s="5">
        <f>IF(COUNT(P7:P37)=0,"",ROUND(COUNTIF(P7:P37,0)/COUNT(P7:P37)*100,1))</f>
        <v/>
      </c>
      <c r="Q41" s="15" t="n"/>
      <c r="R41" s="15" t="n"/>
      <c r="S41" s="15" t="n"/>
      <c r="T41" s="15" t="n"/>
      <c r="U41" s="15" t="n"/>
    </row>
  </sheetData>
  <mergeCells count="48">
    <mergeCell ref="A41:C41"/>
    <mergeCell ref="B16:C16"/>
    <mergeCell ref="B7:C7"/>
    <mergeCell ref="B25:C25"/>
    <mergeCell ref="S3:S6"/>
    <mergeCell ref="Q3:Q6"/>
    <mergeCell ref="D3:P3"/>
    <mergeCell ref="B22:C22"/>
    <mergeCell ref="B31:C31"/>
    <mergeCell ref="B18:C18"/>
    <mergeCell ref="B27:C27"/>
    <mergeCell ref="B12:C12"/>
    <mergeCell ref="B21:C21"/>
    <mergeCell ref="A2:U2"/>
    <mergeCell ref="B11:C11"/>
    <mergeCell ref="B23:C23"/>
    <mergeCell ref="A3:A6"/>
    <mergeCell ref="B14:C14"/>
    <mergeCell ref="B17:C17"/>
    <mergeCell ref="B8:C8"/>
    <mergeCell ref="A38:C38"/>
    <mergeCell ref="B13:C13"/>
    <mergeCell ref="B29:C29"/>
    <mergeCell ref="Q39:T39"/>
    <mergeCell ref="U3:U6"/>
    <mergeCell ref="B19:C19"/>
    <mergeCell ref="B34:C34"/>
    <mergeCell ref="B37:C37"/>
    <mergeCell ref="B10:C10"/>
    <mergeCell ref="B28:C28"/>
    <mergeCell ref="A40:C40"/>
    <mergeCell ref="R3:R6"/>
    <mergeCell ref="A39:C39"/>
    <mergeCell ref="B9:C9"/>
    <mergeCell ref="Q38:T38"/>
    <mergeCell ref="B3:C6"/>
    <mergeCell ref="B24:C24"/>
    <mergeCell ref="B30:C30"/>
    <mergeCell ref="B15:C15"/>
    <mergeCell ref="B33:C33"/>
    <mergeCell ref="T3:T6"/>
    <mergeCell ref="B20:C20"/>
    <mergeCell ref="Q40:T40"/>
    <mergeCell ref="B36:C36"/>
    <mergeCell ref="B32:C32"/>
    <mergeCell ref="B26:C26"/>
    <mergeCell ref="A1:U1"/>
    <mergeCell ref="B35:C35"/>
  </mergeCells>
  <conditionalFormatting sqref="D7:P37">
    <cfRule type="cellIs" priority="1" operator="equal" dxfId="0">
      <formula>0</formula>
    </cfRule>
  </conditionalFormatting>
  <dataValidations count="1">
    <dataValidation sqref="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J7 J8 J9 J10 J11 J12 J13 J14 J15 J16 J17 J18 J19 J20 J21 J22 J23 J24 J25 J26 J27 J28 J29 J30 J31 J32 J33 J34 J35 J36 J37 K7 K8 K9 K10 K11 K12 K13 K14 K15 K16 K17 K18 K19 K20 K21 K22 K23 K24 K25 K26 K27 K28 K29 K30 K31 K32 K33 K34 K35 K36 K37 L7 L8 L9 L10 L11 L12 L13 L14 L15 L16 L17 L18 L19 L20 L21 L22 L23 L24 L25 L26 L27 L28 L29 L30 L31 L32 L33 L34 L35 L36 L37 M7 M8 M9 M10 M11 M12 M13 M14 M15 M16 M17 M18 M19 M20 M21 M22 M23 M24 M25 M26 M27 M28 M29 M30 M31 M32 M33 M34 M35 M36 M37 N7 N8 N9 N10 N11 N12 N13 N14 N15 N16 N17 N18 N19 N20 N21 N22 N23 N24 N25 N26 N27 N28 N29 N30 N31 N32 N33 N34 N35 N36 N37 O7 O8 O9 O10 O11 O12 O13 O14 O15 O16 O17 O18 O19 O20 O21 O22 O23 O24 O25 O26 O27 O28 O29 O30 O31 O32 O33 O34 O35 O36 O37 P7 P8 P9 P10 P11 P12 P13 P14 P15 P16 P17 P18 P19 P20 P21 P22 P23 P24 P25 P26 P27 P28 P29 P30 P31 P32 P33 P34 P35 P36 P37"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2026-10-12T01:10:46Z</dcterms:created>
  <dcterms:modified xmlns:dcterms="http://purl.org/dc/terms/" xmlns:xsi="http://www.w3.org/2001/XMLSchema-instance" xsi:type="dcterms:W3CDTF">2026-10-12T01:10:47Z</dcterms:modified>
</cp:coreProperties>
</file>
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эгтгэл" sheetId="1" state="visible" r:id="rId1"/>
    <sheet xmlns:r="http://schemas.openxmlformats.org/officeDocument/2006/relationships" name="Мэдлэг" sheetId="2" state="visible" r:id="rId2"/>
    <sheet xmlns:r="http://schemas.openxmlformats.org/officeDocument/2006/relationships" name="Чадвар" sheetId="3" state="visible" r:id="rId3"/>
    <sheet xmlns:r="http://schemas.openxmlformats.org/officeDocument/2006/relationships" name="Төлөвшил" sheetId="4" state="visible" r:id="rId4"/>
  </sheets>
  <definedNames>
    <definedName name="_xlnm.Print_Titles" localSheetId="0">'Нэгтгэл'!$3:$6</definedName>
    <definedName name="_xlnm.Print_Area" localSheetId="0">'Нэгтгэл'!$A$1:$H$59</definedName>
    <definedName name="_xlnm.Print_Titles" localSheetId="1">'Мэдлэг'!$3:$6</definedName>
    <definedName name="_xlnm.Print_Area" localSheetId="1">'Мэдлэг'!$A$1:$P$59</definedName>
    <definedName name="_xlnm.Print_Titles" localSheetId="2">'Чадвар'!$3:$6</definedName>
    <definedName name="_xlnm.Print_Area" localSheetId="2">'Чадвар'!$A$1:$AI$59</definedName>
    <definedName name="_xlnm.Print_Titles" localSheetId="3">'Төлөвшил'!$3:$6</definedName>
    <definedName name="_xlnm.Print_Area" localSheetId="3">'Төлөвшил'!$A$1:$N$59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2"/>
    </font>
    <font>
      <name val="Arial"/>
      <sz val="11"/>
    </font>
    <font>
      <name val="Arial"/>
      <b val="1"/>
      <sz val="10"/>
    </font>
    <font>
      <name val="Arial"/>
      <b val="1"/>
      <sz val="9"/>
    </font>
    <font>
      <name val="Arial"/>
      <sz val="8"/>
    </font>
    <font>
      <name val="Arial"/>
      <b val="1"/>
      <sz val="8"/>
    </font>
    <font>
      <name val="Arial"/>
      <sz val="10"/>
    </font>
    <font>
      <name val="Arial"/>
      <sz val="9"/>
    </font>
    <font>
      <name val="Arial"/>
      <i val="1"/>
      <sz val="8"/>
    </font>
  </fonts>
  <fills count="6">
    <fill>
      <patternFill/>
    </fill>
    <fill>
      <patternFill patternType="gray125"/>
    </fill>
    <fill>
      <patternFill patternType="solid">
        <fgColor rgb="00DDEBF7"/>
      </patternFill>
    </fill>
    <fill>
      <patternFill patternType="solid">
        <fgColor rgb="00E2EFDA"/>
      </patternFill>
    </fill>
    <fill>
      <patternFill patternType="solid">
        <fgColor rgb="00F2F2F2"/>
      </patternFill>
    </fill>
    <fill>
      <patternFill patternType="solid">
        <fgColor rgb="00FFFDE7"/>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center" vertical="center" wrapText="1"/>
    </xf>
    <xf numFmtId="0" fontId="7"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1" pivotButton="0" quotePrefix="0" xfId="0"/>
    <xf numFmtId="0" fontId="3" fillId="3" borderId="1" applyAlignment="1" pivotButton="0" quotePrefix="0" xfId="0">
      <alignment horizontal="center" vertical="center" wrapText="1"/>
    </xf>
    <xf numFmtId="0" fontId="4" fillId="2" borderId="1" applyAlignment="1" pivotButton="0" quotePrefix="0" xfId="0">
      <alignment horizontal="center" vertical="center" wrapText="1"/>
    </xf>
    <xf numFmtId="0" fontId="0" fillId="2" borderId="1" pivotButton="0" quotePrefix="0" xfId="0"/>
    <xf numFmtId="0" fontId="8" fillId="0" borderId="1" applyAlignment="1" pivotButton="0" quotePrefix="0" xfId="0">
      <alignment horizontal="left" vertical="center" wrapText="1"/>
    </xf>
    <xf numFmtId="0" fontId="3" fillId="5" borderId="1" applyAlignment="1" pivotButton="0" quotePrefix="0" xfId="0">
      <alignment horizontal="center" vertical="center" wrapText="1"/>
    </xf>
    <xf numFmtId="0" fontId="6" fillId="2" borderId="1" applyAlignment="1" pivotButton="0" quotePrefix="0" xfId="0">
      <alignment horizontal="center" vertical="center" wrapText="1"/>
    </xf>
    <xf numFmtId="0" fontId="9" fillId="0" borderId="0" applyAlignment="1" pivotButton="0" quotePrefix="0" xfId="0">
      <alignment horizontal="left" vertical="center" wrapText="1"/>
    </xf>
    <xf numFmtId="0" fontId="7" fillId="0"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0" borderId="1" applyAlignment="1" pivotButton="0" quotePrefix="0" xfId="0">
      <alignment horizontal="center" vertical="center" wrapText="1"/>
    </xf>
    <xf numFmtId="0" fontId="0" fillId="3" borderId="1" pivotButton="0" quotePrefix="0" xfId="0"/>
    <xf numFmtId="0" fontId="7"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0" borderId="0" applyAlignment="1" pivotButton="0" quotePrefix="0" xfId="0">
      <alignment horizontal="left" vertical="center" wrapText="1"/>
    </xf>
    <xf numFmtId="0" fontId="5" fillId="4" borderId="1" applyAlignment="1" pivotButton="0" quotePrefix="0" xfId="0">
      <alignment horizontal="left" vertical="center" wrapText="1"/>
    </xf>
    <xf numFmtId="0" fontId="5"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59"/>
  <sheetViews>
    <sheetView workbookViewId="0">
      <selection activeCell="A1" sqref="A1"/>
    </sheetView>
  </sheetViews>
  <sheetFormatPr baseColWidth="8" defaultRowHeight="15"/>
  <cols>
    <col width="5" customWidth="1" min="1" max="1"/>
    <col width="14" customWidth="1" min="2" max="2"/>
    <col width="16" customWidth="1" min="3" max="3"/>
    <col width="16" customWidth="1" min="4" max="4"/>
    <col width="16" customWidth="1" min="5" max="5"/>
    <col width="14" customWidth="1" min="6" max="6"/>
    <col width="12" customWidth="1" min="7" max="7"/>
    <col width="30" customWidth="1" min="8" max="8"/>
    <col width="2" customWidth="1" min="9" max="9"/>
    <col width="26" customWidth="1" min="10" max="10"/>
    <col width="8" customWidth="1" min="11" max="11"/>
  </cols>
  <sheetData>
    <row r="1">
      <c r="A1" s="1" t="inlineStr">
        <is>
          <t>................ ЦЭЦЭРЛЭГИЙН ДУНД БҮЛГИЙН (3 НАС) ГАРААНЫ (ОНОШЛОХ) ҮНЭЛГЭЭНИЙ НЭГТГЭЛ</t>
        </is>
      </c>
    </row>
    <row r="2">
      <c r="A2" s="2" t="inlineStr">
        <is>
          <t>Огноо: 20.... оны .... сар     Багш: ....................     Хүүхдийн кодыг B баганад бичнэ.</t>
        </is>
      </c>
    </row>
    <row r="3">
      <c r="A3" s="3" t="inlineStr">
        <is>
          <t>№</t>
        </is>
      </c>
      <c r="B3" s="3" t="inlineStr">
        <is>
          <t>Хүүхдийн код</t>
        </is>
      </c>
      <c r="C3" s="3" t="inlineStr">
        <is>
          <t>«Чадна» хувь (%)</t>
        </is>
      </c>
      <c r="D3" s="4" t="n"/>
      <c r="E3" s="4" t="n"/>
      <c r="F3" s="5" t="inlineStr">
        <is>
          <t>Нийт чадна (41-аас)</t>
        </is>
      </c>
      <c r="G3" s="5" t="inlineStr">
        <is>
          <t>Нийт хувь</t>
        </is>
      </c>
      <c r="H3" s="5" t="inlineStr">
        <is>
          <t>Түвшин</t>
        </is>
      </c>
      <c r="J3" s="6" t="inlineStr">
        <is>
          <t>Түвшний босго (%) — өөрчилж болно</t>
        </is>
      </c>
      <c r="K3" s="7" t="n"/>
    </row>
    <row r="4">
      <c r="A4" s="4" t="n"/>
      <c r="B4" s="4" t="n"/>
      <c r="C4" s="6" t="inlineStr">
        <is>
          <t>Үнэлгээний хүрээ</t>
        </is>
      </c>
      <c r="D4" s="4" t="n"/>
      <c r="E4" s="4" t="n"/>
      <c r="F4" s="4" t="n"/>
      <c r="G4" s="4" t="n"/>
      <c r="H4" s="4" t="n"/>
      <c r="J4" s="8" t="inlineStr">
        <is>
          <t>Хангалттай эзэмшиж байна ≥</t>
        </is>
      </c>
      <c r="K4" s="9" t="n">
        <v>80</v>
      </c>
    </row>
    <row r="5" ht="18" customHeight="1">
      <c r="A5" s="4" t="n"/>
      <c r="B5" s="4" t="n"/>
      <c r="C5" s="6" t="inlineStr">
        <is>
          <t>Мэдлэг</t>
        </is>
      </c>
      <c r="D5" s="6" t="inlineStr">
        <is>
          <t>Чадвар</t>
        </is>
      </c>
      <c r="E5" s="6" t="inlineStr">
        <is>
          <t>Төлөвшил</t>
        </is>
      </c>
      <c r="F5" s="4" t="n"/>
      <c r="G5" s="4" t="n"/>
      <c r="H5" s="4" t="n"/>
      <c r="J5" s="8" t="inlineStr">
        <is>
          <t>Ахиж байна ≥</t>
        </is>
      </c>
      <c r="K5" s="9" t="n">
        <v>50</v>
      </c>
    </row>
    <row r="6">
      <c r="A6" s="4" t="n"/>
      <c r="B6" s="4" t="n"/>
      <c r="C6" s="10" t="n">
        <v>8</v>
      </c>
      <c r="D6" s="10" t="n">
        <v>27</v>
      </c>
      <c r="E6" s="10" t="n">
        <v>6</v>
      </c>
      <c r="F6" s="4" t="n"/>
      <c r="G6" s="4" t="n"/>
      <c r="H6" s="4" t="n"/>
      <c r="J6" s="11" t="inlineStr">
        <is>
          <t>Бусад нь «Хөгжиж байна» (А/79, 2.10)</t>
        </is>
      </c>
    </row>
    <row r="7" ht="16" customHeight="1">
      <c r="A7" s="12" t="n">
        <v>1</v>
      </c>
      <c r="B7" s="13" t="inlineStr">
        <is>
          <t>Х-01</t>
        </is>
      </c>
      <c r="C7" s="12">
        <f>IF(COUNT('Мэдлэг'!D7:K7)=0,"",ROUND(COUNTIF('Мэдлэг'!D7:K7,1)/8*100,1))</f>
        <v/>
      </c>
      <c r="D7" s="12">
        <f>IF(COUNT('Чадвар'!D7:AD7)=0,"",ROUND(COUNTIF('Чадвар'!D7:AD7,1)/27*100,1))</f>
        <v/>
      </c>
      <c r="E7" s="12">
        <f>IF(COUNT('Төлөвшил'!D7:I7)=0,"",ROUND(COUNTIF('Төлөвшил'!D7:I7,1)/6*100,1))</f>
        <v/>
      </c>
      <c r="F7" s="12">
        <f>COUNTIF('Мэдлэг'!D7:K7,1)+COUNTIF('Чадвар'!D7:AD7,1)+COUNTIF('Төлөвшил'!D7:I7,1)</f>
        <v/>
      </c>
      <c r="G7" s="12">
        <f>IF((COUNT('Мэдлэг'!D7:K7)+COUNT('Чадвар'!D7:AD7)+COUNT('Төлөвшил'!D7:I7))=0,"",ROUND(F7/41*100,1))</f>
        <v/>
      </c>
      <c r="H7" s="14">
        <f>IF(G7="","",IF(G7&gt;=Нэгтгэл!$K$4,"Хангалттай эзэмшиж байна",IF(G7&gt;=Нэгтгэл!$K$5,"Ахиж байна","Хөгжиж байна")))</f>
        <v/>
      </c>
    </row>
    <row r="8" ht="16" customHeight="1">
      <c r="A8" s="12" t="n">
        <v>2</v>
      </c>
      <c r="B8" s="13" t="inlineStr">
        <is>
          <t>Х-02</t>
        </is>
      </c>
      <c r="C8" s="12">
        <f>IF(COUNT('Мэдлэг'!D8:K8)=0,"",ROUND(COUNTIF('Мэдлэг'!D8:K8,1)/8*100,1))</f>
        <v/>
      </c>
      <c r="D8" s="12">
        <f>IF(COUNT('Чадвар'!D8:AD8)=0,"",ROUND(COUNTIF('Чадвар'!D8:AD8,1)/27*100,1))</f>
        <v/>
      </c>
      <c r="E8" s="12">
        <f>IF(COUNT('Төлөвшил'!D8:I8)=0,"",ROUND(COUNTIF('Төлөвшил'!D8:I8,1)/6*100,1))</f>
        <v/>
      </c>
      <c r="F8" s="12">
        <f>COUNTIF('Мэдлэг'!D8:K8,1)+COUNTIF('Чадвар'!D8:AD8,1)+COUNTIF('Төлөвшил'!D8:I8,1)</f>
        <v/>
      </c>
      <c r="G8" s="12">
        <f>IF((COUNT('Мэдлэг'!D8:K8)+COUNT('Чадвар'!D8:AD8)+COUNT('Төлөвшил'!D8:I8))=0,"",ROUND(F8/41*100,1))</f>
        <v/>
      </c>
      <c r="H8" s="14">
        <f>IF(G8="","",IF(G8&gt;=Нэгтгэл!$K$4,"Хангалттай эзэмшиж байна",IF(G8&gt;=Нэгтгэл!$K$5,"Ахиж байна","Хөгжиж байна")))</f>
        <v/>
      </c>
    </row>
    <row r="9" ht="16" customHeight="1">
      <c r="A9" s="12" t="n">
        <v>3</v>
      </c>
      <c r="B9" s="13" t="inlineStr">
        <is>
          <t>Х-03</t>
        </is>
      </c>
      <c r="C9" s="12">
        <f>IF(COUNT('Мэдлэг'!D9:K9)=0,"",ROUND(COUNTIF('Мэдлэг'!D9:K9,1)/8*100,1))</f>
        <v/>
      </c>
      <c r="D9" s="12">
        <f>IF(COUNT('Чадвар'!D9:AD9)=0,"",ROUND(COUNTIF('Чадвар'!D9:AD9,1)/27*100,1))</f>
        <v/>
      </c>
      <c r="E9" s="12">
        <f>IF(COUNT('Төлөвшил'!D9:I9)=0,"",ROUND(COUNTIF('Төлөвшил'!D9:I9,1)/6*100,1))</f>
        <v/>
      </c>
      <c r="F9" s="12">
        <f>COUNTIF('Мэдлэг'!D9:K9,1)+COUNTIF('Чадвар'!D9:AD9,1)+COUNTIF('Төлөвшил'!D9:I9,1)</f>
        <v/>
      </c>
      <c r="G9" s="12">
        <f>IF((COUNT('Мэдлэг'!D9:K9)+COUNT('Чадвар'!D9:AD9)+COUNT('Төлөвшил'!D9:I9))=0,"",ROUND(F9/41*100,1))</f>
        <v/>
      </c>
      <c r="H9" s="14">
        <f>IF(G9="","",IF(G9&gt;=Нэгтгэл!$K$4,"Хангалттай эзэмшиж байна",IF(G9&gt;=Нэгтгэл!$K$5,"Ахиж байна","Хөгжиж байна")))</f>
        <v/>
      </c>
    </row>
    <row r="10" ht="16" customHeight="1">
      <c r="A10" s="12" t="n">
        <v>4</v>
      </c>
      <c r="B10" s="13" t="inlineStr">
        <is>
          <t>Х-04</t>
        </is>
      </c>
      <c r="C10" s="12">
        <f>IF(COUNT('Мэдлэг'!D10:K10)=0,"",ROUND(COUNTIF('Мэдлэг'!D10:K10,1)/8*100,1))</f>
        <v/>
      </c>
      <c r="D10" s="12">
        <f>IF(COUNT('Чадвар'!D10:AD10)=0,"",ROUND(COUNTIF('Чадвар'!D10:AD10,1)/27*100,1))</f>
        <v/>
      </c>
      <c r="E10" s="12">
        <f>IF(COUNT('Төлөвшил'!D10:I10)=0,"",ROUND(COUNTIF('Төлөвшил'!D10:I10,1)/6*100,1))</f>
        <v/>
      </c>
      <c r="F10" s="12">
        <f>COUNTIF('Мэдлэг'!D10:K10,1)+COUNTIF('Чадвар'!D10:AD10,1)+COUNTIF('Төлөвшил'!D10:I10,1)</f>
        <v/>
      </c>
      <c r="G10" s="12">
        <f>IF((COUNT('Мэдлэг'!D10:K10)+COUNT('Чадвар'!D10:AD10)+COUNT('Төлөвшил'!D10:I10))=0,"",ROUND(F10/41*100,1))</f>
        <v/>
      </c>
      <c r="H10" s="14">
        <f>IF(G10="","",IF(G10&gt;=Нэгтгэл!$K$4,"Хангалттай эзэмшиж байна",IF(G10&gt;=Нэгтгэл!$K$5,"Ахиж байна","Хөгжиж байна")))</f>
        <v/>
      </c>
    </row>
    <row r="11" ht="16" customHeight="1">
      <c r="A11" s="12" t="n">
        <v>5</v>
      </c>
      <c r="B11" s="13" t="inlineStr">
        <is>
          <t>Х-05</t>
        </is>
      </c>
      <c r="C11" s="12">
        <f>IF(COUNT('Мэдлэг'!D11:K11)=0,"",ROUND(COUNTIF('Мэдлэг'!D11:K11,1)/8*100,1))</f>
        <v/>
      </c>
      <c r="D11" s="12">
        <f>IF(COUNT('Чадвар'!D11:AD11)=0,"",ROUND(COUNTIF('Чадвар'!D11:AD11,1)/27*100,1))</f>
        <v/>
      </c>
      <c r="E11" s="12">
        <f>IF(COUNT('Төлөвшил'!D11:I11)=0,"",ROUND(COUNTIF('Төлөвшил'!D11:I11,1)/6*100,1))</f>
        <v/>
      </c>
      <c r="F11" s="12">
        <f>COUNTIF('Мэдлэг'!D11:K11,1)+COUNTIF('Чадвар'!D11:AD11,1)+COUNTIF('Төлөвшил'!D11:I11,1)</f>
        <v/>
      </c>
      <c r="G11" s="12">
        <f>IF((COUNT('Мэдлэг'!D11:K11)+COUNT('Чадвар'!D11:AD11)+COUNT('Төлөвшил'!D11:I11))=0,"",ROUND(F11/41*100,1))</f>
        <v/>
      </c>
      <c r="H11" s="14">
        <f>IF(G11="","",IF(G11&gt;=Нэгтгэл!$K$4,"Хангалттай эзэмшиж байна",IF(G11&gt;=Нэгтгэл!$K$5,"Ахиж байна","Хөгжиж байна")))</f>
        <v/>
      </c>
    </row>
    <row r="12" ht="16" customHeight="1">
      <c r="A12" s="12" t="n">
        <v>6</v>
      </c>
      <c r="B12" s="13" t="inlineStr">
        <is>
          <t>Х-06</t>
        </is>
      </c>
      <c r="C12" s="12">
        <f>IF(COUNT('Мэдлэг'!D12:K12)=0,"",ROUND(COUNTIF('Мэдлэг'!D12:K12,1)/8*100,1))</f>
        <v/>
      </c>
      <c r="D12" s="12">
        <f>IF(COUNT('Чадвар'!D12:AD12)=0,"",ROUND(COUNTIF('Чадвар'!D12:AD12,1)/27*100,1))</f>
        <v/>
      </c>
      <c r="E12" s="12">
        <f>IF(COUNT('Төлөвшил'!D12:I12)=0,"",ROUND(COUNTIF('Төлөвшил'!D12:I12,1)/6*100,1))</f>
        <v/>
      </c>
      <c r="F12" s="12">
        <f>COUNTIF('Мэдлэг'!D12:K12,1)+COUNTIF('Чадвар'!D12:AD12,1)+COUNTIF('Төлөвшил'!D12:I12,1)</f>
        <v/>
      </c>
      <c r="G12" s="12">
        <f>IF((COUNT('Мэдлэг'!D12:K12)+COUNT('Чадвар'!D12:AD12)+COUNT('Төлөвшил'!D12:I12))=0,"",ROUND(F12/41*100,1))</f>
        <v/>
      </c>
      <c r="H12" s="14">
        <f>IF(G12="","",IF(G12&gt;=Нэгтгэл!$K$4,"Хангалттай эзэмшиж байна",IF(G12&gt;=Нэгтгэл!$K$5,"Ахиж байна","Хөгжиж байна")))</f>
        <v/>
      </c>
    </row>
    <row r="13" ht="16" customHeight="1">
      <c r="A13" s="12" t="n">
        <v>7</v>
      </c>
      <c r="B13" s="13" t="inlineStr">
        <is>
          <t>Х-07</t>
        </is>
      </c>
      <c r="C13" s="12">
        <f>IF(COUNT('Мэдлэг'!D13:K13)=0,"",ROUND(COUNTIF('Мэдлэг'!D13:K13,1)/8*100,1))</f>
        <v/>
      </c>
      <c r="D13" s="12">
        <f>IF(COUNT('Чадвар'!D13:AD13)=0,"",ROUND(COUNTIF('Чадвар'!D13:AD13,1)/27*100,1))</f>
        <v/>
      </c>
      <c r="E13" s="12">
        <f>IF(COUNT('Төлөвшил'!D13:I13)=0,"",ROUND(COUNTIF('Төлөвшил'!D13:I13,1)/6*100,1))</f>
        <v/>
      </c>
      <c r="F13" s="12">
        <f>COUNTIF('Мэдлэг'!D13:K13,1)+COUNTIF('Чадвар'!D13:AD13,1)+COUNTIF('Төлөвшил'!D13:I13,1)</f>
        <v/>
      </c>
      <c r="G13" s="12">
        <f>IF((COUNT('Мэдлэг'!D13:K13)+COUNT('Чадвар'!D13:AD13)+COUNT('Төлөвшил'!D13:I13))=0,"",ROUND(F13/41*100,1))</f>
        <v/>
      </c>
      <c r="H13" s="14">
        <f>IF(G13="","",IF(G13&gt;=Нэгтгэл!$K$4,"Хангалттай эзэмшиж байна",IF(G13&gt;=Нэгтгэл!$K$5,"Ахиж байна","Хөгжиж байна")))</f>
        <v/>
      </c>
    </row>
    <row r="14" ht="16" customHeight="1">
      <c r="A14" s="12" t="n">
        <v>8</v>
      </c>
      <c r="B14" s="13" t="inlineStr">
        <is>
          <t>Х-08</t>
        </is>
      </c>
      <c r="C14" s="12">
        <f>IF(COUNT('Мэдлэг'!D14:K14)=0,"",ROUND(COUNTIF('Мэдлэг'!D14:K14,1)/8*100,1))</f>
        <v/>
      </c>
      <c r="D14" s="12">
        <f>IF(COUNT('Чадвар'!D14:AD14)=0,"",ROUND(COUNTIF('Чадвар'!D14:AD14,1)/27*100,1))</f>
        <v/>
      </c>
      <c r="E14" s="12">
        <f>IF(COUNT('Төлөвшил'!D14:I14)=0,"",ROUND(COUNTIF('Төлөвшил'!D14:I14,1)/6*100,1))</f>
        <v/>
      </c>
      <c r="F14" s="12">
        <f>COUNTIF('Мэдлэг'!D14:K14,1)+COUNTIF('Чадвар'!D14:AD14,1)+COUNTIF('Төлөвшил'!D14:I14,1)</f>
        <v/>
      </c>
      <c r="G14" s="12">
        <f>IF((COUNT('Мэдлэг'!D14:K14)+COUNT('Чадвар'!D14:AD14)+COUNT('Төлөвшил'!D14:I14))=0,"",ROUND(F14/41*100,1))</f>
        <v/>
      </c>
      <c r="H14" s="14">
        <f>IF(G14="","",IF(G14&gt;=Нэгтгэл!$K$4,"Хангалттай эзэмшиж байна",IF(G14&gt;=Нэгтгэл!$K$5,"Ахиж байна","Хөгжиж байна")))</f>
        <v/>
      </c>
    </row>
    <row r="15" ht="16" customHeight="1">
      <c r="A15" s="12" t="n">
        <v>9</v>
      </c>
      <c r="B15" s="13" t="inlineStr">
        <is>
          <t>Х-09</t>
        </is>
      </c>
      <c r="C15" s="12">
        <f>IF(COUNT('Мэдлэг'!D15:K15)=0,"",ROUND(COUNTIF('Мэдлэг'!D15:K15,1)/8*100,1))</f>
        <v/>
      </c>
      <c r="D15" s="12">
        <f>IF(COUNT('Чадвар'!D15:AD15)=0,"",ROUND(COUNTIF('Чадвар'!D15:AD15,1)/27*100,1))</f>
        <v/>
      </c>
      <c r="E15" s="12">
        <f>IF(COUNT('Төлөвшил'!D15:I15)=0,"",ROUND(COUNTIF('Төлөвшил'!D15:I15,1)/6*100,1))</f>
        <v/>
      </c>
      <c r="F15" s="12">
        <f>COUNTIF('Мэдлэг'!D15:K15,1)+COUNTIF('Чадвар'!D15:AD15,1)+COUNTIF('Төлөвшил'!D15:I15,1)</f>
        <v/>
      </c>
      <c r="G15" s="12">
        <f>IF((COUNT('Мэдлэг'!D15:K15)+COUNT('Чадвар'!D15:AD15)+COUNT('Төлөвшил'!D15:I15))=0,"",ROUND(F15/41*100,1))</f>
        <v/>
      </c>
      <c r="H15" s="14">
        <f>IF(G15="","",IF(G15&gt;=Нэгтгэл!$K$4,"Хангалттай эзэмшиж байна",IF(G15&gt;=Нэгтгэл!$K$5,"Ахиж байна","Хөгжиж байна")))</f>
        <v/>
      </c>
    </row>
    <row r="16" ht="16" customHeight="1">
      <c r="A16" s="12" t="n">
        <v>10</v>
      </c>
      <c r="B16" s="13" t="inlineStr">
        <is>
          <t>Х-10</t>
        </is>
      </c>
      <c r="C16" s="12">
        <f>IF(COUNT('Мэдлэг'!D16:K16)=0,"",ROUND(COUNTIF('Мэдлэг'!D16:K16,1)/8*100,1))</f>
        <v/>
      </c>
      <c r="D16" s="12">
        <f>IF(COUNT('Чадвар'!D16:AD16)=0,"",ROUND(COUNTIF('Чадвар'!D16:AD16,1)/27*100,1))</f>
        <v/>
      </c>
      <c r="E16" s="12">
        <f>IF(COUNT('Төлөвшил'!D16:I16)=0,"",ROUND(COUNTIF('Төлөвшил'!D16:I16,1)/6*100,1))</f>
        <v/>
      </c>
      <c r="F16" s="12">
        <f>COUNTIF('Мэдлэг'!D16:K16,1)+COUNTIF('Чадвар'!D16:AD16,1)+COUNTIF('Төлөвшил'!D16:I16,1)</f>
        <v/>
      </c>
      <c r="G16" s="12">
        <f>IF((COUNT('Мэдлэг'!D16:K16)+COUNT('Чадвар'!D16:AD16)+COUNT('Төлөвшил'!D16:I16))=0,"",ROUND(F16/41*100,1))</f>
        <v/>
      </c>
      <c r="H16" s="14">
        <f>IF(G16="","",IF(G16&gt;=Нэгтгэл!$K$4,"Хангалттай эзэмшиж байна",IF(G16&gt;=Нэгтгэл!$K$5,"Ахиж байна","Хөгжиж байна")))</f>
        <v/>
      </c>
    </row>
    <row r="17" ht="16" customHeight="1">
      <c r="A17" s="12" t="n">
        <v>11</v>
      </c>
      <c r="B17" s="13" t="inlineStr">
        <is>
          <t>Х-11</t>
        </is>
      </c>
      <c r="C17" s="12">
        <f>IF(COUNT('Мэдлэг'!D17:K17)=0,"",ROUND(COUNTIF('Мэдлэг'!D17:K17,1)/8*100,1))</f>
        <v/>
      </c>
      <c r="D17" s="12">
        <f>IF(COUNT('Чадвар'!D17:AD17)=0,"",ROUND(COUNTIF('Чадвар'!D17:AD17,1)/27*100,1))</f>
        <v/>
      </c>
      <c r="E17" s="12">
        <f>IF(COUNT('Төлөвшил'!D17:I17)=0,"",ROUND(COUNTIF('Төлөвшил'!D17:I17,1)/6*100,1))</f>
        <v/>
      </c>
      <c r="F17" s="12">
        <f>COUNTIF('Мэдлэг'!D17:K17,1)+COUNTIF('Чадвар'!D17:AD17,1)+COUNTIF('Төлөвшил'!D17:I17,1)</f>
        <v/>
      </c>
      <c r="G17" s="12">
        <f>IF((COUNT('Мэдлэг'!D17:K17)+COUNT('Чадвар'!D17:AD17)+COUNT('Төлөвшил'!D17:I17))=0,"",ROUND(F17/41*100,1))</f>
        <v/>
      </c>
      <c r="H17" s="14">
        <f>IF(G17="","",IF(G17&gt;=Нэгтгэл!$K$4,"Хангалттай эзэмшиж байна",IF(G17&gt;=Нэгтгэл!$K$5,"Ахиж байна","Хөгжиж байна")))</f>
        <v/>
      </c>
    </row>
    <row r="18" ht="16" customHeight="1">
      <c r="A18" s="12" t="n">
        <v>12</v>
      </c>
      <c r="B18" s="13" t="inlineStr">
        <is>
          <t>Х-12</t>
        </is>
      </c>
      <c r="C18" s="12">
        <f>IF(COUNT('Мэдлэг'!D18:K18)=0,"",ROUND(COUNTIF('Мэдлэг'!D18:K18,1)/8*100,1))</f>
        <v/>
      </c>
      <c r="D18" s="12">
        <f>IF(COUNT('Чадвар'!D18:AD18)=0,"",ROUND(COUNTIF('Чадвар'!D18:AD18,1)/27*100,1))</f>
        <v/>
      </c>
      <c r="E18" s="12">
        <f>IF(COUNT('Төлөвшил'!D18:I18)=0,"",ROUND(COUNTIF('Төлөвшил'!D18:I18,1)/6*100,1))</f>
        <v/>
      </c>
      <c r="F18" s="12">
        <f>COUNTIF('Мэдлэг'!D18:K18,1)+COUNTIF('Чадвар'!D18:AD18,1)+COUNTIF('Төлөвшил'!D18:I18,1)</f>
        <v/>
      </c>
      <c r="G18" s="12">
        <f>IF((COUNT('Мэдлэг'!D18:K18)+COUNT('Чадвар'!D18:AD18)+COUNT('Төлөвшил'!D18:I18))=0,"",ROUND(F18/41*100,1))</f>
        <v/>
      </c>
      <c r="H18" s="14">
        <f>IF(G18="","",IF(G18&gt;=Нэгтгэл!$K$4,"Хангалттай эзэмшиж байна",IF(G18&gt;=Нэгтгэл!$K$5,"Ахиж байна","Хөгжиж байна")))</f>
        <v/>
      </c>
    </row>
    <row r="19" ht="16" customHeight="1">
      <c r="A19" s="12" t="n">
        <v>13</v>
      </c>
      <c r="B19" s="13" t="inlineStr">
        <is>
          <t>Х-13</t>
        </is>
      </c>
      <c r="C19" s="12">
        <f>IF(COUNT('Мэдлэг'!D19:K19)=0,"",ROUND(COUNTIF('Мэдлэг'!D19:K19,1)/8*100,1))</f>
        <v/>
      </c>
      <c r="D19" s="12">
        <f>IF(COUNT('Чадвар'!D19:AD19)=0,"",ROUND(COUNTIF('Чадвар'!D19:AD19,1)/27*100,1))</f>
        <v/>
      </c>
      <c r="E19" s="12">
        <f>IF(COUNT('Төлөвшил'!D19:I19)=0,"",ROUND(COUNTIF('Төлөвшил'!D19:I19,1)/6*100,1))</f>
        <v/>
      </c>
      <c r="F19" s="12">
        <f>COUNTIF('Мэдлэг'!D19:K19,1)+COUNTIF('Чадвар'!D19:AD19,1)+COUNTIF('Төлөвшил'!D19:I19,1)</f>
        <v/>
      </c>
      <c r="G19" s="12">
        <f>IF((COUNT('Мэдлэг'!D19:K19)+COUNT('Чадвар'!D19:AD19)+COUNT('Төлөвшил'!D19:I19))=0,"",ROUND(F19/41*100,1))</f>
        <v/>
      </c>
      <c r="H19" s="14">
        <f>IF(G19="","",IF(G19&gt;=Нэгтгэл!$K$4,"Хангалттай эзэмшиж байна",IF(G19&gt;=Нэгтгэл!$K$5,"Ахиж байна","Хөгжиж байна")))</f>
        <v/>
      </c>
    </row>
    <row r="20" ht="16" customHeight="1">
      <c r="A20" s="12" t="n">
        <v>14</v>
      </c>
      <c r="B20" s="13" t="inlineStr">
        <is>
          <t>Х-14</t>
        </is>
      </c>
      <c r="C20" s="12">
        <f>IF(COUNT('Мэдлэг'!D20:K20)=0,"",ROUND(COUNTIF('Мэдлэг'!D20:K20,1)/8*100,1))</f>
        <v/>
      </c>
      <c r="D20" s="12">
        <f>IF(COUNT('Чадвар'!D20:AD20)=0,"",ROUND(COUNTIF('Чадвар'!D20:AD20,1)/27*100,1))</f>
        <v/>
      </c>
      <c r="E20" s="12">
        <f>IF(COUNT('Төлөвшил'!D20:I20)=0,"",ROUND(COUNTIF('Төлөвшил'!D20:I20,1)/6*100,1))</f>
        <v/>
      </c>
      <c r="F20" s="12">
        <f>COUNTIF('Мэдлэг'!D20:K20,1)+COUNTIF('Чадвар'!D20:AD20,1)+COUNTIF('Төлөвшил'!D20:I20,1)</f>
        <v/>
      </c>
      <c r="G20" s="12">
        <f>IF((COUNT('Мэдлэг'!D20:K20)+COUNT('Чадвар'!D20:AD20)+COUNT('Төлөвшил'!D20:I20))=0,"",ROUND(F20/41*100,1))</f>
        <v/>
      </c>
      <c r="H20" s="14">
        <f>IF(G20="","",IF(G20&gt;=Нэгтгэл!$K$4,"Хангалттай эзэмшиж байна",IF(G20&gt;=Нэгтгэл!$K$5,"Ахиж байна","Хөгжиж байна")))</f>
        <v/>
      </c>
    </row>
    <row r="21" ht="16" customHeight="1">
      <c r="A21" s="12" t="n">
        <v>15</v>
      </c>
      <c r="B21" s="13" t="inlineStr">
        <is>
          <t>Х-15</t>
        </is>
      </c>
      <c r="C21" s="12">
        <f>IF(COUNT('Мэдлэг'!D21:K21)=0,"",ROUND(COUNTIF('Мэдлэг'!D21:K21,1)/8*100,1))</f>
        <v/>
      </c>
      <c r="D21" s="12">
        <f>IF(COUNT('Чадвар'!D21:AD21)=0,"",ROUND(COUNTIF('Чадвар'!D21:AD21,1)/27*100,1))</f>
        <v/>
      </c>
      <c r="E21" s="12">
        <f>IF(COUNT('Төлөвшил'!D21:I21)=0,"",ROUND(COUNTIF('Төлөвшил'!D21:I21,1)/6*100,1))</f>
        <v/>
      </c>
      <c r="F21" s="12">
        <f>COUNTIF('Мэдлэг'!D21:K21,1)+COUNTIF('Чадвар'!D21:AD21,1)+COUNTIF('Төлөвшил'!D21:I21,1)</f>
        <v/>
      </c>
      <c r="G21" s="12">
        <f>IF((COUNT('Мэдлэг'!D21:K21)+COUNT('Чадвар'!D21:AD21)+COUNT('Төлөвшил'!D21:I21))=0,"",ROUND(F21/41*100,1))</f>
        <v/>
      </c>
      <c r="H21" s="14">
        <f>IF(G21="","",IF(G21&gt;=Нэгтгэл!$K$4,"Хангалттай эзэмшиж байна",IF(G21&gt;=Нэгтгэл!$K$5,"Ахиж байна","Хөгжиж байна")))</f>
        <v/>
      </c>
    </row>
    <row r="22" ht="16" customHeight="1">
      <c r="A22" s="12" t="n">
        <v>16</v>
      </c>
      <c r="B22" s="13" t="inlineStr">
        <is>
          <t>Х-16</t>
        </is>
      </c>
      <c r="C22" s="12">
        <f>IF(COUNT('Мэдлэг'!D22:K22)=0,"",ROUND(COUNTIF('Мэдлэг'!D22:K22,1)/8*100,1))</f>
        <v/>
      </c>
      <c r="D22" s="12">
        <f>IF(COUNT('Чадвар'!D22:AD22)=0,"",ROUND(COUNTIF('Чадвар'!D22:AD22,1)/27*100,1))</f>
        <v/>
      </c>
      <c r="E22" s="12">
        <f>IF(COUNT('Төлөвшил'!D22:I22)=0,"",ROUND(COUNTIF('Төлөвшил'!D22:I22,1)/6*100,1))</f>
        <v/>
      </c>
      <c r="F22" s="12">
        <f>COUNTIF('Мэдлэг'!D22:K22,1)+COUNTIF('Чадвар'!D22:AD22,1)+COUNTIF('Төлөвшил'!D22:I22,1)</f>
        <v/>
      </c>
      <c r="G22" s="12">
        <f>IF((COUNT('Мэдлэг'!D22:K22)+COUNT('Чадвар'!D22:AD22)+COUNT('Төлөвшил'!D22:I22))=0,"",ROUND(F22/41*100,1))</f>
        <v/>
      </c>
      <c r="H22" s="14">
        <f>IF(G22="","",IF(G22&gt;=Нэгтгэл!$K$4,"Хангалттай эзэмшиж байна",IF(G22&gt;=Нэгтгэл!$K$5,"Ахиж байна","Хөгжиж байна")))</f>
        <v/>
      </c>
    </row>
    <row r="23" ht="16" customHeight="1">
      <c r="A23" s="12" t="n">
        <v>17</v>
      </c>
      <c r="B23" s="13" t="inlineStr">
        <is>
          <t>Х-17</t>
        </is>
      </c>
      <c r="C23" s="12">
        <f>IF(COUNT('Мэдлэг'!D23:K23)=0,"",ROUND(COUNTIF('Мэдлэг'!D23:K23,1)/8*100,1))</f>
        <v/>
      </c>
      <c r="D23" s="12">
        <f>IF(COUNT('Чадвар'!D23:AD23)=0,"",ROUND(COUNTIF('Чадвар'!D23:AD23,1)/27*100,1))</f>
        <v/>
      </c>
      <c r="E23" s="12">
        <f>IF(COUNT('Төлөвшил'!D23:I23)=0,"",ROUND(COUNTIF('Төлөвшил'!D23:I23,1)/6*100,1))</f>
        <v/>
      </c>
      <c r="F23" s="12">
        <f>COUNTIF('Мэдлэг'!D23:K23,1)+COUNTIF('Чадвар'!D23:AD23,1)+COUNTIF('Төлөвшил'!D23:I23,1)</f>
        <v/>
      </c>
      <c r="G23" s="12">
        <f>IF((COUNT('Мэдлэг'!D23:K23)+COUNT('Чадвар'!D23:AD23)+COUNT('Төлөвшил'!D23:I23))=0,"",ROUND(F23/41*100,1))</f>
        <v/>
      </c>
      <c r="H23" s="14">
        <f>IF(G23="","",IF(G23&gt;=Нэгтгэл!$K$4,"Хангалттай эзэмшиж байна",IF(G23&gt;=Нэгтгэл!$K$5,"Ахиж байна","Хөгжиж байна")))</f>
        <v/>
      </c>
    </row>
    <row r="24" ht="16" customHeight="1">
      <c r="A24" s="12" t="n">
        <v>18</v>
      </c>
      <c r="B24" s="13" t="inlineStr">
        <is>
          <t>Х-18</t>
        </is>
      </c>
      <c r="C24" s="12">
        <f>IF(COUNT('Мэдлэг'!D24:K24)=0,"",ROUND(COUNTIF('Мэдлэг'!D24:K24,1)/8*100,1))</f>
        <v/>
      </c>
      <c r="D24" s="12">
        <f>IF(COUNT('Чадвар'!D24:AD24)=0,"",ROUND(COUNTIF('Чадвар'!D24:AD24,1)/27*100,1))</f>
        <v/>
      </c>
      <c r="E24" s="12">
        <f>IF(COUNT('Төлөвшил'!D24:I24)=0,"",ROUND(COUNTIF('Төлөвшил'!D24:I24,1)/6*100,1))</f>
        <v/>
      </c>
      <c r="F24" s="12">
        <f>COUNTIF('Мэдлэг'!D24:K24,1)+COUNTIF('Чадвар'!D24:AD24,1)+COUNTIF('Төлөвшил'!D24:I24,1)</f>
        <v/>
      </c>
      <c r="G24" s="12">
        <f>IF((COUNT('Мэдлэг'!D24:K24)+COUNT('Чадвар'!D24:AD24)+COUNT('Төлөвшил'!D24:I24))=0,"",ROUND(F24/41*100,1))</f>
        <v/>
      </c>
      <c r="H24" s="14">
        <f>IF(G24="","",IF(G24&gt;=Нэгтгэл!$K$4,"Хангалттай эзэмшиж байна",IF(G24&gt;=Нэгтгэл!$K$5,"Ахиж байна","Хөгжиж байна")))</f>
        <v/>
      </c>
    </row>
    <row r="25" ht="16" customHeight="1">
      <c r="A25" s="12" t="n">
        <v>19</v>
      </c>
      <c r="B25" s="13" t="inlineStr">
        <is>
          <t>Х-19</t>
        </is>
      </c>
      <c r="C25" s="12">
        <f>IF(COUNT('Мэдлэг'!D25:K25)=0,"",ROUND(COUNTIF('Мэдлэг'!D25:K25,1)/8*100,1))</f>
        <v/>
      </c>
      <c r="D25" s="12">
        <f>IF(COUNT('Чадвар'!D25:AD25)=0,"",ROUND(COUNTIF('Чадвар'!D25:AD25,1)/27*100,1))</f>
        <v/>
      </c>
      <c r="E25" s="12">
        <f>IF(COUNT('Төлөвшил'!D25:I25)=0,"",ROUND(COUNTIF('Төлөвшил'!D25:I25,1)/6*100,1))</f>
        <v/>
      </c>
      <c r="F25" s="12">
        <f>COUNTIF('Мэдлэг'!D25:K25,1)+COUNTIF('Чадвар'!D25:AD25,1)+COUNTIF('Төлөвшил'!D25:I25,1)</f>
        <v/>
      </c>
      <c r="G25" s="12">
        <f>IF((COUNT('Мэдлэг'!D25:K25)+COUNT('Чадвар'!D25:AD25)+COUNT('Төлөвшил'!D25:I25))=0,"",ROUND(F25/41*100,1))</f>
        <v/>
      </c>
      <c r="H25" s="14">
        <f>IF(G25="","",IF(G25&gt;=Нэгтгэл!$K$4,"Хангалттай эзэмшиж байна",IF(G25&gt;=Нэгтгэл!$K$5,"Ахиж байна","Хөгжиж байна")))</f>
        <v/>
      </c>
    </row>
    <row r="26" ht="16" customHeight="1">
      <c r="A26" s="12" t="n">
        <v>20</v>
      </c>
      <c r="B26" s="13" t="inlineStr">
        <is>
          <t>Х-20</t>
        </is>
      </c>
      <c r="C26" s="12">
        <f>IF(COUNT('Мэдлэг'!D26:K26)=0,"",ROUND(COUNTIF('Мэдлэг'!D26:K26,1)/8*100,1))</f>
        <v/>
      </c>
      <c r="D26" s="12">
        <f>IF(COUNT('Чадвар'!D26:AD26)=0,"",ROUND(COUNTIF('Чадвар'!D26:AD26,1)/27*100,1))</f>
        <v/>
      </c>
      <c r="E26" s="12">
        <f>IF(COUNT('Төлөвшил'!D26:I26)=0,"",ROUND(COUNTIF('Төлөвшил'!D26:I26,1)/6*100,1))</f>
        <v/>
      </c>
      <c r="F26" s="12">
        <f>COUNTIF('Мэдлэг'!D26:K26,1)+COUNTIF('Чадвар'!D26:AD26,1)+COUNTIF('Төлөвшил'!D26:I26,1)</f>
        <v/>
      </c>
      <c r="G26" s="12">
        <f>IF((COUNT('Мэдлэг'!D26:K26)+COUNT('Чадвар'!D26:AD26)+COUNT('Төлөвшил'!D26:I26))=0,"",ROUND(F26/41*100,1))</f>
        <v/>
      </c>
      <c r="H26" s="14">
        <f>IF(G26="","",IF(G26&gt;=Нэгтгэл!$K$4,"Хангалттай эзэмшиж байна",IF(G26&gt;=Нэгтгэл!$K$5,"Ахиж байна","Хөгжиж байна")))</f>
        <v/>
      </c>
    </row>
    <row r="27" ht="16" customHeight="1">
      <c r="A27" s="12" t="n">
        <v>21</v>
      </c>
      <c r="B27" s="13" t="inlineStr">
        <is>
          <t>Х-21</t>
        </is>
      </c>
      <c r="C27" s="12">
        <f>IF(COUNT('Мэдлэг'!D27:K27)=0,"",ROUND(COUNTIF('Мэдлэг'!D27:K27,1)/8*100,1))</f>
        <v/>
      </c>
      <c r="D27" s="12">
        <f>IF(COUNT('Чадвар'!D27:AD27)=0,"",ROUND(COUNTIF('Чадвар'!D27:AD27,1)/27*100,1))</f>
        <v/>
      </c>
      <c r="E27" s="12">
        <f>IF(COUNT('Төлөвшил'!D27:I27)=0,"",ROUND(COUNTIF('Төлөвшил'!D27:I27,1)/6*100,1))</f>
        <v/>
      </c>
      <c r="F27" s="12">
        <f>COUNTIF('Мэдлэг'!D27:K27,1)+COUNTIF('Чадвар'!D27:AD27,1)+COUNTIF('Төлөвшил'!D27:I27,1)</f>
        <v/>
      </c>
      <c r="G27" s="12">
        <f>IF((COUNT('Мэдлэг'!D27:K27)+COUNT('Чадвар'!D27:AD27)+COUNT('Төлөвшил'!D27:I27))=0,"",ROUND(F27/41*100,1))</f>
        <v/>
      </c>
      <c r="H27" s="14">
        <f>IF(G27="","",IF(G27&gt;=Нэгтгэл!$K$4,"Хангалттай эзэмшиж байна",IF(G27&gt;=Нэгтгэл!$K$5,"Ахиж байна","Хөгжиж байна")))</f>
        <v/>
      </c>
    </row>
    <row r="28" ht="16" customHeight="1">
      <c r="A28" s="12" t="n">
        <v>22</v>
      </c>
      <c r="B28" s="13" t="inlineStr">
        <is>
          <t>Х-22</t>
        </is>
      </c>
      <c r="C28" s="12">
        <f>IF(COUNT('Мэдлэг'!D28:K28)=0,"",ROUND(COUNTIF('Мэдлэг'!D28:K28,1)/8*100,1))</f>
        <v/>
      </c>
      <c r="D28" s="12">
        <f>IF(COUNT('Чадвар'!D28:AD28)=0,"",ROUND(COUNTIF('Чадвар'!D28:AD28,1)/27*100,1))</f>
        <v/>
      </c>
      <c r="E28" s="12">
        <f>IF(COUNT('Төлөвшил'!D28:I28)=0,"",ROUND(COUNTIF('Төлөвшил'!D28:I28,1)/6*100,1))</f>
        <v/>
      </c>
      <c r="F28" s="12">
        <f>COUNTIF('Мэдлэг'!D28:K28,1)+COUNTIF('Чадвар'!D28:AD28,1)+COUNTIF('Төлөвшил'!D28:I28,1)</f>
        <v/>
      </c>
      <c r="G28" s="12">
        <f>IF((COUNT('Мэдлэг'!D28:K28)+COUNT('Чадвар'!D28:AD28)+COUNT('Төлөвшил'!D28:I28))=0,"",ROUND(F28/41*100,1))</f>
        <v/>
      </c>
      <c r="H28" s="14">
        <f>IF(G28="","",IF(G28&gt;=Нэгтгэл!$K$4,"Хангалттай эзэмшиж байна",IF(G28&gt;=Нэгтгэл!$K$5,"Ахиж байна","Хөгжиж байна")))</f>
        <v/>
      </c>
    </row>
    <row r="29" ht="16" customHeight="1">
      <c r="A29" s="12" t="n">
        <v>23</v>
      </c>
      <c r="B29" s="13" t="inlineStr">
        <is>
          <t>Х-23</t>
        </is>
      </c>
      <c r="C29" s="12">
        <f>IF(COUNT('Мэдлэг'!D29:K29)=0,"",ROUND(COUNTIF('Мэдлэг'!D29:K29,1)/8*100,1))</f>
        <v/>
      </c>
      <c r="D29" s="12">
        <f>IF(COUNT('Чадвар'!D29:AD29)=0,"",ROUND(COUNTIF('Чадвар'!D29:AD29,1)/27*100,1))</f>
        <v/>
      </c>
      <c r="E29" s="12">
        <f>IF(COUNT('Төлөвшил'!D29:I29)=0,"",ROUND(COUNTIF('Төлөвшил'!D29:I29,1)/6*100,1))</f>
        <v/>
      </c>
      <c r="F29" s="12">
        <f>COUNTIF('Мэдлэг'!D29:K29,1)+COUNTIF('Чадвар'!D29:AD29,1)+COUNTIF('Төлөвшил'!D29:I29,1)</f>
        <v/>
      </c>
      <c r="G29" s="12">
        <f>IF((COUNT('Мэдлэг'!D29:K29)+COUNT('Чадвар'!D29:AD29)+COUNT('Төлөвшил'!D29:I29))=0,"",ROUND(F29/41*100,1))</f>
        <v/>
      </c>
      <c r="H29" s="14">
        <f>IF(G29="","",IF(G29&gt;=Нэгтгэл!$K$4,"Хангалттай эзэмшиж байна",IF(G29&gt;=Нэгтгэл!$K$5,"Ахиж байна","Хөгжиж байна")))</f>
        <v/>
      </c>
    </row>
    <row r="30" ht="16" customHeight="1">
      <c r="A30" s="12" t="n">
        <v>24</v>
      </c>
      <c r="B30" s="13" t="inlineStr">
        <is>
          <t>Х-24</t>
        </is>
      </c>
      <c r="C30" s="12">
        <f>IF(COUNT('Мэдлэг'!D30:K30)=0,"",ROUND(COUNTIF('Мэдлэг'!D30:K30,1)/8*100,1))</f>
        <v/>
      </c>
      <c r="D30" s="12">
        <f>IF(COUNT('Чадвар'!D30:AD30)=0,"",ROUND(COUNTIF('Чадвар'!D30:AD30,1)/27*100,1))</f>
        <v/>
      </c>
      <c r="E30" s="12">
        <f>IF(COUNT('Төлөвшил'!D30:I30)=0,"",ROUND(COUNTIF('Төлөвшил'!D30:I30,1)/6*100,1))</f>
        <v/>
      </c>
      <c r="F30" s="12">
        <f>COUNTIF('Мэдлэг'!D30:K30,1)+COUNTIF('Чадвар'!D30:AD30,1)+COUNTIF('Төлөвшил'!D30:I30,1)</f>
        <v/>
      </c>
      <c r="G30" s="12">
        <f>IF((COUNT('Мэдлэг'!D30:K30)+COUNT('Чадвар'!D30:AD30)+COUNT('Төлөвшил'!D30:I30))=0,"",ROUND(F30/41*100,1))</f>
        <v/>
      </c>
      <c r="H30" s="14">
        <f>IF(G30="","",IF(G30&gt;=Нэгтгэл!$K$4,"Хангалттай эзэмшиж байна",IF(G30&gt;=Нэгтгэл!$K$5,"Ахиж байна","Хөгжиж байна")))</f>
        <v/>
      </c>
    </row>
    <row r="31" ht="16" customHeight="1">
      <c r="A31" s="12" t="n">
        <v>25</v>
      </c>
      <c r="B31" s="13" t="inlineStr">
        <is>
          <t>Х-25</t>
        </is>
      </c>
      <c r="C31" s="12">
        <f>IF(COUNT('Мэдлэг'!D31:K31)=0,"",ROUND(COUNTIF('Мэдлэг'!D31:K31,1)/8*100,1))</f>
        <v/>
      </c>
      <c r="D31" s="12">
        <f>IF(COUNT('Чадвар'!D31:AD31)=0,"",ROUND(COUNTIF('Чадвар'!D31:AD31,1)/27*100,1))</f>
        <v/>
      </c>
      <c r="E31" s="12">
        <f>IF(COUNT('Төлөвшил'!D31:I31)=0,"",ROUND(COUNTIF('Төлөвшил'!D31:I31,1)/6*100,1))</f>
        <v/>
      </c>
      <c r="F31" s="12">
        <f>COUNTIF('Мэдлэг'!D31:K31,1)+COUNTIF('Чадвар'!D31:AD31,1)+COUNTIF('Төлөвшил'!D31:I31,1)</f>
        <v/>
      </c>
      <c r="G31" s="12">
        <f>IF((COUNT('Мэдлэг'!D31:K31)+COUNT('Чадвар'!D31:AD31)+COUNT('Төлөвшил'!D31:I31))=0,"",ROUND(F31/41*100,1))</f>
        <v/>
      </c>
      <c r="H31" s="14">
        <f>IF(G31="","",IF(G31&gt;=Нэгтгэл!$K$4,"Хангалттай эзэмшиж байна",IF(G31&gt;=Нэгтгэл!$K$5,"Ахиж байна","Хөгжиж байна")))</f>
        <v/>
      </c>
    </row>
    <row r="32" ht="16" customHeight="1">
      <c r="A32" s="12" t="n">
        <v>26</v>
      </c>
      <c r="B32" s="13" t="inlineStr">
        <is>
          <t>Х-26</t>
        </is>
      </c>
      <c r="C32" s="12">
        <f>IF(COUNT('Мэдлэг'!D32:K32)=0,"",ROUND(COUNTIF('Мэдлэг'!D32:K32,1)/8*100,1))</f>
        <v/>
      </c>
      <c r="D32" s="12">
        <f>IF(COUNT('Чадвар'!D32:AD32)=0,"",ROUND(COUNTIF('Чадвар'!D32:AD32,1)/27*100,1))</f>
        <v/>
      </c>
      <c r="E32" s="12">
        <f>IF(COUNT('Төлөвшил'!D32:I32)=0,"",ROUND(COUNTIF('Төлөвшил'!D32:I32,1)/6*100,1))</f>
        <v/>
      </c>
      <c r="F32" s="12">
        <f>COUNTIF('Мэдлэг'!D32:K32,1)+COUNTIF('Чадвар'!D32:AD32,1)+COUNTIF('Төлөвшил'!D32:I32,1)</f>
        <v/>
      </c>
      <c r="G32" s="12">
        <f>IF((COUNT('Мэдлэг'!D32:K32)+COUNT('Чадвар'!D32:AD32)+COUNT('Төлөвшил'!D32:I32))=0,"",ROUND(F32/41*100,1))</f>
        <v/>
      </c>
      <c r="H32" s="14">
        <f>IF(G32="","",IF(G32&gt;=Нэгтгэл!$K$4,"Хангалттай эзэмшиж байна",IF(G32&gt;=Нэгтгэл!$K$5,"Ахиж байна","Хөгжиж байна")))</f>
        <v/>
      </c>
    </row>
    <row r="33" ht="16" customHeight="1">
      <c r="A33" s="12" t="n">
        <v>27</v>
      </c>
      <c r="B33" s="13" t="inlineStr">
        <is>
          <t>Х-27</t>
        </is>
      </c>
      <c r="C33" s="12">
        <f>IF(COUNT('Мэдлэг'!D33:K33)=0,"",ROUND(COUNTIF('Мэдлэг'!D33:K33,1)/8*100,1))</f>
        <v/>
      </c>
      <c r="D33" s="12">
        <f>IF(COUNT('Чадвар'!D33:AD33)=0,"",ROUND(COUNTIF('Чадвар'!D33:AD33,1)/27*100,1))</f>
        <v/>
      </c>
      <c r="E33" s="12">
        <f>IF(COUNT('Төлөвшил'!D33:I33)=0,"",ROUND(COUNTIF('Төлөвшил'!D33:I33,1)/6*100,1))</f>
        <v/>
      </c>
      <c r="F33" s="12">
        <f>COUNTIF('Мэдлэг'!D33:K33,1)+COUNTIF('Чадвар'!D33:AD33,1)+COUNTIF('Төлөвшил'!D33:I33,1)</f>
        <v/>
      </c>
      <c r="G33" s="12">
        <f>IF((COUNT('Мэдлэг'!D33:K33)+COUNT('Чадвар'!D33:AD33)+COUNT('Төлөвшил'!D33:I33))=0,"",ROUND(F33/41*100,1))</f>
        <v/>
      </c>
      <c r="H33" s="14">
        <f>IF(G33="","",IF(G33&gt;=Нэгтгэл!$K$4,"Хангалттай эзэмшиж байна",IF(G33&gt;=Нэгтгэл!$K$5,"Ахиж байна","Хөгжиж байна")))</f>
        <v/>
      </c>
    </row>
    <row r="34" ht="16" customHeight="1">
      <c r="A34" s="12" t="n">
        <v>28</v>
      </c>
      <c r="B34" s="13" t="inlineStr">
        <is>
          <t>Х-28</t>
        </is>
      </c>
      <c r="C34" s="12">
        <f>IF(COUNT('Мэдлэг'!D34:K34)=0,"",ROUND(COUNTIF('Мэдлэг'!D34:K34,1)/8*100,1))</f>
        <v/>
      </c>
      <c r="D34" s="12">
        <f>IF(COUNT('Чадвар'!D34:AD34)=0,"",ROUND(COUNTIF('Чадвар'!D34:AD34,1)/27*100,1))</f>
        <v/>
      </c>
      <c r="E34" s="12">
        <f>IF(COUNT('Төлөвшил'!D34:I34)=0,"",ROUND(COUNTIF('Төлөвшил'!D34:I34,1)/6*100,1))</f>
        <v/>
      </c>
      <c r="F34" s="12">
        <f>COUNTIF('Мэдлэг'!D34:K34,1)+COUNTIF('Чадвар'!D34:AD34,1)+COUNTIF('Төлөвшил'!D34:I34,1)</f>
        <v/>
      </c>
      <c r="G34" s="12">
        <f>IF((COUNT('Мэдлэг'!D34:K34)+COUNT('Чадвар'!D34:AD34)+COUNT('Төлөвшил'!D34:I34))=0,"",ROUND(F34/41*100,1))</f>
        <v/>
      </c>
      <c r="H34" s="14">
        <f>IF(G34="","",IF(G34&gt;=Нэгтгэл!$K$4,"Хангалттай эзэмшиж байна",IF(G34&gt;=Нэгтгэл!$K$5,"Ахиж байна","Хөгжиж байна")))</f>
        <v/>
      </c>
    </row>
    <row r="35" ht="16" customHeight="1">
      <c r="A35" s="12" t="n">
        <v>29</v>
      </c>
      <c r="B35" s="13" t="inlineStr">
        <is>
          <t>Х-29</t>
        </is>
      </c>
      <c r="C35" s="12">
        <f>IF(COUNT('Мэдлэг'!D35:K35)=0,"",ROUND(COUNTIF('Мэдлэг'!D35:K35,1)/8*100,1))</f>
        <v/>
      </c>
      <c r="D35" s="12">
        <f>IF(COUNT('Чадвар'!D35:AD35)=0,"",ROUND(COUNTIF('Чадвар'!D35:AD35,1)/27*100,1))</f>
        <v/>
      </c>
      <c r="E35" s="12">
        <f>IF(COUNT('Төлөвшил'!D35:I35)=0,"",ROUND(COUNTIF('Төлөвшил'!D35:I35,1)/6*100,1))</f>
        <v/>
      </c>
      <c r="F35" s="12">
        <f>COUNTIF('Мэдлэг'!D35:K35,1)+COUNTIF('Чадвар'!D35:AD35,1)+COUNTIF('Төлөвшил'!D35:I35,1)</f>
        <v/>
      </c>
      <c r="G35" s="12">
        <f>IF((COUNT('Мэдлэг'!D35:K35)+COUNT('Чадвар'!D35:AD35)+COUNT('Төлөвшил'!D35:I35))=0,"",ROUND(F35/41*100,1))</f>
        <v/>
      </c>
      <c r="H35" s="14">
        <f>IF(G35="","",IF(G35&gt;=Нэгтгэл!$K$4,"Хангалттай эзэмшиж байна",IF(G35&gt;=Нэгтгэл!$K$5,"Ахиж байна","Хөгжиж байна")))</f>
        <v/>
      </c>
    </row>
    <row r="36" ht="16" customHeight="1">
      <c r="A36" s="12" t="n">
        <v>30</v>
      </c>
      <c r="B36" s="13" t="inlineStr">
        <is>
          <t>Х-30</t>
        </is>
      </c>
      <c r="C36" s="12">
        <f>IF(COUNT('Мэдлэг'!D36:K36)=0,"",ROUND(COUNTIF('Мэдлэг'!D36:K36,1)/8*100,1))</f>
        <v/>
      </c>
      <c r="D36" s="12">
        <f>IF(COUNT('Чадвар'!D36:AD36)=0,"",ROUND(COUNTIF('Чадвар'!D36:AD36,1)/27*100,1))</f>
        <v/>
      </c>
      <c r="E36" s="12">
        <f>IF(COUNT('Төлөвшил'!D36:I36)=0,"",ROUND(COUNTIF('Төлөвшил'!D36:I36,1)/6*100,1))</f>
        <v/>
      </c>
      <c r="F36" s="12">
        <f>COUNTIF('Мэдлэг'!D36:K36,1)+COUNTIF('Чадвар'!D36:AD36,1)+COUNTIF('Төлөвшил'!D36:I36,1)</f>
        <v/>
      </c>
      <c r="G36" s="12">
        <f>IF((COUNT('Мэдлэг'!D36:K36)+COUNT('Чадвар'!D36:AD36)+COUNT('Төлөвшил'!D36:I36))=0,"",ROUND(F36/41*100,1))</f>
        <v/>
      </c>
      <c r="H36" s="14">
        <f>IF(G36="","",IF(G36&gt;=Нэгтгэл!$K$4,"Хангалттай эзэмшиж байна",IF(G36&gt;=Нэгтгэл!$K$5,"Ахиж байна","Хөгжиж байна")))</f>
        <v/>
      </c>
    </row>
    <row r="37" ht="16" customHeight="1">
      <c r="A37" s="12" t="n">
        <v>31</v>
      </c>
      <c r="B37" s="13" t="inlineStr">
        <is>
          <t>Х-31</t>
        </is>
      </c>
      <c r="C37" s="12">
        <f>IF(COUNT('Мэдлэг'!D37:K37)=0,"",ROUND(COUNTIF('Мэдлэг'!D37:K37,1)/8*100,1))</f>
        <v/>
      </c>
      <c r="D37" s="12">
        <f>IF(COUNT('Чадвар'!D37:AD37)=0,"",ROUND(COUNTIF('Чадвар'!D37:AD37,1)/27*100,1))</f>
        <v/>
      </c>
      <c r="E37" s="12">
        <f>IF(COUNT('Төлөвшил'!D37:I37)=0,"",ROUND(COUNTIF('Төлөвшил'!D37:I37,1)/6*100,1))</f>
        <v/>
      </c>
      <c r="F37" s="12">
        <f>COUNTIF('Мэдлэг'!D37:K37,1)+COUNTIF('Чадвар'!D37:AD37,1)+COUNTIF('Төлөвшил'!D37:I37,1)</f>
        <v/>
      </c>
      <c r="G37" s="12">
        <f>IF((COUNT('Мэдлэг'!D37:K37)+COUNT('Чадвар'!D37:AD37)+COUNT('Төлөвшил'!D37:I37))=0,"",ROUND(F37/41*100,1))</f>
        <v/>
      </c>
      <c r="H37" s="14">
        <f>IF(G37="","",IF(G37&gt;=Нэгтгэл!$K$4,"Хангалттай эзэмшиж байна",IF(G37&gt;=Нэгтгэл!$K$5,"Ахиж байна","Хөгжиж байна")))</f>
        <v/>
      </c>
    </row>
    <row r="38" ht="16" customHeight="1">
      <c r="A38" s="12" t="n">
        <v>32</v>
      </c>
      <c r="B38" s="13" t="inlineStr">
        <is>
          <t>Х-32</t>
        </is>
      </c>
      <c r="C38" s="12">
        <f>IF(COUNT('Мэдлэг'!D38:K38)=0,"",ROUND(COUNTIF('Мэдлэг'!D38:K38,1)/8*100,1))</f>
        <v/>
      </c>
      <c r="D38" s="12">
        <f>IF(COUNT('Чадвар'!D38:AD38)=0,"",ROUND(COUNTIF('Чадвар'!D38:AD38,1)/27*100,1))</f>
        <v/>
      </c>
      <c r="E38" s="12">
        <f>IF(COUNT('Төлөвшил'!D38:I38)=0,"",ROUND(COUNTIF('Төлөвшил'!D38:I38,1)/6*100,1))</f>
        <v/>
      </c>
      <c r="F38" s="12">
        <f>COUNTIF('Мэдлэг'!D38:K38,1)+COUNTIF('Чадвар'!D38:AD38,1)+COUNTIF('Төлөвшил'!D38:I38,1)</f>
        <v/>
      </c>
      <c r="G38" s="12">
        <f>IF((COUNT('Мэдлэг'!D38:K38)+COUNT('Чадвар'!D38:AD38)+COUNT('Төлөвшил'!D38:I38))=0,"",ROUND(F38/41*100,1))</f>
        <v/>
      </c>
      <c r="H38" s="14">
        <f>IF(G38="","",IF(G38&gt;=Нэгтгэл!$K$4,"Хангалттай эзэмшиж байна",IF(G38&gt;=Нэгтгэл!$K$5,"Ахиж байна","Хөгжиж байна")))</f>
        <v/>
      </c>
    </row>
    <row r="39" ht="16" customHeight="1">
      <c r="A39" s="12" t="n">
        <v>33</v>
      </c>
      <c r="B39" s="13" t="inlineStr">
        <is>
          <t>Х-33</t>
        </is>
      </c>
      <c r="C39" s="12">
        <f>IF(COUNT('Мэдлэг'!D39:K39)=0,"",ROUND(COUNTIF('Мэдлэг'!D39:K39,1)/8*100,1))</f>
        <v/>
      </c>
      <c r="D39" s="12">
        <f>IF(COUNT('Чадвар'!D39:AD39)=0,"",ROUND(COUNTIF('Чадвар'!D39:AD39,1)/27*100,1))</f>
        <v/>
      </c>
      <c r="E39" s="12">
        <f>IF(COUNT('Төлөвшил'!D39:I39)=0,"",ROUND(COUNTIF('Төлөвшил'!D39:I39,1)/6*100,1))</f>
        <v/>
      </c>
      <c r="F39" s="12">
        <f>COUNTIF('Мэдлэг'!D39:K39,1)+COUNTIF('Чадвар'!D39:AD39,1)+COUNTIF('Төлөвшил'!D39:I39,1)</f>
        <v/>
      </c>
      <c r="G39" s="12">
        <f>IF((COUNT('Мэдлэг'!D39:K39)+COUNT('Чадвар'!D39:AD39)+COUNT('Төлөвшил'!D39:I39))=0,"",ROUND(F39/41*100,1))</f>
        <v/>
      </c>
      <c r="H39" s="14">
        <f>IF(G39="","",IF(G39&gt;=Нэгтгэл!$K$4,"Хангалттай эзэмшиж байна",IF(G39&gt;=Нэгтгэл!$K$5,"Ахиж байна","Хөгжиж байна")))</f>
        <v/>
      </c>
    </row>
    <row r="40" ht="16" customHeight="1">
      <c r="A40" s="12" t="n">
        <v>34</v>
      </c>
      <c r="B40" s="13" t="inlineStr">
        <is>
          <t>Х-34</t>
        </is>
      </c>
      <c r="C40" s="12">
        <f>IF(COUNT('Мэдлэг'!D40:K40)=0,"",ROUND(COUNTIF('Мэдлэг'!D40:K40,1)/8*100,1))</f>
        <v/>
      </c>
      <c r="D40" s="12">
        <f>IF(COUNT('Чадвар'!D40:AD40)=0,"",ROUND(COUNTIF('Чадвар'!D40:AD40,1)/27*100,1))</f>
        <v/>
      </c>
      <c r="E40" s="12">
        <f>IF(COUNT('Төлөвшил'!D40:I40)=0,"",ROUND(COUNTIF('Төлөвшил'!D40:I40,1)/6*100,1))</f>
        <v/>
      </c>
      <c r="F40" s="12">
        <f>COUNTIF('Мэдлэг'!D40:K40,1)+COUNTIF('Чадвар'!D40:AD40,1)+COUNTIF('Төлөвшил'!D40:I40,1)</f>
        <v/>
      </c>
      <c r="G40" s="12">
        <f>IF((COUNT('Мэдлэг'!D40:K40)+COUNT('Чадвар'!D40:AD40)+COUNT('Төлөвшил'!D40:I40))=0,"",ROUND(F40/41*100,1))</f>
        <v/>
      </c>
      <c r="H40" s="14">
        <f>IF(G40="","",IF(G40&gt;=Нэгтгэл!$K$4,"Хангалттай эзэмшиж байна",IF(G40&gt;=Нэгтгэл!$K$5,"Ахиж байна","Хөгжиж байна")))</f>
        <v/>
      </c>
    </row>
    <row r="41" ht="16" customHeight="1">
      <c r="A41" s="12" t="n">
        <v>35</v>
      </c>
      <c r="B41" s="13" t="inlineStr">
        <is>
          <t>Х-35</t>
        </is>
      </c>
      <c r="C41" s="12">
        <f>IF(COUNT('Мэдлэг'!D41:K41)=0,"",ROUND(COUNTIF('Мэдлэг'!D41:K41,1)/8*100,1))</f>
        <v/>
      </c>
      <c r="D41" s="12">
        <f>IF(COUNT('Чадвар'!D41:AD41)=0,"",ROUND(COUNTIF('Чадвар'!D41:AD41,1)/27*100,1))</f>
        <v/>
      </c>
      <c r="E41" s="12">
        <f>IF(COUNT('Төлөвшил'!D41:I41)=0,"",ROUND(COUNTIF('Төлөвшил'!D41:I41,1)/6*100,1))</f>
        <v/>
      </c>
      <c r="F41" s="12">
        <f>COUNTIF('Мэдлэг'!D41:K41,1)+COUNTIF('Чадвар'!D41:AD41,1)+COUNTIF('Төлөвшил'!D41:I41,1)</f>
        <v/>
      </c>
      <c r="G41" s="12">
        <f>IF((COUNT('Мэдлэг'!D41:K41)+COUNT('Чадвар'!D41:AD41)+COUNT('Төлөвшил'!D41:I41))=0,"",ROUND(F41/41*100,1))</f>
        <v/>
      </c>
      <c r="H41" s="14">
        <f>IF(G41="","",IF(G41&gt;=Нэгтгэл!$K$4,"Хангалттай эзэмшиж байна",IF(G41&gt;=Нэгтгэл!$K$5,"Ахиж байна","Хөгжиж байна")))</f>
        <v/>
      </c>
    </row>
    <row r="42" ht="16" customHeight="1">
      <c r="A42" s="12" t="n">
        <v>36</v>
      </c>
      <c r="B42" s="13" t="inlineStr">
        <is>
          <t>Х-36</t>
        </is>
      </c>
      <c r="C42" s="12">
        <f>IF(COUNT('Мэдлэг'!D42:K42)=0,"",ROUND(COUNTIF('Мэдлэг'!D42:K42,1)/8*100,1))</f>
        <v/>
      </c>
      <c r="D42" s="12">
        <f>IF(COUNT('Чадвар'!D42:AD42)=0,"",ROUND(COUNTIF('Чадвар'!D42:AD42,1)/27*100,1))</f>
        <v/>
      </c>
      <c r="E42" s="12">
        <f>IF(COUNT('Төлөвшил'!D42:I42)=0,"",ROUND(COUNTIF('Төлөвшил'!D42:I42,1)/6*100,1))</f>
        <v/>
      </c>
      <c r="F42" s="12">
        <f>COUNTIF('Мэдлэг'!D42:K42,1)+COUNTIF('Чадвар'!D42:AD42,1)+COUNTIF('Төлөвшил'!D42:I42,1)</f>
        <v/>
      </c>
      <c r="G42" s="12">
        <f>IF((COUNT('Мэдлэг'!D42:K42)+COUNT('Чадвар'!D42:AD42)+COUNT('Төлөвшил'!D42:I42))=0,"",ROUND(F42/41*100,1))</f>
        <v/>
      </c>
      <c r="H42" s="14">
        <f>IF(G42="","",IF(G42&gt;=Нэгтгэл!$K$4,"Хангалттай эзэмшиж байна",IF(G42&gt;=Нэгтгэл!$K$5,"Ахиж байна","Хөгжиж байна")))</f>
        <v/>
      </c>
    </row>
    <row r="43" ht="16" customHeight="1">
      <c r="A43" s="12" t="n">
        <v>37</v>
      </c>
      <c r="B43" s="13" t="inlineStr">
        <is>
          <t>Х-37</t>
        </is>
      </c>
      <c r="C43" s="12">
        <f>IF(COUNT('Мэдлэг'!D43:K43)=0,"",ROUND(COUNTIF('Мэдлэг'!D43:K43,1)/8*100,1))</f>
        <v/>
      </c>
      <c r="D43" s="12">
        <f>IF(COUNT('Чадвар'!D43:AD43)=0,"",ROUND(COUNTIF('Чадвар'!D43:AD43,1)/27*100,1))</f>
        <v/>
      </c>
      <c r="E43" s="12">
        <f>IF(COUNT('Төлөвшил'!D43:I43)=0,"",ROUND(COUNTIF('Төлөвшил'!D43:I43,1)/6*100,1))</f>
        <v/>
      </c>
      <c r="F43" s="12">
        <f>COUNTIF('Мэдлэг'!D43:K43,1)+COUNTIF('Чадвар'!D43:AD43,1)+COUNTIF('Төлөвшил'!D43:I43,1)</f>
        <v/>
      </c>
      <c r="G43" s="12">
        <f>IF((COUNT('Мэдлэг'!D43:K43)+COUNT('Чадвар'!D43:AD43)+COUNT('Төлөвшил'!D43:I43))=0,"",ROUND(F43/41*100,1))</f>
        <v/>
      </c>
      <c r="H43" s="14">
        <f>IF(G43="","",IF(G43&gt;=Нэгтгэл!$K$4,"Хангалттай эзэмшиж байна",IF(G43&gt;=Нэгтгэл!$K$5,"Ахиж байна","Хөгжиж байна")))</f>
        <v/>
      </c>
    </row>
    <row r="44" ht="16" customHeight="1">
      <c r="A44" s="12" t="n">
        <v>38</v>
      </c>
      <c r="B44" s="13" t="inlineStr">
        <is>
          <t>Х-38</t>
        </is>
      </c>
      <c r="C44" s="12">
        <f>IF(COUNT('Мэдлэг'!D44:K44)=0,"",ROUND(COUNTIF('Мэдлэг'!D44:K44,1)/8*100,1))</f>
        <v/>
      </c>
      <c r="D44" s="12">
        <f>IF(COUNT('Чадвар'!D44:AD44)=0,"",ROUND(COUNTIF('Чадвар'!D44:AD44,1)/27*100,1))</f>
        <v/>
      </c>
      <c r="E44" s="12">
        <f>IF(COUNT('Төлөвшил'!D44:I44)=0,"",ROUND(COUNTIF('Төлөвшил'!D44:I44,1)/6*100,1))</f>
        <v/>
      </c>
      <c r="F44" s="12">
        <f>COUNTIF('Мэдлэг'!D44:K44,1)+COUNTIF('Чадвар'!D44:AD44,1)+COUNTIF('Төлөвшил'!D44:I44,1)</f>
        <v/>
      </c>
      <c r="G44" s="12">
        <f>IF((COUNT('Мэдлэг'!D44:K44)+COUNT('Чадвар'!D44:AD44)+COUNT('Төлөвшил'!D44:I44))=0,"",ROUND(F44/41*100,1))</f>
        <v/>
      </c>
      <c r="H44" s="14">
        <f>IF(G44="","",IF(G44&gt;=Нэгтгэл!$K$4,"Хангалттай эзэмшиж байна",IF(G44&gt;=Нэгтгэл!$K$5,"Ахиж байна","Хөгжиж байна")))</f>
        <v/>
      </c>
    </row>
    <row r="45" ht="16" customHeight="1">
      <c r="A45" s="12" t="n">
        <v>39</v>
      </c>
      <c r="B45" s="13" t="inlineStr">
        <is>
          <t>Х-39</t>
        </is>
      </c>
      <c r="C45" s="12">
        <f>IF(COUNT('Мэдлэг'!D45:K45)=0,"",ROUND(COUNTIF('Мэдлэг'!D45:K45,1)/8*100,1))</f>
        <v/>
      </c>
      <c r="D45" s="12">
        <f>IF(COUNT('Чадвар'!D45:AD45)=0,"",ROUND(COUNTIF('Чадвар'!D45:AD45,1)/27*100,1))</f>
        <v/>
      </c>
      <c r="E45" s="12">
        <f>IF(COUNT('Төлөвшил'!D45:I45)=0,"",ROUND(COUNTIF('Төлөвшил'!D45:I45,1)/6*100,1))</f>
        <v/>
      </c>
      <c r="F45" s="12">
        <f>COUNTIF('Мэдлэг'!D45:K45,1)+COUNTIF('Чадвар'!D45:AD45,1)+COUNTIF('Төлөвшил'!D45:I45,1)</f>
        <v/>
      </c>
      <c r="G45" s="12">
        <f>IF((COUNT('Мэдлэг'!D45:K45)+COUNT('Чадвар'!D45:AD45)+COUNT('Төлөвшил'!D45:I45))=0,"",ROUND(F45/41*100,1))</f>
        <v/>
      </c>
      <c r="H45" s="14">
        <f>IF(G45="","",IF(G45&gt;=Нэгтгэл!$K$4,"Хангалттай эзэмшиж байна",IF(G45&gt;=Нэгтгэл!$K$5,"Ахиж байна","Хөгжиж байна")))</f>
        <v/>
      </c>
    </row>
    <row r="46" ht="16" customHeight="1">
      <c r="A46" s="12" t="n">
        <v>40</v>
      </c>
      <c r="B46" s="13" t="inlineStr">
        <is>
          <t>Х-40</t>
        </is>
      </c>
      <c r="C46" s="12">
        <f>IF(COUNT('Мэдлэг'!D46:K46)=0,"",ROUND(COUNTIF('Мэдлэг'!D46:K46,1)/8*100,1))</f>
        <v/>
      </c>
      <c r="D46" s="12">
        <f>IF(COUNT('Чадвар'!D46:AD46)=0,"",ROUND(COUNTIF('Чадвар'!D46:AD46,1)/27*100,1))</f>
        <v/>
      </c>
      <c r="E46" s="12">
        <f>IF(COUNT('Төлөвшил'!D46:I46)=0,"",ROUND(COUNTIF('Төлөвшил'!D46:I46,1)/6*100,1))</f>
        <v/>
      </c>
      <c r="F46" s="12">
        <f>COUNTIF('Мэдлэг'!D46:K46,1)+COUNTIF('Чадвар'!D46:AD46,1)+COUNTIF('Төлөвшил'!D46:I46,1)</f>
        <v/>
      </c>
      <c r="G46" s="12">
        <f>IF((COUNT('Мэдлэг'!D46:K46)+COUNT('Чадвар'!D46:AD46)+COUNT('Төлөвшил'!D46:I46))=0,"",ROUND(F46/41*100,1))</f>
        <v/>
      </c>
      <c r="H46" s="14">
        <f>IF(G46="","",IF(G46&gt;=Нэгтгэл!$K$4,"Хангалттай эзэмшиж байна",IF(G46&gt;=Нэгтгэл!$K$5,"Ахиж байна","Хөгжиж байна")))</f>
        <v/>
      </c>
    </row>
    <row r="47" ht="16" customHeight="1">
      <c r="A47" s="12" t="n">
        <v>41</v>
      </c>
      <c r="B47" s="13" t="inlineStr">
        <is>
          <t>Х-41</t>
        </is>
      </c>
      <c r="C47" s="12">
        <f>IF(COUNT('Мэдлэг'!D47:K47)=0,"",ROUND(COUNTIF('Мэдлэг'!D47:K47,1)/8*100,1))</f>
        <v/>
      </c>
      <c r="D47" s="12">
        <f>IF(COUNT('Чадвар'!D47:AD47)=0,"",ROUND(COUNTIF('Чадвар'!D47:AD47,1)/27*100,1))</f>
        <v/>
      </c>
      <c r="E47" s="12">
        <f>IF(COUNT('Төлөвшил'!D47:I47)=0,"",ROUND(COUNTIF('Төлөвшил'!D47:I47,1)/6*100,1))</f>
        <v/>
      </c>
      <c r="F47" s="12">
        <f>COUNTIF('Мэдлэг'!D47:K47,1)+COUNTIF('Чадвар'!D47:AD47,1)+COUNTIF('Төлөвшил'!D47:I47,1)</f>
        <v/>
      </c>
      <c r="G47" s="12">
        <f>IF((COUNT('Мэдлэг'!D47:K47)+COUNT('Чадвар'!D47:AD47)+COUNT('Төлөвшил'!D47:I47))=0,"",ROUND(F47/41*100,1))</f>
        <v/>
      </c>
      <c r="H47" s="14">
        <f>IF(G47="","",IF(G47&gt;=Нэгтгэл!$K$4,"Хангалттай эзэмшиж байна",IF(G47&gt;=Нэгтгэл!$K$5,"Ахиж байна","Хөгжиж байна")))</f>
        <v/>
      </c>
    </row>
    <row r="48" ht="16" customHeight="1">
      <c r="A48" s="12" t="n">
        <v>42</v>
      </c>
      <c r="B48" s="13" t="inlineStr">
        <is>
          <t>Х-42</t>
        </is>
      </c>
      <c r="C48" s="12">
        <f>IF(COUNT('Мэдлэг'!D48:K48)=0,"",ROUND(COUNTIF('Мэдлэг'!D48:K48,1)/8*100,1))</f>
        <v/>
      </c>
      <c r="D48" s="12">
        <f>IF(COUNT('Чадвар'!D48:AD48)=0,"",ROUND(COUNTIF('Чадвар'!D48:AD48,1)/27*100,1))</f>
        <v/>
      </c>
      <c r="E48" s="12">
        <f>IF(COUNT('Төлөвшил'!D48:I48)=0,"",ROUND(COUNTIF('Төлөвшил'!D48:I48,1)/6*100,1))</f>
        <v/>
      </c>
      <c r="F48" s="12">
        <f>COUNTIF('Мэдлэг'!D48:K48,1)+COUNTIF('Чадвар'!D48:AD48,1)+COUNTIF('Төлөвшил'!D48:I48,1)</f>
        <v/>
      </c>
      <c r="G48" s="12">
        <f>IF((COUNT('Мэдлэг'!D48:K48)+COUNT('Чадвар'!D48:AD48)+COUNT('Төлөвшил'!D48:I48))=0,"",ROUND(F48/41*100,1))</f>
        <v/>
      </c>
      <c r="H48" s="14">
        <f>IF(G48="","",IF(G48&gt;=Нэгтгэл!$K$4,"Хангалттай эзэмшиж байна",IF(G48&gt;=Нэгтгэл!$K$5,"Ахиж байна","Хөгжиж байна")))</f>
        <v/>
      </c>
    </row>
    <row r="49" ht="16" customHeight="1">
      <c r="A49" s="12" t="n">
        <v>43</v>
      </c>
      <c r="B49" s="13" t="inlineStr">
        <is>
          <t>Х-43</t>
        </is>
      </c>
      <c r="C49" s="12">
        <f>IF(COUNT('Мэдлэг'!D49:K49)=0,"",ROUND(COUNTIF('Мэдлэг'!D49:K49,1)/8*100,1))</f>
        <v/>
      </c>
      <c r="D49" s="12">
        <f>IF(COUNT('Чадвар'!D49:AD49)=0,"",ROUND(COUNTIF('Чадвар'!D49:AD49,1)/27*100,1))</f>
        <v/>
      </c>
      <c r="E49" s="12">
        <f>IF(COUNT('Төлөвшил'!D49:I49)=0,"",ROUND(COUNTIF('Төлөвшил'!D49:I49,1)/6*100,1))</f>
        <v/>
      </c>
      <c r="F49" s="12">
        <f>COUNTIF('Мэдлэг'!D49:K49,1)+COUNTIF('Чадвар'!D49:AD49,1)+COUNTIF('Төлөвшил'!D49:I49,1)</f>
        <v/>
      </c>
      <c r="G49" s="12">
        <f>IF((COUNT('Мэдлэг'!D49:K49)+COUNT('Чадвар'!D49:AD49)+COUNT('Төлөвшил'!D49:I49))=0,"",ROUND(F49/41*100,1))</f>
        <v/>
      </c>
      <c r="H49" s="14">
        <f>IF(G49="","",IF(G49&gt;=Нэгтгэл!$K$4,"Хангалттай эзэмшиж байна",IF(G49&gt;=Нэгтгэл!$K$5,"Ахиж байна","Хөгжиж байна")))</f>
        <v/>
      </c>
    </row>
    <row r="50" ht="16" customHeight="1">
      <c r="A50" s="12" t="n">
        <v>44</v>
      </c>
      <c r="B50" s="13" t="inlineStr">
        <is>
          <t>Х-44</t>
        </is>
      </c>
      <c r="C50" s="12">
        <f>IF(COUNT('Мэдлэг'!D50:K50)=0,"",ROUND(COUNTIF('Мэдлэг'!D50:K50,1)/8*100,1))</f>
        <v/>
      </c>
      <c r="D50" s="12">
        <f>IF(COUNT('Чадвар'!D50:AD50)=0,"",ROUND(COUNTIF('Чадвар'!D50:AD50,1)/27*100,1))</f>
        <v/>
      </c>
      <c r="E50" s="12">
        <f>IF(COUNT('Төлөвшил'!D50:I50)=0,"",ROUND(COUNTIF('Төлөвшил'!D50:I50,1)/6*100,1))</f>
        <v/>
      </c>
      <c r="F50" s="12">
        <f>COUNTIF('Мэдлэг'!D50:K50,1)+COUNTIF('Чадвар'!D50:AD50,1)+COUNTIF('Төлөвшил'!D50:I50,1)</f>
        <v/>
      </c>
      <c r="G50" s="12">
        <f>IF((COUNT('Мэдлэг'!D50:K50)+COUNT('Чадвар'!D50:AD50)+COUNT('Төлөвшил'!D50:I50))=0,"",ROUND(F50/41*100,1))</f>
        <v/>
      </c>
      <c r="H50" s="14">
        <f>IF(G50="","",IF(G50&gt;=Нэгтгэл!$K$4,"Хангалттай эзэмшиж байна",IF(G50&gt;=Нэгтгэл!$K$5,"Ахиж байна","Хөгжиж байна")))</f>
        <v/>
      </c>
    </row>
    <row r="51" ht="16" customHeight="1">
      <c r="A51" s="12" t="n">
        <v>45</v>
      </c>
      <c r="B51" s="13" t="inlineStr">
        <is>
          <t>Х-45</t>
        </is>
      </c>
      <c r="C51" s="12">
        <f>IF(COUNT('Мэдлэг'!D51:K51)=0,"",ROUND(COUNTIF('Мэдлэг'!D51:K51,1)/8*100,1))</f>
        <v/>
      </c>
      <c r="D51" s="12">
        <f>IF(COUNT('Чадвар'!D51:AD51)=0,"",ROUND(COUNTIF('Чадвар'!D51:AD51,1)/27*100,1))</f>
        <v/>
      </c>
      <c r="E51" s="12">
        <f>IF(COUNT('Төлөвшил'!D51:I51)=0,"",ROUND(COUNTIF('Төлөвшил'!D51:I51,1)/6*100,1))</f>
        <v/>
      </c>
      <c r="F51" s="12">
        <f>COUNTIF('Мэдлэг'!D51:K51,1)+COUNTIF('Чадвар'!D51:AD51,1)+COUNTIF('Төлөвшил'!D51:I51,1)</f>
        <v/>
      </c>
      <c r="G51" s="12">
        <f>IF((COUNT('Мэдлэг'!D51:K51)+COUNT('Чадвар'!D51:AD51)+COUNT('Төлөвшил'!D51:I51))=0,"",ROUND(F51/41*100,1))</f>
        <v/>
      </c>
      <c r="H51" s="14">
        <f>IF(G51="","",IF(G51&gt;=Нэгтгэл!$K$4,"Хангалттай эзэмшиж байна",IF(G51&gt;=Нэгтгэл!$K$5,"Ахиж байна","Хөгжиж байна")))</f>
        <v/>
      </c>
    </row>
    <row r="52" ht="16" customHeight="1">
      <c r="A52" s="12" t="n">
        <v>46</v>
      </c>
      <c r="B52" s="13" t="inlineStr">
        <is>
          <t>Х-46</t>
        </is>
      </c>
      <c r="C52" s="12">
        <f>IF(COUNT('Мэдлэг'!D52:K52)=0,"",ROUND(COUNTIF('Мэдлэг'!D52:K52,1)/8*100,1))</f>
        <v/>
      </c>
      <c r="D52" s="12">
        <f>IF(COUNT('Чадвар'!D52:AD52)=0,"",ROUND(COUNTIF('Чадвар'!D52:AD52,1)/27*100,1))</f>
        <v/>
      </c>
      <c r="E52" s="12">
        <f>IF(COUNT('Төлөвшил'!D52:I52)=0,"",ROUND(COUNTIF('Төлөвшил'!D52:I52,1)/6*100,1))</f>
        <v/>
      </c>
      <c r="F52" s="12">
        <f>COUNTIF('Мэдлэг'!D52:K52,1)+COUNTIF('Чадвар'!D52:AD52,1)+COUNTIF('Төлөвшил'!D52:I52,1)</f>
        <v/>
      </c>
      <c r="G52" s="12">
        <f>IF((COUNT('Мэдлэг'!D52:K52)+COUNT('Чадвар'!D52:AD52)+COUNT('Төлөвшил'!D52:I52))=0,"",ROUND(F52/41*100,1))</f>
        <v/>
      </c>
      <c r="H52" s="14">
        <f>IF(G52="","",IF(G52&gt;=Нэгтгэл!$K$4,"Хангалттай эзэмшиж байна",IF(G52&gt;=Нэгтгэл!$K$5,"Ахиж байна","Хөгжиж байна")))</f>
        <v/>
      </c>
    </row>
    <row r="53" ht="16" customHeight="1">
      <c r="A53" s="12" t="n">
        <v>47</v>
      </c>
      <c r="B53" s="13" t="inlineStr">
        <is>
          <t>Х-47</t>
        </is>
      </c>
      <c r="C53" s="12">
        <f>IF(COUNT('Мэдлэг'!D53:K53)=0,"",ROUND(COUNTIF('Мэдлэг'!D53:K53,1)/8*100,1))</f>
        <v/>
      </c>
      <c r="D53" s="12">
        <f>IF(COUNT('Чадвар'!D53:AD53)=0,"",ROUND(COUNTIF('Чадвар'!D53:AD53,1)/27*100,1))</f>
        <v/>
      </c>
      <c r="E53" s="12">
        <f>IF(COUNT('Төлөвшил'!D53:I53)=0,"",ROUND(COUNTIF('Төлөвшил'!D53:I53,1)/6*100,1))</f>
        <v/>
      </c>
      <c r="F53" s="12">
        <f>COUNTIF('Мэдлэг'!D53:K53,1)+COUNTIF('Чадвар'!D53:AD53,1)+COUNTIF('Төлөвшил'!D53:I53,1)</f>
        <v/>
      </c>
      <c r="G53" s="12">
        <f>IF((COUNT('Мэдлэг'!D53:K53)+COUNT('Чадвар'!D53:AD53)+COUNT('Төлөвшил'!D53:I53))=0,"",ROUND(F53/41*100,1))</f>
        <v/>
      </c>
      <c r="H53" s="14">
        <f>IF(G53="","",IF(G53&gt;=Нэгтгэл!$K$4,"Хангалттай эзэмшиж байна",IF(G53&gt;=Нэгтгэл!$K$5,"Ахиж байна","Хөгжиж байна")))</f>
        <v/>
      </c>
    </row>
    <row r="54" ht="16" customHeight="1">
      <c r="A54" s="12" t="n">
        <v>48</v>
      </c>
      <c r="B54" s="13" t="inlineStr">
        <is>
          <t>Х-48</t>
        </is>
      </c>
      <c r="C54" s="12">
        <f>IF(COUNT('Мэдлэг'!D54:K54)=0,"",ROUND(COUNTIF('Мэдлэг'!D54:K54,1)/8*100,1))</f>
        <v/>
      </c>
      <c r="D54" s="12">
        <f>IF(COUNT('Чадвар'!D54:AD54)=0,"",ROUND(COUNTIF('Чадвар'!D54:AD54,1)/27*100,1))</f>
        <v/>
      </c>
      <c r="E54" s="12">
        <f>IF(COUNT('Төлөвшил'!D54:I54)=0,"",ROUND(COUNTIF('Төлөвшил'!D54:I54,1)/6*100,1))</f>
        <v/>
      </c>
      <c r="F54" s="12">
        <f>COUNTIF('Мэдлэг'!D54:K54,1)+COUNTIF('Чадвар'!D54:AD54,1)+COUNTIF('Төлөвшил'!D54:I54,1)</f>
        <v/>
      </c>
      <c r="G54" s="12">
        <f>IF((COUNT('Мэдлэг'!D54:K54)+COUNT('Чадвар'!D54:AD54)+COUNT('Төлөвшил'!D54:I54))=0,"",ROUND(F54/41*100,1))</f>
        <v/>
      </c>
      <c r="H54" s="14">
        <f>IF(G54="","",IF(G54&gt;=Нэгтгэл!$K$4,"Хангалттай эзэмшиж байна",IF(G54&gt;=Нэгтгэл!$K$5,"Ахиж байна","Хөгжиж байна")))</f>
        <v/>
      </c>
    </row>
    <row r="55" ht="16" customHeight="1">
      <c r="A55" s="12" t="n">
        <v>49</v>
      </c>
      <c r="B55" s="13" t="inlineStr">
        <is>
          <t>Х-49</t>
        </is>
      </c>
      <c r="C55" s="12">
        <f>IF(COUNT('Мэдлэг'!D55:K55)=0,"",ROUND(COUNTIF('Мэдлэг'!D55:K55,1)/8*100,1))</f>
        <v/>
      </c>
      <c r="D55" s="12">
        <f>IF(COUNT('Чадвар'!D55:AD55)=0,"",ROUND(COUNTIF('Чадвар'!D55:AD55,1)/27*100,1))</f>
        <v/>
      </c>
      <c r="E55" s="12">
        <f>IF(COUNT('Төлөвшил'!D55:I55)=0,"",ROUND(COUNTIF('Төлөвшил'!D55:I55,1)/6*100,1))</f>
        <v/>
      </c>
      <c r="F55" s="12">
        <f>COUNTIF('Мэдлэг'!D55:K55,1)+COUNTIF('Чадвар'!D55:AD55,1)+COUNTIF('Төлөвшил'!D55:I55,1)</f>
        <v/>
      </c>
      <c r="G55" s="12">
        <f>IF((COUNT('Мэдлэг'!D55:K55)+COUNT('Чадвар'!D55:AD55)+COUNT('Төлөвшил'!D55:I55))=0,"",ROUND(F55/41*100,1))</f>
        <v/>
      </c>
      <c r="H55" s="14">
        <f>IF(G55="","",IF(G55&gt;=Нэгтгэл!$K$4,"Хангалттай эзэмшиж байна",IF(G55&gt;=Нэгтгэл!$K$5,"Ахиж байна","Хөгжиж байна")))</f>
        <v/>
      </c>
    </row>
    <row r="56">
      <c r="A56" s="5" t="inlineStr">
        <is>
          <t>Бүлгийн дундаж хувь</t>
        </is>
      </c>
      <c r="B56" s="15" t="n"/>
      <c r="C56" s="5">
        <f>IFERROR(ROUND(AVERAGE(C7:C55),1),"")</f>
        <v/>
      </c>
      <c r="D56" s="5">
        <f>IFERROR(ROUND(AVERAGE(D7:D55),1),"")</f>
        <v/>
      </c>
      <c r="E56" s="5">
        <f>IFERROR(ROUND(AVERAGE(E7:E55),1),"")</f>
        <v/>
      </c>
      <c r="F56" s="16" t="inlineStr"/>
      <c r="G56" s="5">
        <f>IFERROR(ROUND(AVERAGE(G7:G55),1),"")</f>
        <v/>
      </c>
      <c r="H56" s="16" t="inlineStr"/>
    </row>
    <row r="57">
      <c r="A57" s="17" t="inlineStr">
        <is>
          <t>Хангалттай эзэмшиж байна (тоо)</t>
        </is>
      </c>
      <c r="B57" s="15" t="n"/>
      <c r="C57" s="5">
        <f>COUNTIFS(C7:C55,"&gt;="&amp;Нэгтгэл!$K$4)</f>
        <v/>
      </c>
      <c r="D57" s="5">
        <f>COUNTIFS(D7:D55,"&gt;="&amp;Нэгтгэл!$K$4)</f>
        <v/>
      </c>
      <c r="E57" s="5">
        <f>COUNTIFS(E7:E55,"&gt;="&amp;Нэгтгэл!$K$4)</f>
        <v/>
      </c>
      <c r="F57" s="16" t="inlineStr"/>
      <c r="G57" s="5">
        <f>COUNTIFS(G7:G55,"&gt;="&amp;Нэгтгэл!$K$4)</f>
        <v/>
      </c>
      <c r="H57" s="5">
        <f>COUNTIF(H7:H55,"Хангалттай эзэмшиж байна")</f>
        <v/>
      </c>
    </row>
    <row r="58">
      <c r="A58" s="17" t="inlineStr">
        <is>
          <t>Ахиж байна (тоо)</t>
        </is>
      </c>
      <c r="B58" s="15" t="n"/>
      <c r="C58" s="5">
        <f>COUNTIFS(C7:C55,"&gt;="&amp;Нэгтгэл!$K$5,C7:C55,"&lt;"&amp;Нэгтгэл!$K$4)</f>
        <v/>
      </c>
      <c r="D58" s="5">
        <f>COUNTIFS(D7:D55,"&gt;="&amp;Нэгтгэл!$K$5,D7:D55,"&lt;"&amp;Нэгтгэл!$K$4)</f>
        <v/>
      </c>
      <c r="E58" s="5">
        <f>COUNTIFS(E7:E55,"&gt;="&amp;Нэгтгэл!$K$5,E7:E55,"&lt;"&amp;Нэгтгэл!$K$4)</f>
        <v/>
      </c>
      <c r="F58" s="16" t="inlineStr"/>
      <c r="G58" s="5">
        <f>COUNTIFS(G7:G55,"&gt;="&amp;Нэгтгэл!$K$5,G7:G55,"&lt;"&amp;Нэгтгэл!$K$4)</f>
        <v/>
      </c>
      <c r="H58" s="5">
        <f>COUNTIF(H7:H55,"Ахиж байна")</f>
        <v/>
      </c>
    </row>
    <row r="59">
      <c r="A59" s="17" t="inlineStr">
        <is>
          <t>Хөгжиж байна (тоо)</t>
        </is>
      </c>
      <c r="B59" s="15" t="n"/>
      <c r="C59" s="5">
        <f>COUNTIFS(C7:C55,"&lt;"&amp;Нэгтгэл!$K$5)</f>
        <v/>
      </c>
      <c r="D59" s="5">
        <f>COUNTIFS(D7:D55,"&lt;"&amp;Нэгтгэл!$K$5)</f>
        <v/>
      </c>
      <c r="E59" s="5">
        <f>COUNTIFS(E7:E55,"&lt;"&amp;Нэгтгэл!$K$5)</f>
        <v/>
      </c>
      <c r="F59" s="16" t="inlineStr"/>
      <c r="G59" s="5">
        <f>COUNTIFS(G7:G55,"&lt;"&amp;Нэгтгэл!$K$5)</f>
        <v/>
      </c>
      <c r="H59" s="5">
        <f>COUNTIF(H7:H55,"Хөгжиж байна")</f>
        <v/>
      </c>
    </row>
  </sheetData>
  <mergeCells count="14">
    <mergeCell ref="J3:K3"/>
    <mergeCell ref="H3:H6"/>
    <mergeCell ref="F3:F6"/>
    <mergeCell ref="A57:B57"/>
    <mergeCell ref="A59:B59"/>
    <mergeCell ref="G3:G6"/>
    <mergeCell ref="A2:H2"/>
    <mergeCell ref="A3:A6"/>
    <mergeCell ref="B3:B6"/>
    <mergeCell ref="C3:E3"/>
    <mergeCell ref="C4:E4"/>
    <mergeCell ref="A1:H1"/>
    <mergeCell ref="A56:B56"/>
    <mergeCell ref="A58:B58"/>
  </mergeCells>
  <printOptions horizontalCentered="1"/>
  <pageMargins left="0.5905511811023622" right="0.1968503937007874" top="0.5905511811023622" bottom="0.5905511811023622" header="0.3149606299212598" footer="0.3149606299212598"/>
  <pageSetup orientation="landscape" paperSize="9" fitToHeight="2" fitToWidth="1"/>
</worksheet>
</file>

<file path=xl/worksheets/sheet2.xml><?xml version="1.0" encoding="utf-8"?>
<worksheet xmlns="http://schemas.openxmlformats.org/spreadsheetml/2006/main">
  <sheetPr>
    <outlinePr summaryBelow="1" summaryRight="1"/>
    <pageSetUpPr fitToPage="1"/>
  </sheetPr>
  <dimension ref="A1:P59"/>
  <sheetViews>
    <sheetView workbookViewId="0">
      <selection activeCell="A1" sqref="A1"/>
    </sheetView>
  </sheetViews>
  <sheetFormatPr baseColWidth="8" defaultRowHeight="15"/>
  <cols>
    <col width="4.5" customWidth="1" min="1" max="1"/>
    <col width="8" customWidth="1" min="2" max="2"/>
    <col width="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7" customWidth="1" min="12" max="12"/>
    <col width="7" customWidth="1" min="13" max="13"/>
    <col width="8" customWidth="1" min="14" max="14"/>
    <col width="7" customWidth="1" min="15" max="15"/>
    <col width="14" customWidth="1" min="16" max="16"/>
  </cols>
  <sheetData>
    <row r="1">
      <c r="A1" s="1" t="inlineStr">
        <is>
          <t>................ ЦЭЦЭРЛЭГИЙН ДУНД БҮЛГИЙН (3 НАС) ГАРААНЫ (ОНОШЛОХ) ҮНЭЛГЭЭ</t>
        </is>
      </c>
    </row>
    <row r="2">
      <c r="A2" s="18" t="inlineStr">
        <is>
          <t>Үнэлгээний хүрээ: Мэдлэг          Огноо: 20.... оны .... сар          Багш: ................................          Чадна = 1, Чадахгүй = 0  (А/79 журам, II түвшний шалгуур)</t>
        </is>
      </c>
    </row>
    <row r="3">
      <c r="A3" s="3" t="inlineStr">
        <is>
          <t>№</t>
        </is>
      </c>
      <c r="B3" s="3" t="inlineStr">
        <is>
          <t>Хүүхдийн код</t>
        </is>
      </c>
      <c r="C3" s="4" t="n"/>
      <c r="D3" s="3" t="inlineStr">
        <is>
          <t>Үнэлгээний хүрээ: Мэдлэг</t>
        </is>
      </c>
      <c r="E3" s="4" t="n"/>
      <c r="F3" s="4" t="n"/>
      <c r="G3" s="4" t="n"/>
      <c r="H3" s="4" t="n"/>
      <c r="I3" s="4" t="n"/>
      <c r="J3" s="4" t="n"/>
      <c r="K3" s="4" t="n"/>
      <c r="L3" s="5" t="inlineStr">
        <is>
          <t>Чадна (1)</t>
        </is>
      </c>
      <c r="M3" s="5" t="inlineStr">
        <is>
          <t>Хувь</t>
        </is>
      </c>
      <c r="N3" s="5" t="inlineStr">
        <is>
          <t>Чадахгүй (0)</t>
        </is>
      </c>
      <c r="O3" s="5" t="inlineStr">
        <is>
          <t>Хувь</t>
        </is>
      </c>
      <c r="P3" s="5" t="inlineStr">
        <is>
          <t>Түвшин</t>
        </is>
      </c>
    </row>
    <row r="4" ht="128" customHeight="1">
      <c r="A4" s="4" t="n"/>
      <c r="B4" s="4" t="n"/>
      <c r="C4" s="4" t="n"/>
      <c r="D4" s="6" t="inlineStr">
        <is>
          <t>Гэмтэж болзошгүй үйлдлийг ойлгодог.</t>
        </is>
      </c>
      <c r="E4" s="6" t="inlineStr">
        <is>
          <t>Хоорондоо хамааралтай хоёр юмыг таньдаг.</t>
        </is>
      </c>
      <c r="F4" s="6" t="inlineStr">
        <is>
          <t>Орчиндоо байгаа зурган тэмдэглэгээ (гэрлэн дохио, гарц, ангид баримтлах дүрмийг харуулсан зураг гэх мэт)-г ойлгодог.</t>
        </is>
      </c>
      <c r="G4" s="6" t="inlineStr">
        <is>
          <t>Таван хошуу мал, гэрийн тэжээмэл амьтны үр төлийг нэрлэдэг.</t>
        </is>
      </c>
      <c r="H4" s="6" t="inlineStr">
        <is>
          <t>Үндэсний баяр ёслолын зарим үйл (золгох, бөх барилдах гэх мэт)-ийг нэрлэдэг.</t>
        </is>
      </c>
      <c r="I4" s="6" t="inlineStr">
        <is>
          <t>Дараалан байрлуулсан тоглоом, дүрс, юмсыг ажиглаж, зүй тогтлыг тайлбарладаг.</t>
        </is>
      </c>
      <c r="J4" s="6" t="inlineStr">
        <is>
          <t>Тоглоом, юмсын байршил (дотор, гадна)-ыг нэрлэдэг.</t>
        </is>
      </c>
      <c r="K4" s="6" t="inlineStr">
        <is>
          <t>Уран зураг, баримлын бүтээлд юу дүрсэлснийг нэрлэдэг.</t>
        </is>
      </c>
      <c r="L4" s="4" t="n"/>
      <c r="M4" s="4" t="n"/>
      <c r="N4" s="4" t="n"/>
      <c r="O4" s="4" t="n"/>
      <c r="P4" s="4" t="n"/>
    </row>
    <row r="5" ht="96" customHeight="1">
      <c r="A5" s="4" t="n"/>
      <c r="B5" s="4" t="n"/>
      <c r="C5" s="4" t="n"/>
      <c r="D5" s="19" t="inlineStr">
        <is>
          <t>СҮД: ХЭМ2.2е. Хүрээлэн байгаа орчныг ажиглаж, аюултай байж болох зүйлсийг ялгаж, хүрэхгүй байна.</t>
        </is>
      </c>
      <c r="E5" s="19" t="inlineStr">
        <is>
          <t>СҮД: НСХ2.3а. Юмс үзэгдлийн хоорондын хамаарлыг таньж ойлгодог болно.</t>
        </is>
      </c>
      <c r="F5" s="19" t="inlineStr">
        <is>
          <t>СҮД: ХЯ2.3б. Орчинд байгаа тэмдэг, тэмдэглэгээг ялгана.</t>
        </is>
      </c>
      <c r="G5" s="19" t="inlineStr">
        <is>
          <t>СҮД: БНО2.1а. Ойр орчны амьтны үр төлийг нэрлэн, ялгаж танина.</t>
        </is>
      </c>
      <c r="H5" s="19" t="inlineStr">
        <is>
          <t>СҮД: БНО2.2д. Үндэсний хувцас, цагаан идээ, тоглоом, наадгайг таньж, баяр ёслолын зарим үйлийг даган дуурайна.</t>
        </is>
      </c>
      <c r="I5" s="19" t="inlineStr">
        <is>
          <t>СҮД: МАТ2.1б. Дараалан байрлуулсан тоглоом, юмсын зүй тогтлыг ажиглаж, дуурайна.</t>
        </is>
      </c>
      <c r="J5" s="19" t="inlineStr">
        <is>
          <t>СҮД: МАТ2.3в. Юмсын байршлыг нэрлэнэ. (дотор, гадна)</t>
        </is>
      </c>
      <c r="K5" s="19" t="inlineStr">
        <is>
          <t>СҮД: ЗУ2.1а. Уран зураг, баримлын бүтээлийг ажиглаж хүн, амьтан, эд юмсыг ялгаж нэрлэнэ.</t>
        </is>
      </c>
      <c r="L5" s="4" t="n"/>
      <c r="M5" s="4" t="n"/>
      <c r="N5" s="4" t="n"/>
      <c r="O5" s="4" t="n"/>
      <c r="P5" s="4" t="n"/>
    </row>
    <row r="6" ht="14" customHeight="1">
      <c r="A6" s="4" t="n"/>
      <c r="B6" s="4" t="n"/>
      <c r="C6" s="4" t="n"/>
      <c r="D6" s="10" t="inlineStr">
        <is>
          <t>1 / 0</t>
        </is>
      </c>
      <c r="E6" s="10" t="inlineStr">
        <is>
          <t>1 / 0</t>
        </is>
      </c>
      <c r="F6" s="10" t="inlineStr">
        <is>
          <t>1 / 0</t>
        </is>
      </c>
      <c r="G6" s="10" t="inlineStr">
        <is>
          <t>1 / 0</t>
        </is>
      </c>
      <c r="H6" s="10" t="inlineStr">
        <is>
          <t>1 / 0</t>
        </is>
      </c>
      <c r="I6" s="10" t="inlineStr">
        <is>
          <t>1 / 0</t>
        </is>
      </c>
      <c r="J6" s="10" t="inlineStr">
        <is>
          <t>1 / 0</t>
        </is>
      </c>
      <c r="K6" s="10" t="inlineStr">
        <is>
          <t>1 / 0</t>
        </is>
      </c>
      <c r="L6" s="4" t="n"/>
      <c r="M6" s="4" t="n"/>
      <c r="N6" s="4" t="n"/>
      <c r="O6" s="4" t="n"/>
      <c r="P6" s="4" t="n"/>
    </row>
    <row r="7" ht="16" customHeight="1">
      <c r="A7" s="12" t="n">
        <v>1</v>
      </c>
      <c r="B7" s="12">
        <f>IF(Нэгтгэл!B7="","",Нэгтгэл!B7)</f>
        <v/>
      </c>
      <c r="C7" s="4" t="n"/>
      <c r="D7" s="13" t="n">
        <v>1</v>
      </c>
      <c r="E7" s="13" t="n">
        <v>1</v>
      </c>
      <c r="F7" s="13" t="n">
        <v>1</v>
      </c>
      <c r="G7" s="13" t="n">
        <v>1</v>
      </c>
      <c r="H7" s="13" t="n">
        <v>0</v>
      </c>
      <c r="I7" s="13" t="n">
        <v>1</v>
      </c>
      <c r="J7" s="13" t="n">
        <v>1</v>
      </c>
      <c r="K7" s="13" t="n">
        <v>1</v>
      </c>
      <c r="L7" s="12">
        <f>COUNTIF(D7:K7,1)</f>
        <v/>
      </c>
      <c r="M7" s="12">
        <f>IF(COUNT(D7:K7)=0,"",ROUND(L7/8*100,1))</f>
        <v/>
      </c>
      <c r="N7" s="12">
        <f>COUNTIF(D7:K7,0)</f>
        <v/>
      </c>
      <c r="O7" s="12">
        <f>IF(COUNT(D7:K7)=0,"",ROUND(N7/8*100,1))</f>
        <v/>
      </c>
      <c r="P7" s="20">
        <f>IF(M7="","",IF(M7&gt;=Нэгтгэл!$K$4,"Хангалттай эзэмшиж байна",IF(M7&gt;=Нэгтгэл!$K$5,"Ахиж байна","Хөгжиж байна")))</f>
        <v/>
      </c>
    </row>
    <row r="8" ht="16" customHeight="1">
      <c r="A8" s="12" t="n">
        <v>2</v>
      </c>
      <c r="B8" s="12">
        <f>IF(Нэгтгэл!B8="","",Нэгтгэл!B8)</f>
        <v/>
      </c>
      <c r="C8" s="4" t="n"/>
      <c r="D8" s="13" t="n">
        <v>1</v>
      </c>
      <c r="E8" s="13" t="n">
        <v>1</v>
      </c>
      <c r="F8" s="13" t="n">
        <v>0</v>
      </c>
      <c r="G8" s="13" t="n">
        <v>1</v>
      </c>
      <c r="H8" s="13" t="n">
        <v>1</v>
      </c>
      <c r="I8" s="13" t="n">
        <v>0</v>
      </c>
      <c r="J8" s="13" t="n">
        <v>0</v>
      </c>
      <c r="K8" s="13" t="n">
        <v>1</v>
      </c>
      <c r="L8" s="12">
        <f>COUNTIF(D8:K8,1)</f>
        <v/>
      </c>
      <c r="M8" s="12">
        <f>IF(COUNT(D8:K8)=0,"",ROUND(L8/8*100,1))</f>
        <v/>
      </c>
      <c r="N8" s="12">
        <f>COUNTIF(D8:K8,0)</f>
        <v/>
      </c>
      <c r="O8" s="12">
        <f>IF(COUNT(D8:K8)=0,"",ROUND(N8/8*100,1))</f>
        <v/>
      </c>
      <c r="P8" s="20">
        <f>IF(M8="","",IF(M8&gt;=Нэгтгэл!$K$4,"Хангалттай эзэмшиж байна",IF(M8&gt;=Нэгтгэл!$K$5,"Ахиж байна","Хөгжиж байна")))</f>
        <v/>
      </c>
    </row>
    <row r="9" ht="16" customHeight="1">
      <c r="A9" s="12" t="n">
        <v>3</v>
      </c>
      <c r="B9" s="12">
        <f>IF(Нэгтгэл!B9="","",Нэгтгэл!B9)</f>
        <v/>
      </c>
      <c r="C9" s="4" t="n"/>
      <c r="D9" s="13" t="n">
        <v>1</v>
      </c>
      <c r="E9" s="13" t="n">
        <v>1</v>
      </c>
      <c r="F9" s="13" t="n">
        <v>1</v>
      </c>
      <c r="G9" s="13" t="n">
        <v>0</v>
      </c>
      <c r="H9" s="13" t="n">
        <v>1</v>
      </c>
      <c r="I9" s="13" t="n">
        <v>1</v>
      </c>
      <c r="J9" s="13" t="n">
        <v>1</v>
      </c>
      <c r="K9" s="13" t="n">
        <v>0</v>
      </c>
      <c r="L9" s="12">
        <f>COUNTIF(D9:K9,1)</f>
        <v/>
      </c>
      <c r="M9" s="12">
        <f>IF(COUNT(D9:K9)=0,"",ROUND(L9/8*100,1))</f>
        <v/>
      </c>
      <c r="N9" s="12">
        <f>COUNTIF(D9:K9,0)</f>
        <v/>
      </c>
      <c r="O9" s="12">
        <f>IF(COUNT(D9:K9)=0,"",ROUND(N9/8*100,1))</f>
        <v/>
      </c>
      <c r="P9" s="20">
        <f>IF(M9="","",IF(M9&gt;=Нэгтгэл!$K$4,"Хангалттай эзэмшиж байна",IF(M9&gt;=Нэгтгэл!$K$5,"Ахиж байна","Хөгжиж байна")))</f>
        <v/>
      </c>
    </row>
    <row r="10" ht="16" customHeight="1">
      <c r="A10" s="12" t="n">
        <v>4</v>
      </c>
      <c r="B10" s="12">
        <f>IF(Нэгтгэл!B10="","",Нэгтгэл!B10)</f>
        <v/>
      </c>
      <c r="C10" s="4" t="n"/>
      <c r="D10" s="13" t="n">
        <v>1</v>
      </c>
      <c r="E10" s="13" t="n">
        <v>1</v>
      </c>
      <c r="F10" s="13" t="n">
        <v>0</v>
      </c>
      <c r="G10" s="13" t="n">
        <v>1</v>
      </c>
      <c r="H10" s="13" t="n">
        <v>1</v>
      </c>
      <c r="I10" s="13" t="n">
        <v>1</v>
      </c>
      <c r="J10" s="13" t="n">
        <v>1</v>
      </c>
      <c r="K10" s="13" t="n">
        <v>0</v>
      </c>
      <c r="L10" s="12">
        <f>COUNTIF(D10:K10,1)</f>
        <v/>
      </c>
      <c r="M10" s="12">
        <f>IF(COUNT(D10:K10)=0,"",ROUND(L10/8*100,1))</f>
        <v/>
      </c>
      <c r="N10" s="12">
        <f>COUNTIF(D10:K10,0)</f>
        <v/>
      </c>
      <c r="O10" s="12">
        <f>IF(COUNT(D10:K10)=0,"",ROUND(N10/8*100,1))</f>
        <v/>
      </c>
      <c r="P10" s="20">
        <f>IF(M10="","",IF(M10&gt;=Нэгтгэл!$K$4,"Хангалттай эзэмшиж байна",IF(M10&gt;=Нэгтгэл!$K$5,"Ахиж байна","Хөгжиж байна")))</f>
        <v/>
      </c>
    </row>
    <row r="11" ht="16" customHeight="1">
      <c r="A11" s="12" t="n">
        <v>5</v>
      </c>
      <c r="B11" s="12">
        <f>IF(Нэгтгэл!B11="","",Нэгтгэл!B11)</f>
        <v/>
      </c>
      <c r="C11" s="4" t="n"/>
      <c r="D11" s="13" t="n">
        <v>1</v>
      </c>
      <c r="E11" s="13" t="n">
        <v>1</v>
      </c>
      <c r="F11" s="13" t="n">
        <v>1</v>
      </c>
      <c r="G11" s="13" t="n">
        <v>1</v>
      </c>
      <c r="H11" s="13" t="n">
        <v>0</v>
      </c>
      <c r="I11" s="13" t="n">
        <v>1</v>
      </c>
      <c r="J11" s="13" t="n">
        <v>1</v>
      </c>
      <c r="K11" s="13" t="n">
        <v>1</v>
      </c>
      <c r="L11" s="12">
        <f>COUNTIF(D11:K11,1)</f>
        <v/>
      </c>
      <c r="M11" s="12">
        <f>IF(COUNT(D11:K11)=0,"",ROUND(L11/8*100,1))</f>
        <v/>
      </c>
      <c r="N11" s="12">
        <f>COUNTIF(D11:K11,0)</f>
        <v/>
      </c>
      <c r="O11" s="12">
        <f>IF(COUNT(D11:K11)=0,"",ROUND(N11/8*100,1))</f>
        <v/>
      </c>
      <c r="P11" s="20">
        <f>IF(M11="","",IF(M11&gt;=Нэгтгэл!$K$4,"Хангалттай эзэмшиж байна",IF(M11&gt;=Нэгтгэл!$K$5,"Ахиж байна","Хөгжиж байна")))</f>
        <v/>
      </c>
    </row>
    <row r="12" ht="16" customHeight="1">
      <c r="A12" s="12" t="n">
        <v>6</v>
      </c>
      <c r="B12" s="12">
        <f>IF(Нэгтгэл!B12="","",Нэгтгэл!B12)</f>
        <v/>
      </c>
      <c r="C12" s="4" t="n"/>
      <c r="D12" s="13" t="n">
        <v>1</v>
      </c>
      <c r="E12" s="13" t="n">
        <v>0</v>
      </c>
      <c r="F12" s="13" t="n">
        <v>1</v>
      </c>
      <c r="G12" s="13" t="n">
        <v>0</v>
      </c>
      <c r="H12" s="13" t="n">
        <v>1</v>
      </c>
      <c r="I12" s="13" t="n">
        <v>1</v>
      </c>
      <c r="J12" s="13" t="n">
        <v>0</v>
      </c>
      <c r="K12" s="13" t="n">
        <v>1</v>
      </c>
      <c r="L12" s="12">
        <f>COUNTIF(D12:K12,1)</f>
        <v/>
      </c>
      <c r="M12" s="12">
        <f>IF(COUNT(D12:K12)=0,"",ROUND(L12/8*100,1))</f>
        <v/>
      </c>
      <c r="N12" s="12">
        <f>COUNTIF(D12:K12,0)</f>
        <v/>
      </c>
      <c r="O12" s="12">
        <f>IF(COUNT(D12:K12)=0,"",ROUND(N12/8*100,1))</f>
        <v/>
      </c>
      <c r="P12" s="20">
        <f>IF(M12="","",IF(M12&gt;=Нэгтгэл!$K$4,"Хангалттай эзэмшиж байна",IF(M12&gt;=Нэгтгэл!$K$5,"Ахиж байна","Хөгжиж байна")))</f>
        <v/>
      </c>
    </row>
    <row r="13" ht="16" customHeight="1">
      <c r="A13" s="12" t="n">
        <v>7</v>
      </c>
      <c r="B13" s="12">
        <f>IF(Нэгтгэл!B13="","",Нэгтгэл!B13)</f>
        <v/>
      </c>
      <c r="C13" s="4" t="n"/>
      <c r="D13" s="13" t="n">
        <v>0</v>
      </c>
      <c r="E13" s="13" t="n">
        <v>1</v>
      </c>
      <c r="F13" s="13" t="n">
        <v>0</v>
      </c>
      <c r="G13" s="13" t="n">
        <v>1</v>
      </c>
      <c r="H13" s="13" t="n">
        <v>0</v>
      </c>
      <c r="I13" s="13" t="n">
        <v>1</v>
      </c>
      <c r="J13" s="13" t="n">
        <v>1</v>
      </c>
      <c r="K13" s="13" t="n">
        <v>0</v>
      </c>
      <c r="L13" s="12">
        <f>COUNTIF(D13:K13,1)</f>
        <v/>
      </c>
      <c r="M13" s="12">
        <f>IF(COUNT(D13:K13)=0,"",ROUND(L13/8*100,1))</f>
        <v/>
      </c>
      <c r="N13" s="12">
        <f>COUNTIF(D13:K13,0)</f>
        <v/>
      </c>
      <c r="O13" s="12">
        <f>IF(COUNT(D13:K13)=0,"",ROUND(N13/8*100,1))</f>
        <v/>
      </c>
      <c r="P13" s="20">
        <f>IF(M13="","",IF(M13&gt;=Нэгтгэл!$K$4,"Хангалттай эзэмшиж байна",IF(M13&gt;=Нэгтгэл!$K$5,"Ахиж байна","Хөгжиж байна")))</f>
        <v/>
      </c>
    </row>
    <row r="14" ht="16" customHeight="1">
      <c r="A14" s="12" t="n">
        <v>8</v>
      </c>
      <c r="B14" s="12">
        <f>IF(Нэгтгэл!B14="","",Нэгтгэл!B14)</f>
        <v/>
      </c>
      <c r="C14" s="4" t="n"/>
      <c r="D14" s="13" t="n">
        <v>0</v>
      </c>
      <c r="E14" s="13" t="n">
        <v>1</v>
      </c>
      <c r="F14" s="13" t="n">
        <v>0</v>
      </c>
      <c r="G14" s="13" t="n">
        <v>1</v>
      </c>
      <c r="H14" s="13" t="n">
        <v>0</v>
      </c>
      <c r="I14" s="13" t="n">
        <v>1</v>
      </c>
      <c r="J14" s="13" t="n">
        <v>0</v>
      </c>
      <c r="K14" s="13" t="n">
        <v>0</v>
      </c>
      <c r="L14" s="12">
        <f>COUNTIF(D14:K14,1)</f>
        <v/>
      </c>
      <c r="M14" s="12">
        <f>IF(COUNT(D14:K14)=0,"",ROUND(L14/8*100,1))</f>
        <v/>
      </c>
      <c r="N14" s="12">
        <f>COUNTIF(D14:K14,0)</f>
        <v/>
      </c>
      <c r="O14" s="12">
        <f>IF(COUNT(D14:K14)=0,"",ROUND(N14/8*100,1))</f>
        <v/>
      </c>
      <c r="P14" s="20">
        <f>IF(M14="","",IF(M14&gt;=Нэгтгэл!$K$4,"Хангалттай эзэмшиж байна",IF(M14&gt;=Нэгтгэл!$K$5,"Ахиж байна","Хөгжиж байна")))</f>
        <v/>
      </c>
    </row>
    <row r="15" ht="16" customHeight="1">
      <c r="A15" s="12" t="n">
        <v>9</v>
      </c>
      <c r="B15" s="12">
        <f>IF(Нэгтгэл!B15="","",Нэгтгэл!B15)</f>
        <v/>
      </c>
      <c r="C15" s="4" t="n"/>
      <c r="D15" s="13" t="n">
        <v>1</v>
      </c>
      <c r="E15" s="13" t="n">
        <v>0</v>
      </c>
      <c r="F15" s="13" t="n">
        <v>1</v>
      </c>
      <c r="G15" s="13" t="n">
        <v>1</v>
      </c>
      <c r="H15" s="13" t="n">
        <v>1</v>
      </c>
      <c r="I15" s="13" t="n">
        <v>1</v>
      </c>
      <c r="J15" s="13" t="n">
        <v>1</v>
      </c>
      <c r="K15" s="13" t="n">
        <v>1</v>
      </c>
      <c r="L15" s="12">
        <f>COUNTIF(D15:K15,1)</f>
        <v/>
      </c>
      <c r="M15" s="12">
        <f>IF(COUNT(D15:K15)=0,"",ROUND(L15/8*100,1))</f>
        <v/>
      </c>
      <c r="N15" s="12">
        <f>COUNTIF(D15:K15,0)</f>
        <v/>
      </c>
      <c r="O15" s="12">
        <f>IF(COUNT(D15:K15)=0,"",ROUND(N15/8*100,1))</f>
        <v/>
      </c>
      <c r="P15" s="20">
        <f>IF(M15="","",IF(M15&gt;=Нэгтгэл!$K$4,"Хангалттай эзэмшиж байна",IF(M15&gt;=Нэгтгэл!$K$5,"Ахиж байна","Хөгжиж байна")))</f>
        <v/>
      </c>
    </row>
    <row r="16" ht="16" customHeight="1">
      <c r="A16" s="12" t="n">
        <v>10</v>
      </c>
      <c r="B16" s="12">
        <f>IF(Нэгтгэл!B16="","",Нэгтгэл!B16)</f>
        <v/>
      </c>
      <c r="C16" s="4" t="n"/>
      <c r="D16" s="13" t="n">
        <v>1</v>
      </c>
      <c r="E16" s="13" t="n">
        <v>0</v>
      </c>
      <c r="F16" s="13" t="n">
        <v>1</v>
      </c>
      <c r="G16" s="13" t="n">
        <v>0</v>
      </c>
      <c r="H16" s="13" t="n">
        <v>0</v>
      </c>
      <c r="I16" s="13" t="n">
        <v>1</v>
      </c>
      <c r="J16" s="13" t="n">
        <v>1</v>
      </c>
      <c r="K16" s="13" t="n">
        <v>1</v>
      </c>
      <c r="L16" s="12">
        <f>COUNTIF(D16:K16,1)</f>
        <v/>
      </c>
      <c r="M16" s="12">
        <f>IF(COUNT(D16:K16)=0,"",ROUND(L16/8*100,1))</f>
        <v/>
      </c>
      <c r="N16" s="12">
        <f>COUNTIF(D16:K16,0)</f>
        <v/>
      </c>
      <c r="O16" s="12">
        <f>IF(COUNT(D16:K16)=0,"",ROUND(N16/8*100,1))</f>
        <v/>
      </c>
      <c r="P16" s="20">
        <f>IF(M16="","",IF(M16&gt;=Нэгтгэл!$K$4,"Хангалттай эзэмшиж байна",IF(M16&gt;=Нэгтгэл!$K$5,"Ахиж байна","Хөгжиж байна")))</f>
        <v/>
      </c>
    </row>
    <row r="17" ht="16" customHeight="1">
      <c r="A17" s="12" t="n">
        <v>11</v>
      </c>
      <c r="B17" s="12">
        <f>IF(Нэгтгэл!B17="","",Нэгтгэл!B17)</f>
        <v/>
      </c>
      <c r="C17" s="4" t="n"/>
      <c r="D17" s="13" t="n">
        <v>0</v>
      </c>
      <c r="E17" s="13" t="n">
        <v>1</v>
      </c>
      <c r="F17" s="13" t="n">
        <v>0</v>
      </c>
      <c r="G17" s="13" t="n">
        <v>1</v>
      </c>
      <c r="H17" s="13" t="n">
        <v>0</v>
      </c>
      <c r="I17" s="13" t="n">
        <v>1</v>
      </c>
      <c r="J17" s="13" t="n">
        <v>0</v>
      </c>
      <c r="K17" s="13" t="n">
        <v>0</v>
      </c>
      <c r="L17" s="12">
        <f>COUNTIF(D17:K17,1)</f>
        <v/>
      </c>
      <c r="M17" s="12">
        <f>IF(COUNT(D17:K17)=0,"",ROUND(L17/8*100,1))</f>
        <v/>
      </c>
      <c r="N17" s="12">
        <f>COUNTIF(D17:K17,0)</f>
        <v/>
      </c>
      <c r="O17" s="12">
        <f>IF(COUNT(D17:K17)=0,"",ROUND(N17/8*100,1))</f>
        <v/>
      </c>
      <c r="P17" s="20">
        <f>IF(M17="","",IF(M17&gt;=Нэгтгэл!$K$4,"Хангалттай эзэмшиж байна",IF(M17&gt;=Нэгтгэл!$K$5,"Ахиж байна","Хөгжиж байна")))</f>
        <v/>
      </c>
    </row>
    <row r="18" ht="16" customHeight="1">
      <c r="A18" s="12" t="n">
        <v>12</v>
      </c>
      <c r="B18" s="12">
        <f>IF(Нэгтгэл!B18="","",Нэгтгэл!B18)</f>
        <v/>
      </c>
      <c r="C18" s="4" t="n"/>
      <c r="D18" s="13" t="n">
        <v>0</v>
      </c>
      <c r="E18" s="13" t="n">
        <v>0</v>
      </c>
      <c r="F18" s="13" t="n">
        <v>0</v>
      </c>
      <c r="G18" s="13" t="n">
        <v>0</v>
      </c>
      <c r="H18" s="13" t="n">
        <v>0</v>
      </c>
      <c r="I18" s="13" t="n">
        <v>0</v>
      </c>
      <c r="J18" s="13" t="n">
        <v>1</v>
      </c>
      <c r="K18" s="13" t="n">
        <v>1</v>
      </c>
      <c r="L18" s="12">
        <f>COUNTIF(D18:K18,1)</f>
        <v/>
      </c>
      <c r="M18" s="12">
        <f>IF(COUNT(D18:K18)=0,"",ROUND(L18/8*100,1))</f>
        <v/>
      </c>
      <c r="N18" s="12">
        <f>COUNTIF(D18:K18,0)</f>
        <v/>
      </c>
      <c r="O18" s="12">
        <f>IF(COUNT(D18:K18)=0,"",ROUND(N18/8*100,1))</f>
        <v/>
      </c>
      <c r="P18" s="20">
        <f>IF(M18="","",IF(M18&gt;=Нэгтгэл!$K$4,"Хангалттай эзэмшиж байна",IF(M18&gt;=Нэгтгэл!$K$5,"Ахиж байна","Хөгжиж байна")))</f>
        <v/>
      </c>
    </row>
    <row r="19" ht="16" customHeight="1">
      <c r="A19" s="12" t="n">
        <v>13</v>
      </c>
      <c r="B19" s="12">
        <f>IF(Нэгтгэл!B19="","",Нэгтгэл!B19)</f>
        <v/>
      </c>
      <c r="C19" s="4" t="n"/>
      <c r="D19" s="13" t="n">
        <v>0</v>
      </c>
      <c r="E19" s="13" t="n">
        <v>0</v>
      </c>
      <c r="F19" s="13" t="n">
        <v>1</v>
      </c>
      <c r="G19" s="13" t="n">
        <v>1</v>
      </c>
      <c r="H19" s="13" t="n">
        <v>1</v>
      </c>
      <c r="I19" s="13" t="n">
        <v>0</v>
      </c>
      <c r="J19" s="13" t="n">
        <v>1</v>
      </c>
      <c r="K19" s="13" t="n">
        <v>1</v>
      </c>
      <c r="L19" s="12">
        <f>COUNTIF(D19:K19,1)</f>
        <v/>
      </c>
      <c r="M19" s="12">
        <f>IF(COUNT(D19:K19)=0,"",ROUND(L19/8*100,1))</f>
        <v/>
      </c>
      <c r="N19" s="12">
        <f>COUNTIF(D19:K19,0)</f>
        <v/>
      </c>
      <c r="O19" s="12">
        <f>IF(COUNT(D19:K19)=0,"",ROUND(N19/8*100,1))</f>
        <v/>
      </c>
      <c r="P19" s="20">
        <f>IF(M19="","",IF(M19&gt;=Нэгтгэл!$K$4,"Хангалттай эзэмшиж байна",IF(M19&gt;=Нэгтгэл!$K$5,"Ахиж байна","Хөгжиж байна")))</f>
        <v/>
      </c>
    </row>
    <row r="20" ht="16" customHeight="1">
      <c r="A20" s="12" t="n">
        <v>14</v>
      </c>
      <c r="B20" s="12">
        <f>IF(Нэгтгэл!B20="","",Нэгтгэл!B20)</f>
        <v/>
      </c>
      <c r="C20" s="4" t="n"/>
      <c r="D20" s="13" t="n">
        <v>1</v>
      </c>
      <c r="E20" s="13" t="n">
        <v>1</v>
      </c>
      <c r="F20" s="13" t="n">
        <v>0</v>
      </c>
      <c r="G20" s="13" t="n">
        <v>1</v>
      </c>
      <c r="H20" s="13" t="n">
        <v>0</v>
      </c>
      <c r="I20" s="13" t="n">
        <v>0</v>
      </c>
      <c r="J20" s="13" t="n">
        <v>1</v>
      </c>
      <c r="K20" s="13" t="n">
        <v>1</v>
      </c>
      <c r="L20" s="12">
        <f>COUNTIF(D20:K20,1)</f>
        <v/>
      </c>
      <c r="M20" s="12">
        <f>IF(COUNT(D20:K20)=0,"",ROUND(L20/8*100,1))</f>
        <v/>
      </c>
      <c r="N20" s="12">
        <f>COUNTIF(D20:K20,0)</f>
        <v/>
      </c>
      <c r="O20" s="12">
        <f>IF(COUNT(D20:K20)=0,"",ROUND(N20/8*100,1))</f>
        <v/>
      </c>
      <c r="P20" s="20">
        <f>IF(M20="","",IF(M20&gt;=Нэгтгэл!$K$4,"Хангалттай эзэмшиж байна",IF(M20&gt;=Нэгтгэл!$K$5,"Ахиж байна","Хөгжиж байна")))</f>
        <v/>
      </c>
    </row>
    <row r="21" ht="16" customHeight="1">
      <c r="A21" s="12" t="n">
        <v>15</v>
      </c>
      <c r="B21" s="12">
        <f>IF(Нэгтгэл!B21="","",Нэгтгэл!B21)</f>
        <v/>
      </c>
      <c r="C21" s="4" t="n"/>
      <c r="D21" s="13" t="n">
        <v>0</v>
      </c>
      <c r="E21" s="13" t="n">
        <v>1</v>
      </c>
      <c r="F21" s="13" t="n">
        <v>1</v>
      </c>
      <c r="G21" s="13" t="n">
        <v>1</v>
      </c>
      <c r="H21" s="13" t="n">
        <v>0</v>
      </c>
      <c r="I21" s="13" t="n">
        <v>0</v>
      </c>
      <c r="J21" s="13" t="n">
        <v>1</v>
      </c>
      <c r="K21" s="13" t="n">
        <v>1</v>
      </c>
      <c r="L21" s="12">
        <f>COUNTIF(D21:K21,1)</f>
        <v/>
      </c>
      <c r="M21" s="12">
        <f>IF(COUNT(D21:K21)=0,"",ROUND(L21/8*100,1))</f>
        <v/>
      </c>
      <c r="N21" s="12">
        <f>COUNTIF(D21:K21,0)</f>
        <v/>
      </c>
      <c r="O21" s="12">
        <f>IF(COUNT(D21:K21)=0,"",ROUND(N21/8*100,1))</f>
        <v/>
      </c>
      <c r="P21" s="20">
        <f>IF(M21="","",IF(M21&gt;=Нэгтгэл!$K$4,"Хангалттай эзэмшиж байна",IF(M21&gt;=Нэгтгэл!$K$5,"Ахиж байна","Хөгжиж байна")))</f>
        <v/>
      </c>
    </row>
    <row r="22" ht="16" customHeight="1">
      <c r="A22" s="12" t="n">
        <v>16</v>
      </c>
      <c r="B22" s="12">
        <f>IF(Нэгтгэл!B22="","",Нэгтгэл!B22)</f>
        <v/>
      </c>
      <c r="C22" s="4" t="n"/>
      <c r="D22" s="13" t="n">
        <v>0</v>
      </c>
      <c r="E22" s="13" t="n">
        <v>1</v>
      </c>
      <c r="F22" s="13" t="n">
        <v>1</v>
      </c>
      <c r="G22" s="13" t="n">
        <v>0</v>
      </c>
      <c r="H22" s="13" t="n">
        <v>1</v>
      </c>
      <c r="I22" s="13" t="n">
        <v>1</v>
      </c>
      <c r="J22" s="13" t="n">
        <v>1</v>
      </c>
      <c r="K22" s="13" t="n">
        <v>1</v>
      </c>
      <c r="L22" s="12">
        <f>COUNTIF(D22:K22,1)</f>
        <v/>
      </c>
      <c r="M22" s="12">
        <f>IF(COUNT(D22:K22)=0,"",ROUND(L22/8*100,1))</f>
        <v/>
      </c>
      <c r="N22" s="12">
        <f>COUNTIF(D22:K22,0)</f>
        <v/>
      </c>
      <c r="O22" s="12">
        <f>IF(COUNT(D22:K22)=0,"",ROUND(N22/8*100,1))</f>
        <v/>
      </c>
      <c r="P22" s="20">
        <f>IF(M22="","",IF(M22&gt;=Нэгтгэл!$K$4,"Хангалттай эзэмшиж байна",IF(M22&gt;=Нэгтгэл!$K$5,"Ахиж байна","Хөгжиж байна")))</f>
        <v/>
      </c>
    </row>
    <row r="23" ht="16" customHeight="1">
      <c r="A23" s="12" t="n">
        <v>17</v>
      </c>
      <c r="B23" s="12">
        <f>IF(Нэгтгэл!B23="","",Нэгтгэл!B23)</f>
        <v/>
      </c>
      <c r="C23" s="4" t="n"/>
      <c r="D23" s="13" t="n">
        <v>0</v>
      </c>
      <c r="E23" s="13" t="n">
        <v>1</v>
      </c>
      <c r="F23" s="13" t="n">
        <v>0</v>
      </c>
      <c r="G23" s="13" t="n">
        <v>1</v>
      </c>
      <c r="H23" s="13" t="n">
        <v>1</v>
      </c>
      <c r="I23" s="13" t="n">
        <v>1</v>
      </c>
      <c r="J23" s="13" t="n">
        <v>1</v>
      </c>
      <c r="K23" s="13" t="n">
        <v>1</v>
      </c>
      <c r="L23" s="12">
        <f>COUNTIF(D23:K23,1)</f>
        <v/>
      </c>
      <c r="M23" s="12">
        <f>IF(COUNT(D23:K23)=0,"",ROUND(L23/8*100,1))</f>
        <v/>
      </c>
      <c r="N23" s="12">
        <f>COUNTIF(D23:K23,0)</f>
        <v/>
      </c>
      <c r="O23" s="12">
        <f>IF(COUNT(D23:K23)=0,"",ROUND(N23/8*100,1))</f>
        <v/>
      </c>
      <c r="P23" s="20">
        <f>IF(M23="","",IF(M23&gt;=Нэгтгэл!$K$4,"Хангалттай эзэмшиж байна",IF(M23&gt;=Нэгтгэл!$K$5,"Ахиж байна","Хөгжиж байна")))</f>
        <v/>
      </c>
    </row>
    <row r="24" ht="16" customHeight="1">
      <c r="A24" s="12" t="n">
        <v>18</v>
      </c>
      <c r="B24" s="12">
        <f>IF(Нэгтгэл!B24="","",Нэгтгэл!B24)</f>
        <v/>
      </c>
      <c r="C24" s="4" t="n"/>
      <c r="D24" s="13" t="n">
        <v>0</v>
      </c>
      <c r="E24" s="13" t="n">
        <v>0</v>
      </c>
      <c r="F24" s="13" t="n">
        <v>0</v>
      </c>
      <c r="G24" s="13" t="n">
        <v>0</v>
      </c>
      <c r="H24" s="13" t="n">
        <v>1</v>
      </c>
      <c r="I24" s="13" t="n">
        <v>1</v>
      </c>
      <c r="J24" s="13" t="n">
        <v>0</v>
      </c>
      <c r="K24" s="13" t="n">
        <v>1</v>
      </c>
      <c r="L24" s="12">
        <f>COUNTIF(D24:K24,1)</f>
        <v/>
      </c>
      <c r="M24" s="12">
        <f>IF(COUNT(D24:K24)=0,"",ROUND(L24/8*100,1))</f>
        <v/>
      </c>
      <c r="N24" s="12">
        <f>COUNTIF(D24:K24,0)</f>
        <v/>
      </c>
      <c r="O24" s="12">
        <f>IF(COUNT(D24:K24)=0,"",ROUND(N24/8*100,1))</f>
        <v/>
      </c>
      <c r="P24" s="20">
        <f>IF(M24="","",IF(M24&gt;=Нэгтгэл!$K$4,"Хангалттай эзэмшиж байна",IF(M24&gt;=Нэгтгэл!$K$5,"Ахиж байна","Хөгжиж байна")))</f>
        <v/>
      </c>
    </row>
    <row r="25" ht="16" customHeight="1">
      <c r="A25" s="12" t="n">
        <v>19</v>
      </c>
      <c r="B25" s="12">
        <f>IF(Нэгтгэл!B25="","",Нэгтгэл!B25)</f>
        <v/>
      </c>
      <c r="C25" s="4" t="n"/>
      <c r="D25" s="13" t="n">
        <v>1</v>
      </c>
      <c r="E25" s="13" t="n">
        <v>1</v>
      </c>
      <c r="F25" s="13" t="n">
        <v>1</v>
      </c>
      <c r="G25" s="13" t="n">
        <v>0</v>
      </c>
      <c r="H25" s="13" t="n">
        <v>1</v>
      </c>
      <c r="I25" s="13" t="n">
        <v>1</v>
      </c>
      <c r="J25" s="13" t="n">
        <v>1</v>
      </c>
      <c r="K25" s="13" t="n">
        <v>0</v>
      </c>
      <c r="L25" s="12">
        <f>COUNTIF(D25:K25,1)</f>
        <v/>
      </c>
      <c r="M25" s="12">
        <f>IF(COUNT(D25:K25)=0,"",ROUND(L25/8*100,1))</f>
        <v/>
      </c>
      <c r="N25" s="12">
        <f>COUNTIF(D25:K25,0)</f>
        <v/>
      </c>
      <c r="O25" s="12">
        <f>IF(COUNT(D25:K25)=0,"",ROUND(N25/8*100,1))</f>
        <v/>
      </c>
      <c r="P25" s="20">
        <f>IF(M25="","",IF(M25&gt;=Нэгтгэл!$K$4,"Хангалттай эзэмшиж байна",IF(M25&gt;=Нэгтгэл!$K$5,"Ахиж байна","Хөгжиж байна")))</f>
        <v/>
      </c>
    </row>
    <row r="26" ht="16" customHeight="1">
      <c r="A26" s="12" t="n">
        <v>20</v>
      </c>
      <c r="B26" s="12">
        <f>IF(Нэгтгэл!B26="","",Нэгтгэл!B26)</f>
        <v/>
      </c>
      <c r="C26" s="4" t="n"/>
      <c r="D26" s="13" t="n">
        <v>0</v>
      </c>
      <c r="E26" s="13" t="n">
        <v>1</v>
      </c>
      <c r="F26" s="13" t="n">
        <v>1</v>
      </c>
      <c r="G26" s="13" t="n">
        <v>1</v>
      </c>
      <c r="H26" s="13" t="n">
        <v>0</v>
      </c>
      <c r="I26" s="13" t="n">
        <v>0</v>
      </c>
      <c r="J26" s="13" t="n">
        <v>0</v>
      </c>
      <c r="K26" s="13" t="n">
        <v>1</v>
      </c>
      <c r="L26" s="12">
        <f>COUNTIF(D26:K26,1)</f>
        <v/>
      </c>
      <c r="M26" s="12">
        <f>IF(COUNT(D26:K26)=0,"",ROUND(L26/8*100,1))</f>
        <v/>
      </c>
      <c r="N26" s="12">
        <f>COUNTIF(D26:K26,0)</f>
        <v/>
      </c>
      <c r="O26" s="12">
        <f>IF(COUNT(D26:K26)=0,"",ROUND(N26/8*100,1))</f>
        <v/>
      </c>
      <c r="P26" s="20">
        <f>IF(M26="","",IF(M26&gt;=Нэгтгэл!$K$4,"Хангалттай эзэмшиж байна",IF(M26&gt;=Нэгтгэл!$K$5,"Ахиж байна","Хөгжиж байна")))</f>
        <v/>
      </c>
    </row>
    <row r="27" ht="16" customHeight="1">
      <c r="A27" s="12" t="n">
        <v>21</v>
      </c>
      <c r="B27" s="12">
        <f>IF(Нэгтгэл!B27="","",Нэгтгэл!B27)</f>
        <v/>
      </c>
      <c r="C27" s="4" t="n"/>
      <c r="D27" s="13" t="n">
        <v>1</v>
      </c>
      <c r="E27" s="13" t="n">
        <v>0</v>
      </c>
      <c r="F27" s="13" t="n">
        <v>1</v>
      </c>
      <c r="G27" s="13" t="n">
        <v>0</v>
      </c>
      <c r="H27" s="13" t="n">
        <v>1</v>
      </c>
      <c r="I27" s="13" t="n">
        <v>1</v>
      </c>
      <c r="J27" s="13" t="n">
        <v>0</v>
      </c>
      <c r="K27" s="13" t="n">
        <v>1</v>
      </c>
      <c r="L27" s="12">
        <f>COUNTIF(D27:K27,1)</f>
        <v/>
      </c>
      <c r="M27" s="12">
        <f>IF(COUNT(D27:K27)=0,"",ROUND(L27/8*100,1))</f>
        <v/>
      </c>
      <c r="N27" s="12">
        <f>COUNTIF(D27:K27,0)</f>
        <v/>
      </c>
      <c r="O27" s="12">
        <f>IF(COUNT(D27:K27)=0,"",ROUND(N27/8*100,1))</f>
        <v/>
      </c>
      <c r="P27" s="20">
        <f>IF(M27="","",IF(M27&gt;=Нэгтгэл!$K$4,"Хангалттай эзэмшиж байна",IF(M27&gt;=Нэгтгэл!$K$5,"Ахиж байна","Хөгжиж байна")))</f>
        <v/>
      </c>
    </row>
    <row r="28" ht="16" customHeight="1">
      <c r="A28" s="12" t="n">
        <v>22</v>
      </c>
      <c r="B28" s="12">
        <f>IF(Нэгтгэл!B28="","",Нэгтгэл!B28)</f>
        <v/>
      </c>
      <c r="C28" s="4" t="n"/>
      <c r="D28" s="13" t="n">
        <v>0</v>
      </c>
      <c r="E28" s="13" t="n">
        <v>1</v>
      </c>
      <c r="F28" s="13" t="n">
        <v>1</v>
      </c>
      <c r="G28" s="13" t="n">
        <v>1</v>
      </c>
      <c r="H28" s="13" t="n">
        <v>0</v>
      </c>
      <c r="I28" s="13" t="n">
        <v>1</v>
      </c>
      <c r="J28" s="13" t="n">
        <v>1</v>
      </c>
      <c r="K28" s="13" t="n">
        <v>1</v>
      </c>
      <c r="L28" s="12">
        <f>COUNTIF(D28:K28,1)</f>
        <v/>
      </c>
      <c r="M28" s="12">
        <f>IF(COUNT(D28:K28)=0,"",ROUND(L28/8*100,1))</f>
        <v/>
      </c>
      <c r="N28" s="12">
        <f>COUNTIF(D28:K28,0)</f>
        <v/>
      </c>
      <c r="O28" s="12">
        <f>IF(COUNT(D28:K28)=0,"",ROUND(N28/8*100,1))</f>
        <v/>
      </c>
      <c r="P28" s="20">
        <f>IF(M28="","",IF(M28&gt;=Нэгтгэл!$K$4,"Хангалттай эзэмшиж байна",IF(M28&gt;=Нэгтгэл!$K$5,"Ахиж байна","Хөгжиж байна")))</f>
        <v/>
      </c>
    </row>
    <row r="29" ht="16" customHeight="1">
      <c r="A29" s="12" t="n">
        <v>23</v>
      </c>
      <c r="B29" s="12">
        <f>IF(Нэгтгэл!B29="","",Нэгтгэл!B29)</f>
        <v/>
      </c>
      <c r="C29" s="4" t="n"/>
      <c r="D29" s="13" t="n">
        <v>1</v>
      </c>
      <c r="E29" s="13" t="n">
        <v>1</v>
      </c>
      <c r="F29" s="13" t="n">
        <v>1</v>
      </c>
      <c r="G29" s="13" t="n">
        <v>1</v>
      </c>
      <c r="H29" s="13" t="n">
        <v>0</v>
      </c>
      <c r="I29" s="13" t="n">
        <v>1</v>
      </c>
      <c r="J29" s="13" t="n">
        <v>1</v>
      </c>
      <c r="K29" s="13" t="n">
        <v>1</v>
      </c>
      <c r="L29" s="12">
        <f>COUNTIF(D29:K29,1)</f>
        <v/>
      </c>
      <c r="M29" s="12">
        <f>IF(COUNT(D29:K29)=0,"",ROUND(L29/8*100,1))</f>
        <v/>
      </c>
      <c r="N29" s="12">
        <f>COUNTIF(D29:K29,0)</f>
        <v/>
      </c>
      <c r="O29" s="12">
        <f>IF(COUNT(D29:K29)=0,"",ROUND(N29/8*100,1))</f>
        <v/>
      </c>
      <c r="P29" s="20">
        <f>IF(M29="","",IF(M29&gt;=Нэгтгэл!$K$4,"Хангалттай эзэмшиж байна",IF(M29&gt;=Нэгтгэл!$K$5,"Ахиж байна","Хөгжиж байна")))</f>
        <v/>
      </c>
    </row>
    <row r="30" ht="16" customHeight="1">
      <c r="A30" s="12" t="n">
        <v>24</v>
      </c>
      <c r="B30" s="12">
        <f>IF(Нэгтгэл!B30="","",Нэгтгэл!B30)</f>
        <v/>
      </c>
      <c r="C30" s="4" t="n"/>
      <c r="D30" s="13" t="n">
        <v>0</v>
      </c>
      <c r="E30" s="13" t="n">
        <v>1</v>
      </c>
      <c r="F30" s="13" t="n">
        <v>1</v>
      </c>
      <c r="G30" s="13" t="n">
        <v>1</v>
      </c>
      <c r="H30" s="13" t="n">
        <v>1</v>
      </c>
      <c r="I30" s="13" t="n">
        <v>1</v>
      </c>
      <c r="J30" s="13" t="n">
        <v>1</v>
      </c>
      <c r="K30" s="13" t="n">
        <v>1</v>
      </c>
      <c r="L30" s="12">
        <f>COUNTIF(D30:K30,1)</f>
        <v/>
      </c>
      <c r="M30" s="12">
        <f>IF(COUNT(D30:K30)=0,"",ROUND(L30/8*100,1))</f>
        <v/>
      </c>
      <c r="N30" s="12">
        <f>COUNTIF(D30:K30,0)</f>
        <v/>
      </c>
      <c r="O30" s="12">
        <f>IF(COUNT(D30:K30)=0,"",ROUND(N30/8*100,1))</f>
        <v/>
      </c>
      <c r="P30" s="20">
        <f>IF(M30="","",IF(M30&gt;=Нэгтгэл!$K$4,"Хангалттай эзэмшиж байна",IF(M30&gt;=Нэгтгэл!$K$5,"Ахиж байна","Хөгжиж байна")))</f>
        <v/>
      </c>
    </row>
    <row r="31" ht="16" customHeight="1">
      <c r="A31" s="12" t="n">
        <v>25</v>
      </c>
      <c r="B31" s="12">
        <f>IF(Нэгтгэл!B31="","",Нэгтгэл!B31)</f>
        <v/>
      </c>
      <c r="C31" s="4" t="n"/>
      <c r="D31" s="13" t="n">
        <v>0</v>
      </c>
      <c r="E31" s="13" t="n">
        <v>1</v>
      </c>
      <c r="F31" s="13" t="n">
        <v>1</v>
      </c>
      <c r="G31" s="13" t="n">
        <v>1</v>
      </c>
      <c r="H31" s="13" t="n">
        <v>1</v>
      </c>
      <c r="I31" s="13" t="n">
        <v>1</v>
      </c>
      <c r="J31" s="13" t="n">
        <v>1</v>
      </c>
      <c r="K31" s="13" t="n">
        <v>1</v>
      </c>
      <c r="L31" s="12">
        <f>COUNTIF(D31:K31,1)</f>
        <v/>
      </c>
      <c r="M31" s="12">
        <f>IF(COUNT(D31:K31)=0,"",ROUND(L31/8*100,1))</f>
        <v/>
      </c>
      <c r="N31" s="12">
        <f>COUNTIF(D31:K31,0)</f>
        <v/>
      </c>
      <c r="O31" s="12">
        <f>IF(COUNT(D31:K31)=0,"",ROUND(N31/8*100,1))</f>
        <v/>
      </c>
      <c r="P31" s="20">
        <f>IF(M31="","",IF(M31&gt;=Нэгтгэл!$K$4,"Хангалттай эзэмшиж байна",IF(M31&gt;=Нэгтгэл!$K$5,"Ахиж байна","Хөгжиж байна")))</f>
        <v/>
      </c>
    </row>
    <row r="32" ht="16" customHeight="1">
      <c r="A32" s="12" t="n">
        <v>26</v>
      </c>
      <c r="B32" s="12">
        <f>IF(Нэгтгэл!B32="","",Нэгтгэл!B32)</f>
        <v/>
      </c>
      <c r="C32" s="4" t="n"/>
      <c r="D32" s="13" t="n">
        <v>0</v>
      </c>
      <c r="E32" s="13" t="n">
        <v>1</v>
      </c>
      <c r="F32" s="13" t="n">
        <v>1</v>
      </c>
      <c r="G32" s="13" t="n">
        <v>1</v>
      </c>
      <c r="H32" s="13" t="n">
        <v>1</v>
      </c>
      <c r="I32" s="13" t="n">
        <v>0</v>
      </c>
      <c r="J32" s="13" t="n">
        <v>1</v>
      </c>
      <c r="K32" s="13" t="n">
        <v>0</v>
      </c>
      <c r="L32" s="12">
        <f>COUNTIF(D32:K32,1)</f>
        <v/>
      </c>
      <c r="M32" s="12">
        <f>IF(COUNT(D32:K32)=0,"",ROUND(L32/8*100,1))</f>
        <v/>
      </c>
      <c r="N32" s="12">
        <f>COUNTIF(D32:K32,0)</f>
        <v/>
      </c>
      <c r="O32" s="12">
        <f>IF(COUNT(D32:K32)=0,"",ROUND(N32/8*100,1))</f>
        <v/>
      </c>
      <c r="P32" s="20">
        <f>IF(M32="","",IF(M32&gt;=Нэгтгэл!$K$4,"Хангалттай эзэмшиж байна",IF(M32&gt;=Нэгтгэл!$K$5,"Ахиж байна","Хөгжиж байна")))</f>
        <v/>
      </c>
    </row>
    <row r="33" ht="16" customHeight="1">
      <c r="A33" s="12" t="n">
        <v>27</v>
      </c>
      <c r="B33" s="12">
        <f>IF(Нэгтгэл!B33="","",Нэгтгэл!B33)</f>
        <v/>
      </c>
      <c r="C33" s="4" t="n"/>
      <c r="D33" s="13" t="n">
        <v>1</v>
      </c>
      <c r="E33" s="13" t="n">
        <v>1</v>
      </c>
      <c r="F33" s="13" t="n">
        <v>1</v>
      </c>
      <c r="G33" s="13" t="n">
        <v>1</v>
      </c>
      <c r="H33" s="13" t="n">
        <v>1</v>
      </c>
      <c r="I33" s="13" t="n">
        <v>0</v>
      </c>
      <c r="J33" s="13" t="n">
        <v>1</v>
      </c>
      <c r="K33" s="13" t="n">
        <v>0</v>
      </c>
      <c r="L33" s="12">
        <f>COUNTIF(D33:K33,1)</f>
        <v/>
      </c>
      <c r="M33" s="12">
        <f>IF(COUNT(D33:K33)=0,"",ROUND(L33/8*100,1))</f>
        <v/>
      </c>
      <c r="N33" s="12">
        <f>COUNTIF(D33:K33,0)</f>
        <v/>
      </c>
      <c r="O33" s="12">
        <f>IF(COUNT(D33:K33)=0,"",ROUND(N33/8*100,1))</f>
        <v/>
      </c>
      <c r="P33" s="20">
        <f>IF(M33="","",IF(M33&gt;=Нэгтгэл!$K$4,"Хангалттай эзэмшиж байна",IF(M33&gt;=Нэгтгэл!$K$5,"Ахиж байна","Хөгжиж байна")))</f>
        <v/>
      </c>
    </row>
    <row r="34" ht="16" customHeight="1">
      <c r="A34" s="12" t="n">
        <v>28</v>
      </c>
      <c r="B34" s="12">
        <f>IF(Нэгтгэл!B34="","",Нэгтгэл!B34)</f>
        <v/>
      </c>
      <c r="C34" s="4" t="n"/>
      <c r="D34" s="13" t="n">
        <v>1</v>
      </c>
      <c r="E34" s="13" t="n">
        <v>0</v>
      </c>
      <c r="F34" s="13" t="n">
        <v>1</v>
      </c>
      <c r="G34" s="13" t="n">
        <v>1</v>
      </c>
      <c r="H34" s="13" t="n">
        <v>1</v>
      </c>
      <c r="I34" s="13" t="n">
        <v>0</v>
      </c>
      <c r="J34" s="13" t="n">
        <v>1</v>
      </c>
      <c r="K34" s="13" t="n">
        <v>1</v>
      </c>
      <c r="L34" s="12">
        <f>COUNTIF(D34:K34,1)</f>
        <v/>
      </c>
      <c r="M34" s="12">
        <f>IF(COUNT(D34:K34)=0,"",ROUND(L34/8*100,1))</f>
        <v/>
      </c>
      <c r="N34" s="12">
        <f>COUNTIF(D34:K34,0)</f>
        <v/>
      </c>
      <c r="O34" s="12">
        <f>IF(COUNT(D34:K34)=0,"",ROUND(N34/8*100,1))</f>
        <v/>
      </c>
      <c r="P34" s="20">
        <f>IF(M34="","",IF(M34&gt;=Нэгтгэл!$K$4,"Хангалттай эзэмшиж байна",IF(M34&gt;=Нэгтгэл!$K$5,"Ахиж байна","Хөгжиж байна")))</f>
        <v/>
      </c>
    </row>
    <row r="35" ht="16" customHeight="1">
      <c r="A35" s="12" t="n">
        <v>29</v>
      </c>
      <c r="B35" s="12">
        <f>IF(Нэгтгэл!B35="","",Нэгтгэл!B35)</f>
        <v/>
      </c>
      <c r="C35" s="4" t="n"/>
      <c r="D35" s="13" t="n">
        <v>1</v>
      </c>
      <c r="E35" s="13" t="n">
        <v>1</v>
      </c>
      <c r="F35" s="13" t="n">
        <v>1</v>
      </c>
      <c r="G35" s="13" t="n">
        <v>0</v>
      </c>
      <c r="H35" s="13" t="n">
        <v>0</v>
      </c>
      <c r="I35" s="13" t="n">
        <v>1</v>
      </c>
      <c r="J35" s="13" t="n">
        <v>1</v>
      </c>
      <c r="K35" s="13" t="n">
        <v>1</v>
      </c>
      <c r="L35" s="12">
        <f>COUNTIF(D35:K35,1)</f>
        <v/>
      </c>
      <c r="M35" s="12">
        <f>IF(COUNT(D35:K35)=0,"",ROUND(L35/8*100,1))</f>
        <v/>
      </c>
      <c r="N35" s="12">
        <f>COUNTIF(D35:K35,0)</f>
        <v/>
      </c>
      <c r="O35" s="12">
        <f>IF(COUNT(D35:K35)=0,"",ROUND(N35/8*100,1))</f>
        <v/>
      </c>
      <c r="P35" s="20">
        <f>IF(M35="","",IF(M35&gt;=Нэгтгэл!$K$4,"Хангалттай эзэмшиж байна",IF(M35&gt;=Нэгтгэл!$K$5,"Ахиж байна","Хөгжиж байна")))</f>
        <v/>
      </c>
    </row>
    <row r="36" ht="16" customHeight="1">
      <c r="A36" s="12" t="n">
        <v>30</v>
      </c>
      <c r="B36" s="12">
        <f>IF(Нэгтгэл!B36="","",Нэгтгэл!B36)</f>
        <v/>
      </c>
      <c r="C36" s="4" t="n"/>
      <c r="D36" s="13" t="n">
        <v>1</v>
      </c>
      <c r="E36" s="13" t="n">
        <v>1</v>
      </c>
      <c r="F36" s="13" t="n">
        <v>0</v>
      </c>
      <c r="G36" s="13" t="n">
        <v>1</v>
      </c>
      <c r="H36" s="13" t="n">
        <v>0</v>
      </c>
      <c r="I36" s="13" t="n">
        <v>1</v>
      </c>
      <c r="J36" s="13" t="n">
        <v>0</v>
      </c>
      <c r="K36" s="13" t="n">
        <v>1</v>
      </c>
      <c r="L36" s="12">
        <f>COUNTIF(D36:K36,1)</f>
        <v/>
      </c>
      <c r="M36" s="12">
        <f>IF(COUNT(D36:K36)=0,"",ROUND(L36/8*100,1))</f>
        <v/>
      </c>
      <c r="N36" s="12">
        <f>COUNTIF(D36:K36,0)</f>
        <v/>
      </c>
      <c r="O36" s="12">
        <f>IF(COUNT(D36:K36)=0,"",ROUND(N36/8*100,1))</f>
        <v/>
      </c>
      <c r="P36" s="20">
        <f>IF(M36="","",IF(M36&gt;=Нэгтгэл!$K$4,"Хангалттай эзэмшиж байна",IF(M36&gt;=Нэгтгэл!$K$5,"Ахиж байна","Хөгжиж байна")))</f>
        <v/>
      </c>
    </row>
    <row r="37" ht="16" customHeight="1">
      <c r="A37" s="12" t="n">
        <v>31</v>
      </c>
      <c r="B37" s="12">
        <f>IF(Нэгтгэл!B37="","",Нэгтгэл!B37)</f>
        <v/>
      </c>
      <c r="C37" s="4" t="n"/>
      <c r="D37" s="13" t="n">
        <v>1</v>
      </c>
      <c r="E37" s="13" t="n">
        <v>1</v>
      </c>
      <c r="F37" s="13" t="n">
        <v>1</v>
      </c>
      <c r="G37" s="13" t="n">
        <v>1</v>
      </c>
      <c r="H37" s="13" t="n">
        <v>1</v>
      </c>
      <c r="I37" s="13" t="n">
        <v>1</v>
      </c>
      <c r="J37" s="13" t="n">
        <v>1</v>
      </c>
      <c r="K37" s="13" t="n">
        <v>1</v>
      </c>
      <c r="L37" s="12">
        <f>COUNTIF(D37:K37,1)</f>
        <v/>
      </c>
      <c r="M37" s="12">
        <f>IF(COUNT(D37:K37)=0,"",ROUND(L37/8*100,1))</f>
        <v/>
      </c>
      <c r="N37" s="12">
        <f>COUNTIF(D37:K37,0)</f>
        <v/>
      </c>
      <c r="O37" s="12">
        <f>IF(COUNT(D37:K37)=0,"",ROUND(N37/8*100,1))</f>
        <v/>
      </c>
      <c r="P37" s="20">
        <f>IF(M37="","",IF(M37&gt;=Нэгтгэл!$K$4,"Хангалттай эзэмшиж байна",IF(M37&gt;=Нэгтгэл!$K$5,"Ахиж байна","Хөгжиж байна")))</f>
        <v/>
      </c>
    </row>
    <row r="38" ht="16" customHeight="1">
      <c r="A38" s="12" t="n">
        <v>32</v>
      </c>
      <c r="B38" s="12">
        <f>IF(Нэгтгэл!B38="","",Нэгтгэл!B38)</f>
        <v/>
      </c>
      <c r="C38" s="4" t="n"/>
      <c r="D38" s="13" t="n">
        <v>1</v>
      </c>
      <c r="E38" s="13" t="n">
        <v>0</v>
      </c>
      <c r="F38" s="13" t="n">
        <v>1</v>
      </c>
      <c r="G38" s="13" t="n">
        <v>1</v>
      </c>
      <c r="H38" s="13" t="n">
        <v>1</v>
      </c>
      <c r="I38" s="13" t="n">
        <v>1</v>
      </c>
      <c r="J38" s="13" t="n">
        <v>1</v>
      </c>
      <c r="K38" s="13" t="n">
        <v>1</v>
      </c>
      <c r="L38" s="12">
        <f>COUNTIF(D38:K38,1)</f>
        <v/>
      </c>
      <c r="M38" s="12">
        <f>IF(COUNT(D38:K38)=0,"",ROUND(L38/8*100,1))</f>
        <v/>
      </c>
      <c r="N38" s="12">
        <f>COUNTIF(D38:K38,0)</f>
        <v/>
      </c>
      <c r="O38" s="12">
        <f>IF(COUNT(D38:K38)=0,"",ROUND(N38/8*100,1))</f>
        <v/>
      </c>
      <c r="P38" s="20">
        <f>IF(M38="","",IF(M38&gt;=Нэгтгэл!$K$4,"Хангалттай эзэмшиж байна",IF(M38&gt;=Нэгтгэл!$K$5,"Ахиж байна","Хөгжиж байна")))</f>
        <v/>
      </c>
    </row>
    <row r="39" ht="16" customHeight="1">
      <c r="A39" s="12" t="n">
        <v>33</v>
      </c>
      <c r="B39" s="12">
        <f>IF(Нэгтгэл!B39="","",Нэгтгэл!B39)</f>
        <v/>
      </c>
      <c r="C39" s="4" t="n"/>
      <c r="D39" s="13" t="n">
        <v>0</v>
      </c>
      <c r="E39" s="13" t="n">
        <v>1</v>
      </c>
      <c r="F39" s="13" t="n">
        <v>1</v>
      </c>
      <c r="G39" s="13" t="n">
        <v>1</v>
      </c>
      <c r="H39" s="13" t="n">
        <v>1</v>
      </c>
      <c r="I39" s="13" t="n">
        <v>0</v>
      </c>
      <c r="J39" s="13" t="n">
        <v>0</v>
      </c>
      <c r="K39" s="13" t="n">
        <v>1</v>
      </c>
      <c r="L39" s="12">
        <f>COUNTIF(D39:K39,1)</f>
        <v/>
      </c>
      <c r="M39" s="12">
        <f>IF(COUNT(D39:K39)=0,"",ROUND(L39/8*100,1))</f>
        <v/>
      </c>
      <c r="N39" s="12">
        <f>COUNTIF(D39:K39,0)</f>
        <v/>
      </c>
      <c r="O39" s="12">
        <f>IF(COUNT(D39:K39)=0,"",ROUND(N39/8*100,1))</f>
        <v/>
      </c>
      <c r="P39" s="20">
        <f>IF(M39="","",IF(M39&gt;=Нэгтгэл!$K$4,"Хангалттай эзэмшиж байна",IF(M39&gt;=Нэгтгэл!$K$5,"Ахиж байна","Хөгжиж байна")))</f>
        <v/>
      </c>
    </row>
    <row r="40" ht="16" customHeight="1">
      <c r="A40" s="12" t="n">
        <v>34</v>
      </c>
      <c r="B40" s="12">
        <f>IF(Нэгтгэл!B40="","",Нэгтгэл!B40)</f>
        <v/>
      </c>
      <c r="C40" s="4" t="n"/>
      <c r="D40" s="13" t="n">
        <v>1</v>
      </c>
      <c r="E40" s="13" t="n">
        <v>0</v>
      </c>
      <c r="F40" s="13" t="n">
        <v>1</v>
      </c>
      <c r="G40" s="13" t="n">
        <v>0</v>
      </c>
      <c r="H40" s="13" t="n">
        <v>1</v>
      </c>
      <c r="I40" s="13" t="n">
        <v>1</v>
      </c>
      <c r="J40" s="13" t="n">
        <v>1</v>
      </c>
      <c r="K40" s="13" t="n">
        <v>1</v>
      </c>
      <c r="L40" s="12">
        <f>COUNTIF(D40:K40,1)</f>
        <v/>
      </c>
      <c r="M40" s="12">
        <f>IF(COUNT(D40:K40)=0,"",ROUND(L40/8*100,1))</f>
        <v/>
      </c>
      <c r="N40" s="12">
        <f>COUNTIF(D40:K40,0)</f>
        <v/>
      </c>
      <c r="O40" s="12">
        <f>IF(COUNT(D40:K40)=0,"",ROUND(N40/8*100,1))</f>
        <v/>
      </c>
      <c r="P40" s="20">
        <f>IF(M40="","",IF(M40&gt;=Нэгтгэл!$K$4,"Хангалттай эзэмшиж байна",IF(M40&gt;=Нэгтгэл!$K$5,"Ахиж байна","Хөгжиж байна")))</f>
        <v/>
      </c>
    </row>
    <row r="41" ht="16" customHeight="1">
      <c r="A41" s="12" t="n">
        <v>35</v>
      </c>
      <c r="B41" s="12">
        <f>IF(Нэгтгэл!B41="","",Нэгтгэл!B41)</f>
        <v/>
      </c>
      <c r="C41" s="4" t="n"/>
      <c r="D41" s="13" t="n">
        <v>1</v>
      </c>
      <c r="E41" s="13" t="n">
        <v>1</v>
      </c>
      <c r="F41" s="13" t="n">
        <v>1</v>
      </c>
      <c r="G41" s="13" t="n">
        <v>1</v>
      </c>
      <c r="H41" s="13" t="n">
        <v>1</v>
      </c>
      <c r="I41" s="13" t="n">
        <v>1</v>
      </c>
      <c r="J41" s="13" t="n">
        <v>1</v>
      </c>
      <c r="K41" s="13" t="n">
        <v>1</v>
      </c>
      <c r="L41" s="12">
        <f>COUNTIF(D41:K41,1)</f>
        <v/>
      </c>
      <c r="M41" s="12">
        <f>IF(COUNT(D41:K41)=0,"",ROUND(L41/8*100,1))</f>
        <v/>
      </c>
      <c r="N41" s="12">
        <f>COUNTIF(D41:K41,0)</f>
        <v/>
      </c>
      <c r="O41" s="12">
        <f>IF(COUNT(D41:K41)=0,"",ROUND(N41/8*100,1))</f>
        <v/>
      </c>
      <c r="P41" s="20">
        <f>IF(M41="","",IF(M41&gt;=Нэгтгэл!$K$4,"Хангалттай эзэмшиж байна",IF(M41&gt;=Нэгтгэл!$K$5,"Ахиж байна","Хөгжиж байна")))</f>
        <v/>
      </c>
    </row>
    <row r="42" ht="16" customHeight="1">
      <c r="A42" s="12" t="n">
        <v>36</v>
      </c>
      <c r="B42" s="12">
        <f>IF(Нэгтгэл!B42="","",Нэгтгэл!B42)</f>
        <v/>
      </c>
      <c r="C42" s="4" t="n"/>
      <c r="D42" s="13" t="n">
        <v>1</v>
      </c>
      <c r="E42" s="13" t="n">
        <v>0</v>
      </c>
      <c r="F42" s="13" t="n">
        <v>1</v>
      </c>
      <c r="G42" s="13" t="n">
        <v>1</v>
      </c>
      <c r="H42" s="13" t="n">
        <v>0</v>
      </c>
      <c r="I42" s="13" t="n">
        <v>1</v>
      </c>
      <c r="J42" s="13" t="n">
        <v>1</v>
      </c>
      <c r="K42" s="13" t="n">
        <v>1</v>
      </c>
      <c r="L42" s="12">
        <f>COUNTIF(D42:K42,1)</f>
        <v/>
      </c>
      <c r="M42" s="12">
        <f>IF(COUNT(D42:K42)=0,"",ROUND(L42/8*100,1))</f>
        <v/>
      </c>
      <c r="N42" s="12">
        <f>COUNTIF(D42:K42,0)</f>
        <v/>
      </c>
      <c r="O42" s="12">
        <f>IF(COUNT(D42:K42)=0,"",ROUND(N42/8*100,1))</f>
        <v/>
      </c>
      <c r="P42" s="20">
        <f>IF(M42="","",IF(M42&gt;=Нэгтгэл!$K$4,"Хангалттай эзэмшиж байна",IF(M42&gt;=Нэгтгэл!$K$5,"Ахиж байна","Хөгжиж байна")))</f>
        <v/>
      </c>
    </row>
    <row r="43" ht="16" customHeight="1">
      <c r="A43" s="12" t="n">
        <v>37</v>
      </c>
      <c r="B43" s="12">
        <f>IF(Нэгтгэл!B43="","",Нэгтгэл!B43)</f>
        <v/>
      </c>
      <c r="C43" s="4" t="n"/>
      <c r="D43" s="13" t="n">
        <v>1</v>
      </c>
      <c r="E43" s="13" t="n">
        <v>1</v>
      </c>
      <c r="F43" s="13" t="n">
        <v>1</v>
      </c>
      <c r="G43" s="13" t="n">
        <v>1</v>
      </c>
      <c r="H43" s="13" t="n">
        <v>1</v>
      </c>
      <c r="I43" s="13" t="n">
        <v>1</v>
      </c>
      <c r="J43" s="13" t="n">
        <v>1</v>
      </c>
      <c r="K43" s="13" t="n">
        <v>1</v>
      </c>
      <c r="L43" s="12">
        <f>COUNTIF(D43:K43,1)</f>
        <v/>
      </c>
      <c r="M43" s="12">
        <f>IF(COUNT(D43:K43)=0,"",ROUND(L43/8*100,1))</f>
        <v/>
      </c>
      <c r="N43" s="12">
        <f>COUNTIF(D43:K43,0)</f>
        <v/>
      </c>
      <c r="O43" s="12">
        <f>IF(COUNT(D43:K43)=0,"",ROUND(N43/8*100,1))</f>
        <v/>
      </c>
      <c r="P43" s="20">
        <f>IF(M43="","",IF(M43&gt;=Нэгтгэл!$K$4,"Хангалттай эзэмшиж байна",IF(M43&gt;=Нэгтгэл!$K$5,"Ахиж байна","Хөгжиж байна")))</f>
        <v/>
      </c>
    </row>
    <row r="44" ht="16" customHeight="1">
      <c r="A44" s="12" t="n">
        <v>38</v>
      </c>
      <c r="B44" s="12">
        <f>IF(Нэгтгэл!B44="","",Нэгтгэл!B44)</f>
        <v/>
      </c>
      <c r="C44" s="4" t="n"/>
      <c r="D44" s="13" t="n">
        <v>1</v>
      </c>
      <c r="E44" s="13" t="n">
        <v>0</v>
      </c>
      <c r="F44" s="13" t="n">
        <v>0</v>
      </c>
      <c r="G44" s="13" t="n">
        <v>1</v>
      </c>
      <c r="H44" s="13" t="n">
        <v>1</v>
      </c>
      <c r="I44" s="13" t="n">
        <v>1</v>
      </c>
      <c r="J44" s="13" t="n">
        <v>1</v>
      </c>
      <c r="K44" s="13" t="n">
        <v>1</v>
      </c>
      <c r="L44" s="12">
        <f>COUNTIF(D44:K44,1)</f>
        <v/>
      </c>
      <c r="M44" s="12">
        <f>IF(COUNT(D44:K44)=0,"",ROUND(L44/8*100,1))</f>
        <v/>
      </c>
      <c r="N44" s="12">
        <f>COUNTIF(D44:K44,0)</f>
        <v/>
      </c>
      <c r="O44" s="12">
        <f>IF(COUNT(D44:K44)=0,"",ROUND(N44/8*100,1))</f>
        <v/>
      </c>
      <c r="P44" s="20">
        <f>IF(M44="","",IF(M44&gt;=Нэгтгэл!$K$4,"Хангалттай эзэмшиж байна",IF(M44&gt;=Нэгтгэл!$K$5,"Ахиж байна","Хөгжиж байна")))</f>
        <v/>
      </c>
    </row>
    <row r="45" ht="16" customHeight="1">
      <c r="A45" s="12" t="n">
        <v>39</v>
      </c>
      <c r="B45" s="12">
        <f>IF(Нэгтгэл!B45="","",Нэгтгэл!B45)</f>
        <v/>
      </c>
      <c r="C45" s="4" t="n"/>
      <c r="D45" s="13" t="n">
        <v>1</v>
      </c>
      <c r="E45" s="13" t="n">
        <v>0</v>
      </c>
      <c r="F45" s="13" t="n">
        <v>1</v>
      </c>
      <c r="G45" s="13" t="n">
        <v>1</v>
      </c>
      <c r="H45" s="13" t="n">
        <v>1</v>
      </c>
      <c r="I45" s="13" t="n">
        <v>0</v>
      </c>
      <c r="J45" s="13" t="n">
        <v>1</v>
      </c>
      <c r="K45" s="13" t="n">
        <v>0</v>
      </c>
      <c r="L45" s="12">
        <f>COUNTIF(D45:K45,1)</f>
        <v/>
      </c>
      <c r="M45" s="12">
        <f>IF(COUNT(D45:K45)=0,"",ROUND(L45/8*100,1))</f>
        <v/>
      </c>
      <c r="N45" s="12">
        <f>COUNTIF(D45:K45,0)</f>
        <v/>
      </c>
      <c r="O45" s="12">
        <f>IF(COUNT(D45:K45)=0,"",ROUND(N45/8*100,1))</f>
        <v/>
      </c>
      <c r="P45" s="20">
        <f>IF(M45="","",IF(M45&gt;=Нэгтгэл!$K$4,"Хангалттай эзэмшиж байна",IF(M45&gt;=Нэгтгэл!$K$5,"Ахиж байна","Хөгжиж байна")))</f>
        <v/>
      </c>
    </row>
    <row r="46" ht="16" customHeight="1">
      <c r="A46" s="12" t="n">
        <v>40</v>
      </c>
      <c r="B46" s="12">
        <f>IF(Нэгтгэл!B46="","",Нэгтгэл!B46)</f>
        <v/>
      </c>
      <c r="C46" s="4" t="n"/>
      <c r="D46" s="13" t="n">
        <v>1</v>
      </c>
      <c r="E46" s="13" t="n">
        <v>1</v>
      </c>
      <c r="F46" s="13" t="n">
        <v>0</v>
      </c>
      <c r="G46" s="13" t="n">
        <v>0</v>
      </c>
      <c r="H46" s="13" t="n">
        <v>1</v>
      </c>
      <c r="I46" s="13" t="n">
        <v>1</v>
      </c>
      <c r="J46" s="13" t="n">
        <v>1</v>
      </c>
      <c r="K46" s="13" t="n">
        <v>1</v>
      </c>
      <c r="L46" s="12">
        <f>COUNTIF(D46:K46,1)</f>
        <v/>
      </c>
      <c r="M46" s="12">
        <f>IF(COUNT(D46:K46)=0,"",ROUND(L46/8*100,1))</f>
        <v/>
      </c>
      <c r="N46" s="12">
        <f>COUNTIF(D46:K46,0)</f>
        <v/>
      </c>
      <c r="O46" s="12">
        <f>IF(COUNT(D46:K46)=0,"",ROUND(N46/8*100,1))</f>
        <v/>
      </c>
      <c r="P46" s="20">
        <f>IF(M46="","",IF(M46&gt;=Нэгтгэл!$K$4,"Хангалттай эзэмшиж байна",IF(M46&gt;=Нэгтгэл!$K$5,"Ахиж байна","Хөгжиж байна")))</f>
        <v/>
      </c>
    </row>
    <row r="47" ht="16" customHeight="1">
      <c r="A47" s="12" t="n">
        <v>41</v>
      </c>
      <c r="B47" s="12">
        <f>IF(Нэгтгэл!B47="","",Нэгтгэл!B47)</f>
        <v/>
      </c>
      <c r="C47" s="4" t="n"/>
      <c r="D47" s="13" t="n">
        <v>1</v>
      </c>
      <c r="E47" s="13" t="n">
        <v>1</v>
      </c>
      <c r="F47" s="13" t="n">
        <v>1</v>
      </c>
      <c r="G47" s="13" t="n">
        <v>1</v>
      </c>
      <c r="H47" s="13" t="n">
        <v>0</v>
      </c>
      <c r="I47" s="13" t="n">
        <v>0</v>
      </c>
      <c r="J47" s="13" t="n">
        <v>0</v>
      </c>
      <c r="K47" s="13" t="n">
        <v>1</v>
      </c>
      <c r="L47" s="12">
        <f>COUNTIF(D47:K47,1)</f>
        <v/>
      </c>
      <c r="M47" s="12">
        <f>IF(COUNT(D47:K47)=0,"",ROUND(L47/8*100,1))</f>
        <v/>
      </c>
      <c r="N47" s="12">
        <f>COUNTIF(D47:K47,0)</f>
        <v/>
      </c>
      <c r="O47" s="12">
        <f>IF(COUNT(D47:K47)=0,"",ROUND(N47/8*100,1))</f>
        <v/>
      </c>
      <c r="P47" s="20">
        <f>IF(M47="","",IF(M47&gt;=Нэгтгэл!$K$4,"Хангалттай эзэмшиж байна",IF(M47&gt;=Нэгтгэл!$K$5,"Ахиж байна","Хөгжиж байна")))</f>
        <v/>
      </c>
    </row>
    <row r="48" ht="16" customHeight="1">
      <c r="A48" s="12" t="n">
        <v>42</v>
      </c>
      <c r="B48" s="12">
        <f>IF(Нэгтгэл!B48="","",Нэгтгэл!B48)</f>
        <v/>
      </c>
      <c r="C48" s="4" t="n"/>
      <c r="D48" s="13" t="n">
        <v>1</v>
      </c>
      <c r="E48" s="13" t="n">
        <v>1</v>
      </c>
      <c r="F48" s="13" t="n">
        <v>1</v>
      </c>
      <c r="G48" s="13" t="n">
        <v>1</v>
      </c>
      <c r="H48" s="13" t="n">
        <v>1</v>
      </c>
      <c r="I48" s="13" t="n">
        <v>1</v>
      </c>
      <c r="J48" s="13" t="n">
        <v>1</v>
      </c>
      <c r="K48" s="13" t="n">
        <v>1</v>
      </c>
      <c r="L48" s="12">
        <f>COUNTIF(D48:K48,1)</f>
        <v/>
      </c>
      <c r="M48" s="12">
        <f>IF(COUNT(D48:K48)=0,"",ROUND(L48/8*100,1))</f>
        <v/>
      </c>
      <c r="N48" s="12">
        <f>COUNTIF(D48:K48,0)</f>
        <v/>
      </c>
      <c r="O48" s="12">
        <f>IF(COUNT(D48:K48)=0,"",ROUND(N48/8*100,1))</f>
        <v/>
      </c>
      <c r="P48" s="20">
        <f>IF(M48="","",IF(M48&gt;=Нэгтгэл!$K$4,"Хангалттай эзэмшиж байна",IF(M48&gt;=Нэгтгэл!$K$5,"Ахиж байна","Хөгжиж байна")))</f>
        <v/>
      </c>
    </row>
    <row r="49" ht="16" customHeight="1">
      <c r="A49" s="12" t="n">
        <v>43</v>
      </c>
      <c r="B49" s="12">
        <f>IF(Нэгтгэл!B49="","",Нэгтгэл!B49)</f>
        <v/>
      </c>
      <c r="C49" s="4" t="n"/>
      <c r="D49" s="13" t="n">
        <v>1</v>
      </c>
      <c r="E49" s="13" t="n">
        <v>1</v>
      </c>
      <c r="F49" s="13" t="n">
        <v>1</v>
      </c>
      <c r="G49" s="13" t="n">
        <v>1</v>
      </c>
      <c r="H49" s="13" t="n">
        <v>0</v>
      </c>
      <c r="I49" s="13" t="n">
        <v>1</v>
      </c>
      <c r="J49" s="13" t="n">
        <v>1</v>
      </c>
      <c r="K49" s="13" t="n">
        <v>0</v>
      </c>
      <c r="L49" s="12">
        <f>COUNTIF(D49:K49,1)</f>
        <v/>
      </c>
      <c r="M49" s="12">
        <f>IF(COUNT(D49:K49)=0,"",ROUND(L49/8*100,1))</f>
        <v/>
      </c>
      <c r="N49" s="12">
        <f>COUNTIF(D49:K49,0)</f>
        <v/>
      </c>
      <c r="O49" s="12">
        <f>IF(COUNT(D49:K49)=0,"",ROUND(N49/8*100,1))</f>
        <v/>
      </c>
      <c r="P49" s="20">
        <f>IF(M49="","",IF(M49&gt;=Нэгтгэл!$K$4,"Хангалттай эзэмшиж байна",IF(M49&gt;=Нэгтгэл!$K$5,"Ахиж байна","Хөгжиж байна")))</f>
        <v/>
      </c>
    </row>
    <row r="50" ht="16" customHeight="1">
      <c r="A50" s="12" t="n">
        <v>44</v>
      </c>
      <c r="B50" s="12">
        <f>IF(Нэгтгэл!B50="","",Нэгтгэл!B50)</f>
        <v/>
      </c>
      <c r="C50" s="4" t="n"/>
      <c r="D50" s="13" t="n">
        <v>1</v>
      </c>
      <c r="E50" s="13" t="n">
        <v>1</v>
      </c>
      <c r="F50" s="13" t="n">
        <v>1</v>
      </c>
      <c r="G50" s="13" t="n">
        <v>1</v>
      </c>
      <c r="H50" s="13" t="n">
        <v>1</v>
      </c>
      <c r="I50" s="13" t="n">
        <v>1</v>
      </c>
      <c r="J50" s="13" t="n">
        <v>1</v>
      </c>
      <c r="K50" s="13" t="n">
        <v>0</v>
      </c>
      <c r="L50" s="12">
        <f>COUNTIF(D50:K50,1)</f>
        <v/>
      </c>
      <c r="M50" s="12">
        <f>IF(COUNT(D50:K50)=0,"",ROUND(L50/8*100,1))</f>
        <v/>
      </c>
      <c r="N50" s="12">
        <f>COUNTIF(D50:K50,0)</f>
        <v/>
      </c>
      <c r="O50" s="12">
        <f>IF(COUNT(D50:K50)=0,"",ROUND(N50/8*100,1))</f>
        <v/>
      </c>
      <c r="P50" s="20">
        <f>IF(M50="","",IF(M50&gt;=Нэгтгэл!$K$4,"Хангалттай эзэмшиж байна",IF(M50&gt;=Нэгтгэл!$K$5,"Ахиж байна","Хөгжиж байна")))</f>
        <v/>
      </c>
    </row>
    <row r="51" ht="16" customHeight="1">
      <c r="A51" s="12" t="n">
        <v>45</v>
      </c>
      <c r="B51" s="12">
        <f>IF(Нэгтгэл!B51="","",Нэгтгэл!B51)</f>
        <v/>
      </c>
      <c r="C51" s="4" t="n"/>
      <c r="D51" s="13" t="n">
        <v>1</v>
      </c>
      <c r="E51" s="13" t="n">
        <v>1</v>
      </c>
      <c r="F51" s="13" t="n">
        <v>0</v>
      </c>
      <c r="G51" s="13" t="n">
        <v>1</v>
      </c>
      <c r="H51" s="13" t="n">
        <v>0</v>
      </c>
      <c r="I51" s="13" t="n">
        <v>1</v>
      </c>
      <c r="J51" s="13" t="n">
        <v>1</v>
      </c>
      <c r="K51" s="13" t="n">
        <v>1</v>
      </c>
      <c r="L51" s="12">
        <f>COUNTIF(D51:K51,1)</f>
        <v/>
      </c>
      <c r="M51" s="12">
        <f>IF(COUNT(D51:K51)=0,"",ROUND(L51/8*100,1))</f>
        <v/>
      </c>
      <c r="N51" s="12">
        <f>COUNTIF(D51:K51,0)</f>
        <v/>
      </c>
      <c r="O51" s="12">
        <f>IF(COUNT(D51:K51)=0,"",ROUND(N51/8*100,1))</f>
        <v/>
      </c>
      <c r="P51" s="20">
        <f>IF(M51="","",IF(M51&gt;=Нэгтгэл!$K$4,"Хангалттай эзэмшиж байна",IF(M51&gt;=Нэгтгэл!$K$5,"Ахиж байна","Хөгжиж байна")))</f>
        <v/>
      </c>
    </row>
    <row r="52" ht="16" customHeight="1">
      <c r="A52" s="12" t="n">
        <v>46</v>
      </c>
      <c r="B52" s="12">
        <f>IF(Нэгтгэл!B52="","",Нэгтгэл!B52)</f>
        <v/>
      </c>
      <c r="C52" s="4" t="n"/>
      <c r="D52" s="13" t="n">
        <v>1</v>
      </c>
      <c r="E52" s="13" t="n">
        <v>1</v>
      </c>
      <c r="F52" s="13" t="n">
        <v>1</v>
      </c>
      <c r="G52" s="13" t="n">
        <v>1</v>
      </c>
      <c r="H52" s="13" t="n">
        <v>1</v>
      </c>
      <c r="I52" s="13" t="n">
        <v>1</v>
      </c>
      <c r="J52" s="13" t="n">
        <v>1</v>
      </c>
      <c r="K52" s="13" t="n">
        <v>1</v>
      </c>
      <c r="L52" s="12">
        <f>COUNTIF(D52:K52,1)</f>
        <v/>
      </c>
      <c r="M52" s="12">
        <f>IF(COUNT(D52:K52)=0,"",ROUND(L52/8*100,1))</f>
        <v/>
      </c>
      <c r="N52" s="12">
        <f>COUNTIF(D52:K52,0)</f>
        <v/>
      </c>
      <c r="O52" s="12">
        <f>IF(COUNT(D52:K52)=0,"",ROUND(N52/8*100,1))</f>
        <v/>
      </c>
      <c r="P52" s="20">
        <f>IF(M52="","",IF(M52&gt;=Нэгтгэл!$K$4,"Хангалттай эзэмшиж байна",IF(M52&gt;=Нэгтгэл!$K$5,"Ахиж байна","Хөгжиж байна")))</f>
        <v/>
      </c>
    </row>
    <row r="53" ht="16" customHeight="1">
      <c r="A53" s="12" t="n">
        <v>47</v>
      </c>
      <c r="B53" s="12">
        <f>IF(Нэгтгэл!B53="","",Нэгтгэл!B53)</f>
        <v/>
      </c>
      <c r="C53" s="4" t="n"/>
      <c r="D53" s="13" t="n">
        <v>1</v>
      </c>
      <c r="E53" s="13" t="n">
        <v>1</v>
      </c>
      <c r="F53" s="13" t="n">
        <v>1</v>
      </c>
      <c r="G53" s="13" t="n">
        <v>1</v>
      </c>
      <c r="H53" s="13" t="n">
        <v>0</v>
      </c>
      <c r="I53" s="13" t="n">
        <v>1</v>
      </c>
      <c r="J53" s="13" t="n">
        <v>0</v>
      </c>
      <c r="K53" s="13" t="n">
        <v>1</v>
      </c>
      <c r="L53" s="12">
        <f>COUNTIF(D53:K53,1)</f>
        <v/>
      </c>
      <c r="M53" s="12">
        <f>IF(COUNT(D53:K53)=0,"",ROUND(L53/8*100,1))</f>
        <v/>
      </c>
      <c r="N53" s="12">
        <f>COUNTIF(D53:K53,0)</f>
        <v/>
      </c>
      <c r="O53" s="12">
        <f>IF(COUNT(D53:K53)=0,"",ROUND(N53/8*100,1))</f>
        <v/>
      </c>
      <c r="P53" s="20">
        <f>IF(M53="","",IF(M53&gt;=Нэгтгэл!$K$4,"Хангалттай эзэмшиж байна",IF(M53&gt;=Нэгтгэл!$K$5,"Ахиж байна","Хөгжиж байна")))</f>
        <v/>
      </c>
    </row>
    <row r="54" ht="16" customHeight="1">
      <c r="A54" s="12" t="n">
        <v>48</v>
      </c>
      <c r="B54" s="12">
        <f>IF(Нэгтгэл!B54="","",Нэгтгэл!B54)</f>
        <v/>
      </c>
      <c r="C54" s="4" t="n"/>
      <c r="D54" s="13" t="n">
        <v>0</v>
      </c>
      <c r="E54" s="13" t="n">
        <v>0</v>
      </c>
      <c r="F54" s="13" t="n">
        <v>1</v>
      </c>
      <c r="G54" s="13" t="n">
        <v>1</v>
      </c>
      <c r="H54" s="13" t="n">
        <v>0</v>
      </c>
      <c r="I54" s="13" t="n">
        <v>1</v>
      </c>
      <c r="J54" s="13" t="n">
        <v>1</v>
      </c>
      <c r="K54" s="13" t="n">
        <v>1</v>
      </c>
      <c r="L54" s="12">
        <f>COUNTIF(D54:K54,1)</f>
        <v/>
      </c>
      <c r="M54" s="12">
        <f>IF(COUNT(D54:K54)=0,"",ROUND(L54/8*100,1))</f>
        <v/>
      </c>
      <c r="N54" s="12">
        <f>COUNTIF(D54:K54,0)</f>
        <v/>
      </c>
      <c r="O54" s="12">
        <f>IF(COUNT(D54:K54)=0,"",ROUND(N54/8*100,1))</f>
        <v/>
      </c>
      <c r="P54" s="20">
        <f>IF(M54="","",IF(M54&gt;=Нэгтгэл!$K$4,"Хангалттай эзэмшиж байна",IF(M54&gt;=Нэгтгэл!$K$5,"Ахиж байна","Хөгжиж байна")))</f>
        <v/>
      </c>
    </row>
    <row r="55" ht="16" customHeight="1">
      <c r="A55" s="12" t="n">
        <v>49</v>
      </c>
      <c r="B55" s="12">
        <f>IF(Нэгтгэл!B55="","",Нэгтгэл!B55)</f>
        <v/>
      </c>
      <c r="C55" s="4" t="n"/>
      <c r="D55" s="13" t="n">
        <v>1</v>
      </c>
      <c r="E55" s="13" t="n">
        <v>0</v>
      </c>
      <c r="F55" s="13" t="n">
        <v>0</v>
      </c>
      <c r="G55" s="13" t="n">
        <v>0</v>
      </c>
      <c r="H55" s="13" t="n">
        <v>0</v>
      </c>
      <c r="I55" s="13" t="n">
        <v>1</v>
      </c>
      <c r="J55" s="13" t="n">
        <v>1</v>
      </c>
      <c r="K55" s="13" t="n">
        <v>1</v>
      </c>
      <c r="L55" s="12">
        <f>COUNTIF(D55:K55,1)</f>
        <v/>
      </c>
      <c r="M55" s="12">
        <f>IF(COUNT(D55:K55)=0,"",ROUND(L55/8*100,1))</f>
        <v/>
      </c>
      <c r="N55" s="12">
        <f>COUNTIF(D55:K55,0)</f>
        <v/>
      </c>
      <c r="O55" s="12">
        <f>IF(COUNT(D55:K55)=0,"",ROUND(N55/8*100,1))</f>
        <v/>
      </c>
      <c r="P55" s="20">
        <f>IF(M55="","",IF(M55&gt;=Нэгтгэл!$K$4,"Хангалттай эзэмшиж байна",IF(M55&gt;=Нэгтгэл!$K$5,"Ахиж байна","Хөгжиж байна")))</f>
        <v/>
      </c>
    </row>
    <row r="56" ht="17" customHeight="1">
      <c r="A56" s="5" t="inlineStr">
        <is>
          <t>Чадна (1)</t>
        </is>
      </c>
      <c r="B56" s="15" t="n"/>
      <c r="C56" s="15" t="n"/>
      <c r="D56" s="5">
        <f>COUNTIF(D7:D55,1)</f>
        <v/>
      </c>
      <c r="E56" s="5">
        <f>COUNTIF(E7:E55,1)</f>
        <v/>
      </c>
      <c r="F56" s="5">
        <f>COUNTIF(F7:F55,1)</f>
        <v/>
      </c>
      <c r="G56" s="5">
        <f>COUNTIF(G7:G55,1)</f>
        <v/>
      </c>
      <c r="H56" s="5">
        <f>COUNTIF(H7:H55,1)</f>
        <v/>
      </c>
      <c r="I56" s="5">
        <f>COUNTIF(I7:I55,1)</f>
        <v/>
      </c>
      <c r="J56" s="5">
        <f>COUNTIF(J7:J55,1)</f>
        <v/>
      </c>
      <c r="K56" s="5">
        <f>COUNTIF(K7:K55,1)</f>
        <v/>
      </c>
      <c r="L56" s="21" t="inlineStr">
        <is>
          <t>Хангалттай эзэмшиж байна</t>
        </is>
      </c>
      <c r="M56" s="22" t="n"/>
      <c r="N56" s="22" t="n"/>
      <c r="O56" s="23" t="n"/>
      <c r="P56" s="5">
        <f>COUNTIF(P7:P55,"Хангалттай эзэмшиж байна")</f>
        <v/>
      </c>
    </row>
    <row r="57" ht="17" customHeight="1">
      <c r="A57" s="5" t="inlineStr">
        <is>
          <t>Хувь</t>
        </is>
      </c>
      <c r="B57" s="15" t="n"/>
      <c r="C57" s="15" t="n"/>
      <c r="D57" s="5">
        <f>IF(COUNT(D7:D55)=0,"",ROUND(COUNTIF(D7:D55,1)/COUNT(D7:D55)*100,1))</f>
        <v/>
      </c>
      <c r="E57" s="5">
        <f>IF(COUNT(E7:E55)=0,"",ROUND(COUNTIF(E7:E55,1)/COUNT(E7:E55)*100,1))</f>
        <v/>
      </c>
      <c r="F57" s="5">
        <f>IF(COUNT(F7:F55)=0,"",ROUND(COUNTIF(F7:F55,1)/COUNT(F7:F55)*100,1))</f>
        <v/>
      </c>
      <c r="G57" s="5">
        <f>IF(COUNT(G7:G55)=0,"",ROUND(COUNTIF(G7:G55,1)/COUNT(G7:G55)*100,1))</f>
        <v/>
      </c>
      <c r="H57" s="5">
        <f>IF(COUNT(H7:H55)=0,"",ROUND(COUNTIF(H7:H55,1)/COUNT(H7:H55)*100,1))</f>
        <v/>
      </c>
      <c r="I57" s="5">
        <f>IF(COUNT(I7:I55)=0,"",ROUND(COUNTIF(I7:I55,1)/COUNT(I7:I55)*100,1))</f>
        <v/>
      </c>
      <c r="J57" s="5">
        <f>IF(COUNT(J7:J55)=0,"",ROUND(COUNTIF(J7:J55,1)/COUNT(J7:J55)*100,1))</f>
        <v/>
      </c>
      <c r="K57" s="5">
        <f>IF(COUNT(K7:K55)=0,"",ROUND(COUNTIF(K7:K55,1)/COUNT(K7:K55)*100,1))</f>
        <v/>
      </c>
      <c r="L57" s="21" t="inlineStr">
        <is>
          <t>Ахиж байна</t>
        </is>
      </c>
      <c r="M57" s="22" t="n"/>
      <c r="N57" s="22" t="n"/>
      <c r="O57" s="23" t="n"/>
      <c r="P57" s="5">
        <f>COUNTIF(P7:P55,"Ахиж байна")</f>
        <v/>
      </c>
    </row>
    <row r="58" ht="17" customHeight="1">
      <c r="A58" s="5" t="inlineStr">
        <is>
          <t>Чадахгүй (0)</t>
        </is>
      </c>
      <c r="B58" s="15" t="n"/>
      <c r="C58" s="15" t="n"/>
      <c r="D58" s="5">
        <f>COUNTIF(D7:D55,0)</f>
        <v/>
      </c>
      <c r="E58" s="5">
        <f>COUNTIF(E7:E55,0)</f>
        <v/>
      </c>
      <c r="F58" s="5">
        <f>COUNTIF(F7:F55,0)</f>
        <v/>
      </c>
      <c r="G58" s="5">
        <f>COUNTIF(G7:G55,0)</f>
        <v/>
      </c>
      <c r="H58" s="5">
        <f>COUNTIF(H7:H55,0)</f>
        <v/>
      </c>
      <c r="I58" s="5">
        <f>COUNTIF(I7:I55,0)</f>
        <v/>
      </c>
      <c r="J58" s="5">
        <f>COUNTIF(J7:J55,0)</f>
        <v/>
      </c>
      <c r="K58" s="5">
        <f>COUNTIF(K7:K55,0)</f>
        <v/>
      </c>
      <c r="L58" s="21" t="inlineStr">
        <is>
          <t>Хөгжиж байна</t>
        </is>
      </c>
      <c r="M58" s="22" t="n"/>
      <c r="N58" s="22" t="n"/>
      <c r="O58" s="23" t="n"/>
      <c r="P58" s="5">
        <f>COUNTIF(P7:P55,"Хөгжиж байна")</f>
        <v/>
      </c>
    </row>
    <row r="59" ht="17" customHeight="1">
      <c r="A59" s="5" t="inlineStr">
        <is>
          <t>Хувь</t>
        </is>
      </c>
      <c r="B59" s="15" t="n"/>
      <c r="C59" s="15" t="n"/>
      <c r="D59" s="5">
        <f>IF(COUNT(D7:D55)=0,"",ROUND(COUNTIF(D7:D55,0)/COUNT(D7:D55)*100,1))</f>
        <v/>
      </c>
      <c r="E59" s="5">
        <f>IF(COUNT(E7:E55)=0,"",ROUND(COUNTIF(E7:E55,0)/COUNT(E7:E55)*100,1))</f>
        <v/>
      </c>
      <c r="F59" s="5">
        <f>IF(COUNT(F7:F55)=0,"",ROUND(COUNTIF(F7:F55,0)/COUNT(F7:F55)*100,1))</f>
        <v/>
      </c>
      <c r="G59" s="5">
        <f>IF(COUNT(G7:G55)=0,"",ROUND(COUNTIF(G7:G55,0)/COUNT(G7:G55)*100,1))</f>
        <v/>
      </c>
      <c r="H59" s="5">
        <f>IF(COUNT(H7:H55)=0,"",ROUND(COUNTIF(H7:H55,0)/COUNT(H7:H55)*100,1))</f>
        <v/>
      </c>
      <c r="I59" s="5">
        <f>IF(COUNT(I7:I55)=0,"",ROUND(COUNTIF(I7:I55,0)/COUNT(I7:I55)*100,1))</f>
        <v/>
      </c>
      <c r="J59" s="5">
        <f>IF(COUNT(J7:J55)=0,"",ROUND(COUNTIF(J7:J55,0)/COUNT(J7:J55)*100,1))</f>
        <v/>
      </c>
      <c r="K59" s="5">
        <f>IF(COUNT(K7:K55)=0,"",ROUND(COUNTIF(K7:K55,0)/COUNT(K7:K55)*100,1))</f>
        <v/>
      </c>
      <c r="L59" s="15" t="n"/>
      <c r="M59" s="15" t="n"/>
      <c r="N59" s="15" t="n"/>
      <c r="O59" s="15" t="n"/>
      <c r="P59" s="15" t="n"/>
    </row>
  </sheetData>
  <mergeCells count="66">
    <mergeCell ref="B47:C47"/>
    <mergeCell ref="B16:C16"/>
    <mergeCell ref="B54:C54"/>
    <mergeCell ref="B7:C7"/>
    <mergeCell ref="B25:C25"/>
    <mergeCell ref="O3:O6"/>
    <mergeCell ref="L56:O56"/>
    <mergeCell ref="L3:L6"/>
    <mergeCell ref="B46:C46"/>
    <mergeCell ref="B22:C22"/>
    <mergeCell ref="A56:C56"/>
    <mergeCell ref="B31:C31"/>
    <mergeCell ref="B18:C18"/>
    <mergeCell ref="B27:C27"/>
    <mergeCell ref="A57:C57"/>
    <mergeCell ref="B43:C43"/>
    <mergeCell ref="B12:C12"/>
    <mergeCell ref="B39:C39"/>
    <mergeCell ref="B52:C52"/>
    <mergeCell ref="B21:C21"/>
    <mergeCell ref="B48:C48"/>
    <mergeCell ref="B11:C11"/>
    <mergeCell ref="N3:N6"/>
    <mergeCell ref="B42:C42"/>
    <mergeCell ref="B23:C23"/>
    <mergeCell ref="A3:A6"/>
    <mergeCell ref="B14:C14"/>
    <mergeCell ref="B17:C17"/>
    <mergeCell ref="B8:C8"/>
    <mergeCell ref="B53:C53"/>
    <mergeCell ref="B13:C13"/>
    <mergeCell ref="L57:O57"/>
    <mergeCell ref="B38:C38"/>
    <mergeCell ref="B44:C44"/>
    <mergeCell ref="B29:C29"/>
    <mergeCell ref="A1:P1"/>
    <mergeCell ref="B19:C19"/>
    <mergeCell ref="M3:M6"/>
    <mergeCell ref="B34:C34"/>
    <mergeCell ref="B10:C10"/>
    <mergeCell ref="B28:C28"/>
    <mergeCell ref="B37:C37"/>
    <mergeCell ref="A58:C58"/>
    <mergeCell ref="P3:P6"/>
    <mergeCell ref="B40:C40"/>
    <mergeCell ref="B9:C9"/>
    <mergeCell ref="A59:C59"/>
    <mergeCell ref="B49:C49"/>
    <mergeCell ref="B55:C55"/>
    <mergeCell ref="D3:K3"/>
    <mergeCell ref="B3:C6"/>
    <mergeCell ref="B24:C24"/>
    <mergeCell ref="B30:C30"/>
    <mergeCell ref="B15:C15"/>
    <mergeCell ref="B33:C33"/>
    <mergeCell ref="B51:C51"/>
    <mergeCell ref="B20:C20"/>
    <mergeCell ref="B45:C45"/>
    <mergeCell ref="B36:C36"/>
    <mergeCell ref="L58:O58"/>
    <mergeCell ref="B32:C32"/>
    <mergeCell ref="B50:C50"/>
    <mergeCell ref="B26:C26"/>
    <mergeCell ref="B41:C41"/>
    <mergeCell ref="B35:C35"/>
    <mergeCell ref="A2:P2"/>
  </mergeCells>
  <conditionalFormatting sqref="D7:K55">
    <cfRule type="cellIs" priority="1" operator="equal" dxfId="0">
      <formula>0</formula>
    </cfRule>
  </conditionalFormatting>
  <dataValidations count="1">
    <dataValidation sqref="D7 D8 D9 D10 D11 D12 D13 D14 D15 D16 D17 D18 D19 D20 D21 D22 D23 D24 D25 D26 D27 D28 D29 D30 D31 D32 D33 D34 D35 D36 D37 D38 D39 D40 D41 D42 D43 D44 D45 D46 D47 D48 D49 D50 D51 D52 D53 D54 D55 E7 E8 E9 E10 E11 E12 E13 E14 E15 E16 E17 E18 E19 E20 E21 E22 E23 E24 E25 E26 E27 E28 E29 E30 E31 E32 E33 E34 E35 E36 E37 E38 E39 E40 E41 E42 E43 E44 E45 E46 E47 E48 E49 E50 E51 E52 E53 E54 E55 F7 F8 F9 F10 F11 F12 F13 F14 F15 F16 F17 F18 F19 F20 F21 F22 F23 F24 F25 F26 F27 F28 F29 F30 F31 F32 F33 F34 F35 F36 F37 F38 F39 F40 F41 F42 F43 F44 F45 F46 F47 F48 F49 F50 F51 F52 F53 F54 F55 G7 G8 G9 G10 G11 G12 G13 G14 G15 G16 G17 G18 G19 G20 G21 G22 G23 G24 G25 G26 G27 G28 G29 G30 G31 G32 G33 G34 G35 G36 G37 G38 G39 G40 G41 G42 G43 G44 G45 G46 G47 G48 G49 G50 G51 G52 G53 G54 G55 H7 H8 H9 H10 H11 H12 H13 H14 H15 H16 H17 H18 H19 H20 H21 H22 H23 H24 H25 H26 H27 H28 H29 H30 H31 H32 H33 H34 H35 H36 H37 H38 H39 H40 H41 H42 H43 H44 H45 H46 H47 H48 H49 H50 H51 H52 H53 H54 H55 I7 I8 I9 I10 I11 I12 I13 I14 I15 I16 I17 I18 I19 I20 I21 I22 I23 I24 I25 I26 I27 I28 I29 I30 I31 I32 I33 I34 I35 I36 I37 I38 I39 I40 I41 I42 I43 I44 I45 I46 I47 I48 I49 I50 I51 I52 I53 I54 I55 J7 J8 J9 J10 J11 J12 J13 J14 J15 J16 J17 J18 J19 J20 J21 J22 J23 J24 J25 J26 J27 J28 J29 J30 J31 J32 J33 J34 J35 J36 J37 J38 J39 J40 J41 J42 J43 J44 J45 J46 J47 J48 J49 J50 J51 J52 J53 J54 J55 K7 K8 K9 K10 K11 K12 K13 K14 K15 K16 K17 K18 K19 K20 K21 K22 K23 K24 K25 K26 K27 K28 K29 K30 K31 K32 K33 K34 K35 K36 K37 K38 K39 K40 K41 K42 K43 K44 K45 K46 K47 K48 K49 K50 K51 K52 K53 K54 K55" showDropDown="0" showInputMessage="1" showErrorMessage="1" allowBlank="1" errorTitle="1 эсвэл 0" error="Чадна бол 1, чадахгүй бол 0 гэж бичнэ." promptTitle="Тэмдэглэх" prompt="Чадна = 1, Чадахгүй = 0" type="list">
      <formula1>"1,0"</formula1>
    </dataValidation>
  </dataValidations>
  <printOptions horizontalCentered="1"/>
  <pageMargins left="0.5905511811023622" right="0.1968503937007874" top="0.5905511811023622" bottom="0.5905511811023622" header="0.3149606299212598" footer="0.3149606299212598"/>
  <pageSetup orientation="landscape" paperSize="9" fitToHeight="2" fitToWidth="1"/>
</worksheet>
</file>

<file path=xl/worksheets/sheet3.xml><?xml version="1.0" encoding="utf-8"?>
<worksheet xmlns="http://schemas.openxmlformats.org/spreadsheetml/2006/main">
  <sheetPr>
    <outlinePr summaryBelow="1" summaryRight="1"/>
    <pageSetUpPr fitToPage="1"/>
  </sheetPr>
  <dimension ref="A1:AI59"/>
  <sheetViews>
    <sheetView workbookViewId="0">
      <selection activeCell="A1" sqref="A1"/>
    </sheetView>
  </sheetViews>
  <sheetFormatPr baseColWidth="8" defaultRowHeight="15"/>
  <cols>
    <col width="4.5" customWidth="1" min="1" max="1"/>
    <col width="8" customWidth="1" min="2" max="2"/>
    <col width="4"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7" customWidth="1" min="31" max="31"/>
    <col width="7" customWidth="1" min="32" max="32"/>
    <col width="8" customWidth="1" min="33" max="33"/>
    <col width="7" customWidth="1" min="34" max="34"/>
    <col width="14" customWidth="1" min="35" max="35"/>
  </cols>
  <sheetData>
    <row r="1">
      <c r="A1" s="1" t="inlineStr">
        <is>
          <t>................ ЦЭЦЭРЛЭГИЙН ДУНД БҮЛГИЙН (3 НАС) ГАРААНЫ (ОНОШЛОХ) ҮНЭЛГЭЭ</t>
        </is>
      </c>
    </row>
    <row r="2">
      <c r="A2" s="18" t="inlineStr">
        <is>
          <t>Үнэлгээний хүрээ: Чадвар          Огноо: 20.... оны .... сар          Багш: ................................          Чадна = 1, Чадахгүй = 0  (А/79 журам, II түвшний шалгуур)</t>
        </is>
      </c>
    </row>
    <row r="3">
      <c r="A3" s="3" t="inlineStr">
        <is>
          <t>№</t>
        </is>
      </c>
      <c r="B3" s="3" t="inlineStr">
        <is>
          <t>Хүүхдийн код</t>
        </is>
      </c>
      <c r="C3" s="4" t="n"/>
      <c r="D3" s="3" t="inlineStr">
        <is>
          <t>Үнэлгээний хүрээ: Чадвар</t>
        </is>
      </c>
      <c r="E3" s="4" t="n"/>
      <c r="F3" s="4" t="n"/>
      <c r="G3" s="4" t="n"/>
      <c r="H3" s="4" t="n"/>
      <c r="I3" s="4" t="n"/>
      <c r="J3" s="4" t="n"/>
      <c r="K3" s="4" t="n"/>
      <c r="L3" s="4" t="n"/>
      <c r="M3" s="4" t="n"/>
      <c r="N3" s="4" t="n"/>
      <c r="O3" s="4" t="n"/>
      <c r="P3" s="4" t="n"/>
      <c r="Q3" s="4" t="n"/>
      <c r="R3" s="4" t="n"/>
      <c r="S3" s="4" t="n"/>
      <c r="T3" s="4" t="n"/>
      <c r="U3" s="4" t="n"/>
      <c r="V3" s="4" t="n"/>
      <c r="W3" s="4" t="n"/>
      <c r="X3" s="4" t="n"/>
      <c r="Y3" s="4" t="n"/>
      <c r="Z3" s="4" t="n"/>
      <c r="AA3" s="4" t="n"/>
      <c r="AB3" s="4" t="n"/>
      <c r="AC3" s="4" t="n"/>
      <c r="AD3" s="4" t="n"/>
      <c r="AE3" s="5" t="inlineStr">
        <is>
          <t>Чадна (1)</t>
        </is>
      </c>
      <c r="AF3" s="5" t="inlineStr">
        <is>
          <t>Хувь</t>
        </is>
      </c>
      <c r="AG3" s="5" t="inlineStr">
        <is>
          <t>Чадахгүй (0)</t>
        </is>
      </c>
      <c r="AH3" s="5" t="inlineStr">
        <is>
          <t>Хувь</t>
        </is>
      </c>
      <c r="AI3" s="5" t="inlineStr">
        <is>
          <t>Түвшин</t>
        </is>
      </c>
    </row>
    <row r="4" ht="164" customHeight="1">
      <c r="A4" s="4" t="n"/>
      <c r="B4" s="4" t="n"/>
      <c r="C4" s="4" t="n"/>
      <c r="D4" s="6" t="inlineStr">
        <is>
          <t>Сэтгэл хөдлөлөө үг, эсвэл үйлдлээр илэрхийлдэг.</t>
        </is>
      </c>
      <c r="E4" s="6" t="inlineStr">
        <is>
          <t>Өөрийн хийх дуртай болон дургүй зүйлсээ илэрхийлдэг.</t>
        </is>
      </c>
      <c r="F4" s="6" t="inlineStr">
        <is>
          <t>Алхалтын үед гарын хөдөлгөөнийг өөрчилж (гараа алдлах, өргөх гэх мэт) гүйцэтгэдэг.</t>
        </is>
      </c>
      <c r="G4" s="6" t="inlineStr">
        <is>
          <t>Хоорондоо 15 см зайтай байрлуулсан зураасны дундуур шулуун чиглэлээр гүйдэг.</t>
        </is>
      </c>
      <c r="H4" s="6" t="inlineStr">
        <is>
          <t>Зааврын дагуу 2-3 саадыг сүлжиж мөлхдөг (10 метр зайд).</t>
        </is>
      </c>
      <c r="I4" s="6" t="inlineStr">
        <is>
          <t>Хоёр хөл дээрээ 5 хүртэлх зураас дээгүүр давж үсэрдэг.</t>
        </is>
      </c>
      <c r="J4" s="6" t="inlineStr">
        <is>
          <t>0.5-1 метр зайнаас шидсэн тоглоом, бөмбөг, эд юмсыг барьж авдаг.</t>
        </is>
      </c>
      <c r="K4" s="6" t="inlineStr">
        <is>
          <t>Зааврын дагуу өдөр тутмын хувийн ариун цэвэр сахих үйл (гар, нүүр, ам угаах)-ийг бие даан гүйцэтгэдэг.</t>
        </is>
      </c>
      <c r="L4" s="6" t="inlineStr">
        <is>
          <t>Жимс, хүнсний ногоог насанд хүрэгчдийн тусламжтай угаадаг.</t>
        </is>
      </c>
      <c r="M4" s="6" t="inlineStr">
        <is>
          <t>3-4 үгтэй өгүүлбэрийг давтаж хэлдэг.</t>
        </is>
      </c>
      <c r="N4" s="6" t="inlineStr">
        <is>
          <t>Сургалт, үйл ажиллагаанд оролцох, хамтдаа тоглох явцад асуулт асуудаг.</t>
        </is>
      </c>
      <c r="O4" s="6" t="inlineStr">
        <is>
          <t>Яриандаа өнгө, хэмжээ, тоо ширхэг заасан үгсийг хэрэглэдэг.</t>
        </is>
      </c>
      <c r="P4" s="6" t="inlineStr">
        <is>
          <t>5 хүртэл тоглоом, юмсыг тоолдог.</t>
        </is>
      </c>
      <c r="Q4" s="6" t="inlineStr">
        <is>
          <t>Олон ба цөөн тооны тоглоом, юмсыг зааж хэлдэг.</t>
        </is>
      </c>
      <c r="R4" s="6" t="inlineStr">
        <is>
          <t>3 хүртэлх тооны юмсыг уртаар нь харьцуулдаг.</t>
        </is>
      </c>
      <c r="S4" s="6" t="inlineStr">
        <is>
          <t>Тоглоомыг 2 ижил шинж (өнгө, дүрс, хэмжээ гэх мэт)-ээр нь ангилдаг.</t>
        </is>
      </c>
      <c r="T4" s="6" t="inlineStr">
        <is>
          <t>Байгалийн үзэгдлийг ажиглаж, санаа бодлоо илэрхийлдэг.</t>
        </is>
      </c>
      <c r="U4" s="6" t="inlineStr">
        <is>
          <t>Өөрийн болон гэр бүлийн гишүүдийн талаар ярьдаг.</t>
        </is>
      </c>
      <c r="V4" s="6" t="inlineStr">
        <is>
          <t>Хялбар, ойлгомжтой заавар, дүрмийг ойлгож тайлбарладаг.</t>
        </is>
      </c>
      <c r="W4" s="6" t="inlineStr">
        <is>
          <t>Өөрийн дуртай зүйлээ зурж (зураас, толбо, дардас гэх мэт) дүрсэлдэг.</t>
        </is>
      </c>
      <c r="X4" s="6" t="inlineStr">
        <is>
          <t>Баримлын шавраар хоёр хэсгээс бүтсэн зүйлийг бие даан барьдаг.</t>
        </is>
      </c>
      <c r="Y4" s="6" t="inlineStr">
        <is>
          <t>Бэлдэц дүрс ашиглан багшийн заавраар наамал хийдэг.</t>
        </is>
      </c>
      <c r="Z4" s="6" t="inlineStr">
        <is>
          <t>Тоглоом, эд юмс (блокон тоглоом, шагай, савх гэх мэт)-ыг бие даан бүтээл хийж, тайлбарладаг.</t>
        </is>
      </c>
      <c r="AA4" s="6" t="inlineStr">
        <is>
          <t>Байгаль, эд юмсын дуу чимээг сонсоод ялгадаг.</t>
        </is>
      </c>
      <c r="AB4" s="6" t="inlineStr">
        <is>
          <t>Тоглоом, хэрэглэгдэхүүн ашиглан аялгуунд тохируулж жигд хэмнэлээр дуугаргадаг.</t>
        </is>
      </c>
      <c r="AC4" s="6" t="inlineStr">
        <is>
          <t>Хэмнэл, аянд тохирсон хөдөлгөөн хийдэг.</t>
        </is>
      </c>
      <c r="AD4" s="6" t="inlineStr">
        <is>
          <t>Үлгэр, зохиолын танил дүрд тоглодог.</t>
        </is>
      </c>
      <c r="AE4" s="4" t="n"/>
      <c r="AF4" s="4" t="n"/>
      <c r="AG4" s="4" t="n"/>
      <c r="AH4" s="4" t="n"/>
      <c r="AI4" s="4" t="n"/>
    </row>
    <row r="5" ht="184" customHeight="1">
      <c r="A5" s="4" t="n"/>
      <c r="B5" s="4" t="n"/>
      <c r="C5" s="4" t="n"/>
      <c r="D5" s="19" t="inlineStr">
        <is>
          <t>СҮД: НСХ2.1а. Биеийн мэдрэмж, сэтгэл хөдлөлийг үгээр илэрхийлдэг болно.</t>
        </is>
      </c>
      <c r="E5" s="19" t="inlineStr">
        <is>
          <t>СҮД: НСХ2.1б. Өөрийн хэрэгцээгээ илэрхийлдэг болно.</t>
        </is>
      </c>
      <c r="F5" s="19" t="inlineStr">
        <is>
          <t>СҮД: ХЭМ2.1г. Алхаж, гүйхдээ гар хөлийн хөдөлгөөнөө хослуулан хурдан, удаан гүйцэтгэнэ.</t>
        </is>
      </c>
      <c r="G5" s="19" t="inlineStr">
        <is>
          <t>СҮД: ХЭМ2.1д. Сэдэвт алхалт, гүйлтийг хэрэглэл ашиглан гүйцэтгэнэ.</t>
        </is>
      </c>
      <c r="H5" s="19" t="inlineStr">
        <is>
          <t>СҮД: ХЭМ2.1е. Саадыг сүлжиж, чиглэлээ өөрчлөн мөлхөнө.</t>
        </is>
      </c>
      <c r="I5" s="19" t="inlineStr">
        <is>
          <t>СҮД: ХЭМ2.1и. Хоёр хөл дээр 5 зураас давж үсэрч бууна. (зураас хоорондын зай 35 см)</t>
        </is>
      </c>
      <c r="J5" s="19" t="inlineStr">
        <is>
          <t>СҮД: ХЭМ2.1м. Бөмбөгийг дээш шиднэ, барьж авна.</t>
        </is>
      </c>
      <c r="K5" s="19" t="inlineStr">
        <is>
          <t>СҮД: ХЭМ2.2а. Хувийн ариун цэврийг сахих үйлийг насанд хүрэгчийн зааварчилгаагаар хийнэ.</t>
        </is>
      </c>
      <c r="L5" s="19" t="inlineStr">
        <is>
          <t>СҮД: ХЭМ2.2в. Жимс, хүнсний ногоог насанд хүрэгчтэй хамтран угааж, хэрэглэнэ.</t>
        </is>
      </c>
      <c r="M5" s="19" t="inlineStr">
        <is>
          <t>СҮД: ХЯ2.1б. 3-4 үгтэй өгүүлбэрийг давтаж хэлнэ.</t>
        </is>
      </c>
      <c r="N5" s="19" t="inlineStr">
        <is>
          <t>СҮД: ХЯ2.2б. Бусадтай харилцахдаа энгийн, яриатай холбогдсон асуулт асууна.</t>
        </is>
      </c>
      <c r="O5" s="19" t="inlineStr">
        <is>
          <t>СҮД: ХЯ2.2в. Юмсын өнгө, хэмжээ, байрлал заасан үгээр ярина.</t>
        </is>
      </c>
      <c r="P5" s="19" t="inlineStr">
        <is>
          <t>СҮД: МАТ2.1а. 5 хүртэлх тооны тоглоом, юмсыг тоолох, олон ба цөөн тооны тоглоом, юмсыг зааж хэлнэ.</t>
        </is>
      </c>
      <c r="Q5" s="19" t="inlineStr">
        <is>
          <t>СҮД: МАТ2.1а. 5 хүртэлх тооны тоглоом, юмсыг тоолох, олон ба цөөн тооны тоглоом, юмсыг зааж хэлнэ.</t>
        </is>
      </c>
      <c r="R5" s="19" t="inlineStr">
        <is>
          <t>СҮД: МАТ2.2а. 3 хүртэлх тооны тоглоом юмсыг уртаар нь харьцуулна.</t>
        </is>
      </c>
      <c r="S5" s="19" t="inlineStr">
        <is>
          <t>СҮД: МАТ2.3а. Тоглоом юмсыг тодорхой шинжээр хоёр хэсэгт ангилна.</t>
        </is>
      </c>
      <c r="T5" s="19" t="inlineStr">
        <is>
          <t>СҮД: БНО2.1г. Байгалийн үзэгдлийг ялган таньж, ажиглаж ярилцана.</t>
        </is>
      </c>
      <c r="U5" s="19" t="inlineStr">
        <is>
          <t>СҮД: БНО2.2б. Гэр бүлийн гишүүдийн талаар ярьж, тэдний ажил мэргэжил, хэрэглэдэг хувцас, ажлын багаж хэрэгслийг ялган танина.</t>
        </is>
      </c>
      <c r="V5" s="19" t="inlineStr">
        <is>
          <t>СҮД: ХЯ2.2г. Үгийн утгыг ойлгож, хураангуй өгүүлбэрээр ярина.</t>
        </is>
      </c>
      <c r="W5" s="19" t="inlineStr">
        <is>
          <t>СҮД: ЗУ2.2а. Зураас, дүрсээр өөрийн бодол, төсөөллөө илэрхийлнэ.</t>
        </is>
      </c>
      <c r="X5" s="19" t="inlineStr">
        <is>
          <t>СҮД: ЗУ2.2г. Баримлын шавраар хоёр хэсгээс бүтсэн зүйлийг бие дааж барина.</t>
        </is>
      </c>
      <c r="Y5" s="19" t="inlineStr">
        <is>
          <t>СҮД: ЗУ2.2д. Бэлдэц дүрсээр бие даан нааж бүтээл урлана.</t>
        </is>
      </c>
      <c r="Z5" s="19" t="inlineStr">
        <is>
          <t>СҮД: ЗУ2.2е. Өрж байгуулах, эвлүүлж угсрах аргаар бие дааж тоглоом, эд юмсыг зохион бүтээнэ.</t>
        </is>
      </c>
      <c r="AA5" s="19" t="inlineStr">
        <is>
          <t>СҮД: ХӨГ2.1а. Байгаль, эд юмсын дуу чимээг таньж ялгана.</t>
        </is>
      </c>
      <c r="AB5" s="19" t="inlineStr">
        <is>
          <t>СҮД: ХӨГ2.1в. Дуу, аялгууны хэмнэлийг мэдэрч хамтран тоглоно.</t>
        </is>
      </c>
      <c r="AC5" s="19" t="inlineStr">
        <is>
          <t>СҮД: ХӨГ2.1г. Дуу, аялгууг мэдэрч, тохирсон хөдөлгөөн хийнэ.</t>
        </is>
      </c>
      <c r="AD5" s="19" t="inlineStr">
        <is>
          <t>СҮД: ХӨГ2.1д. Үлгэр зохиол, дуу хөгжмийн танил дүрийг дуурайж, харилцан тоглоно.</t>
        </is>
      </c>
      <c r="AE5" s="4" t="n"/>
      <c r="AF5" s="4" t="n"/>
      <c r="AG5" s="4" t="n"/>
      <c r="AH5" s="4" t="n"/>
      <c r="AI5" s="4" t="n"/>
    </row>
    <row r="6" ht="14" customHeight="1">
      <c r="A6" s="4" t="n"/>
      <c r="B6" s="4" t="n"/>
      <c r="C6" s="4" t="n"/>
      <c r="D6" s="10" t="inlineStr">
        <is>
          <t>1 / 0</t>
        </is>
      </c>
      <c r="E6" s="10" t="inlineStr">
        <is>
          <t>1 / 0</t>
        </is>
      </c>
      <c r="F6" s="10" t="inlineStr">
        <is>
          <t>1 / 0</t>
        </is>
      </c>
      <c r="G6" s="10" t="inlineStr">
        <is>
          <t>1 / 0</t>
        </is>
      </c>
      <c r="H6" s="10" t="inlineStr">
        <is>
          <t>1 / 0</t>
        </is>
      </c>
      <c r="I6" s="10" t="inlineStr">
        <is>
          <t>1 / 0</t>
        </is>
      </c>
      <c r="J6" s="10" t="inlineStr">
        <is>
          <t>1 / 0</t>
        </is>
      </c>
      <c r="K6" s="10" t="inlineStr">
        <is>
          <t>1 / 0</t>
        </is>
      </c>
      <c r="L6" s="10" t="inlineStr">
        <is>
          <t>1 / 0</t>
        </is>
      </c>
      <c r="M6" s="10" t="inlineStr">
        <is>
          <t>1 / 0</t>
        </is>
      </c>
      <c r="N6" s="10" t="inlineStr">
        <is>
          <t>1 / 0</t>
        </is>
      </c>
      <c r="O6" s="10" t="inlineStr">
        <is>
          <t>1 / 0</t>
        </is>
      </c>
      <c r="P6" s="10" t="inlineStr">
        <is>
          <t>1 / 0</t>
        </is>
      </c>
      <c r="Q6" s="10" t="inlineStr">
        <is>
          <t>1 / 0</t>
        </is>
      </c>
      <c r="R6" s="10" t="inlineStr">
        <is>
          <t>1 / 0</t>
        </is>
      </c>
      <c r="S6" s="10" t="inlineStr">
        <is>
          <t>1 / 0</t>
        </is>
      </c>
      <c r="T6" s="10" t="inlineStr">
        <is>
          <t>1 / 0</t>
        </is>
      </c>
      <c r="U6" s="10" t="inlineStr">
        <is>
          <t>1 / 0</t>
        </is>
      </c>
      <c r="V6" s="10" t="inlineStr">
        <is>
          <t>1 / 0</t>
        </is>
      </c>
      <c r="W6" s="10" t="inlineStr">
        <is>
          <t>1 / 0</t>
        </is>
      </c>
      <c r="X6" s="10" t="inlineStr">
        <is>
          <t>1 / 0</t>
        </is>
      </c>
      <c r="Y6" s="10" t="inlineStr">
        <is>
          <t>1 / 0</t>
        </is>
      </c>
      <c r="Z6" s="10" t="inlineStr">
        <is>
          <t>1 / 0</t>
        </is>
      </c>
      <c r="AA6" s="10" t="inlineStr">
        <is>
          <t>1 / 0</t>
        </is>
      </c>
      <c r="AB6" s="10" t="inlineStr">
        <is>
          <t>1 / 0</t>
        </is>
      </c>
      <c r="AC6" s="10" t="inlineStr">
        <is>
          <t>1 / 0</t>
        </is>
      </c>
      <c r="AD6" s="10" t="inlineStr">
        <is>
          <t>1 / 0</t>
        </is>
      </c>
      <c r="AE6" s="4" t="n"/>
      <c r="AF6" s="4" t="n"/>
      <c r="AG6" s="4" t="n"/>
      <c r="AH6" s="4" t="n"/>
      <c r="AI6" s="4" t="n"/>
    </row>
    <row r="7" ht="16" customHeight="1">
      <c r="A7" s="12" t="n">
        <v>1</v>
      </c>
      <c r="B7" s="12">
        <f>IF(Нэгтгэл!B7="","",Нэгтгэл!B7)</f>
        <v/>
      </c>
      <c r="C7" s="4" t="n"/>
      <c r="D7" s="13" t="n">
        <v>1</v>
      </c>
      <c r="E7" s="13" t="n">
        <v>1</v>
      </c>
      <c r="F7" s="13" t="n">
        <v>1</v>
      </c>
      <c r="G7" s="13" t="n">
        <v>1</v>
      </c>
      <c r="H7" s="13" t="n">
        <v>1</v>
      </c>
      <c r="I7" s="13" t="n">
        <v>1</v>
      </c>
      <c r="J7" s="13" t="n">
        <v>1</v>
      </c>
      <c r="K7" s="13" t="n">
        <v>0</v>
      </c>
      <c r="L7" s="13" t="n">
        <v>0</v>
      </c>
      <c r="M7" s="13" t="n">
        <v>1</v>
      </c>
      <c r="N7" s="13" t="n">
        <v>1</v>
      </c>
      <c r="O7" s="13" t="n">
        <v>1</v>
      </c>
      <c r="P7" s="13" t="n">
        <v>1</v>
      </c>
      <c r="Q7" s="13" t="n">
        <v>1</v>
      </c>
      <c r="R7" s="13" t="n">
        <v>1</v>
      </c>
      <c r="S7" s="13" t="n">
        <v>1</v>
      </c>
      <c r="T7" s="13" t="n">
        <v>0</v>
      </c>
      <c r="U7" s="13" t="n">
        <v>0</v>
      </c>
      <c r="V7" s="13" t="n">
        <v>1</v>
      </c>
      <c r="W7" s="13" t="n">
        <v>0</v>
      </c>
      <c r="X7" s="13" t="n">
        <v>1</v>
      </c>
      <c r="Y7" s="13" t="n">
        <v>1</v>
      </c>
      <c r="Z7" s="13" t="n">
        <v>1</v>
      </c>
      <c r="AA7" s="13" t="n">
        <v>0</v>
      </c>
      <c r="AB7" s="13" t="n">
        <v>1</v>
      </c>
      <c r="AC7" s="13" t="n">
        <v>1</v>
      </c>
      <c r="AD7" s="13" t="n">
        <v>1</v>
      </c>
      <c r="AE7" s="12">
        <f>COUNTIF(D7:AD7,1)</f>
        <v/>
      </c>
      <c r="AF7" s="12">
        <f>IF(COUNT(D7:AD7)=0,"",ROUND(AE7/27*100,1))</f>
        <v/>
      </c>
      <c r="AG7" s="12">
        <f>COUNTIF(D7:AD7,0)</f>
        <v/>
      </c>
      <c r="AH7" s="12">
        <f>IF(COUNT(D7:AD7)=0,"",ROUND(AG7/27*100,1))</f>
        <v/>
      </c>
      <c r="AI7" s="20">
        <f>IF(AF7="","",IF(AF7&gt;=Нэгтгэл!$K$4,"Хангалттай эзэмшиж байна",IF(AF7&gt;=Нэгтгэл!$K$5,"Ахиж байна","Хөгжиж байна")))</f>
        <v/>
      </c>
    </row>
    <row r="8" ht="16" customHeight="1">
      <c r="A8" s="12" t="n">
        <v>2</v>
      </c>
      <c r="B8" s="12">
        <f>IF(Нэгтгэл!B8="","",Нэгтгэл!B8)</f>
        <v/>
      </c>
      <c r="C8" s="4" t="n"/>
      <c r="D8" s="13" t="n">
        <v>1</v>
      </c>
      <c r="E8" s="13" t="n">
        <v>1</v>
      </c>
      <c r="F8" s="13" t="n">
        <v>1</v>
      </c>
      <c r="G8" s="13" t="n">
        <v>1</v>
      </c>
      <c r="H8" s="13" t="n">
        <v>1</v>
      </c>
      <c r="I8" s="13" t="n">
        <v>1</v>
      </c>
      <c r="J8" s="13" t="n">
        <v>1</v>
      </c>
      <c r="K8" s="13" t="n">
        <v>1</v>
      </c>
      <c r="L8" s="13" t="n">
        <v>0</v>
      </c>
      <c r="M8" s="13" t="n">
        <v>1</v>
      </c>
      <c r="N8" s="13" t="n">
        <v>1</v>
      </c>
      <c r="O8" s="13" t="n">
        <v>1</v>
      </c>
      <c r="P8" s="13" t="n">
        <v>0</v>
      </c>
      <c r="Q8" s="13" t="n">
        <v>1</v>
      </c>
      <c r="R8" s="13" t="n">
        <v>1</v>
      </c>
      <c r="S8" s="13" t="n">
        <v>0</v>
      </c>
      <c r="T8" s="13" t="n">
        <v>1</v>
      </c>
      <c r="U8" s="13" t="n">
        <v>1</v>
      </c>
      <c r="V8" s="13" t="n">
        <v>1</v>
      </c>
      <c r="W8" s="13" t="n">
        <v>1</v>
      </c>
      <c r="X8" s="13" t="n">
        <v>1</v>
      </c>
      <c r="Y8" s="13" t="n">
        <v>1</v>
      </c>
      <c r="Z8" s="13" t="n">
        <v>1</v>
      </c>
      <c r="AA8" s="13" t="n">
        <v>1</v>
      </c>
      <c r="AB8" s="13" t="n">
        <v>0</v>
      </c>
      <c r="AC8" s="13" t="n">
        <v>0</v>
      </c>
      <c r="AD8" s="13" t="n">
        <v>1</v>
      </c>
      <c r="AE8" s="12">
        <f>COUNTIF(D8:AD8,1)</f>
        <v/>
      </c>
      <c r="AF8" s="12">
        <f>IF(COUNT(D8:AD8)=0,"",ROUND(AE8/27*100,1))</f>
        <v/>
      </c>
      <c r="AG8" s="12">
        <f>COUNTIF(D8:AD8,0)</f>
        <v/>
      </c>
      <c r="AH8" s="12">
        <f>IF(COUNT(D8:AD8)=0,"",ROUND(AG8/27*100,1))</f>
        <v/>
      </c>
      <c r="AI8" s="20">
        <f>IF(AF8="","",IF(AF8&gt;=Нэгтгэл!$K$4,"Хангалттай эзэмшиж байна",IF(AF8&gt;=Нэгтгэл!$K$5,"Ахиж байна","Хөгжиж байна")))</f>
        <v/>
      </c>
    </row>
    <row r="9" ht="16" customHeight="1">
      <c r="A9" s="12" t="n">
        <v>3</v>
      </c>
      <c r="B9" s="12">
        <f>IF(Нэгтгэл!B9="","",Нэгтгэл!B9)</f>
        <v/>
      </c>
      <c r="C9" s="4" t="n"/>
      <c r="D9" s="13" t="n">
        <v>1</v>
      </c>
      <c r="E9" s="13" t="n">
        <v>0</v>
      </c>
      <c r="F9" s="13" t="n">
        <v>1</v>
      </c>
      <c r="G9" s="13" t="n">
        <v>0</v>
      </c>
      <c r="H9" s="13" t="n">
        <v>0</v>
      </c>
      <c r="I9" s="13" t="n">
        <v>1</v>
      </c>
      <c r="J9" s="13" t="n">
        <v>1</v>
      </c>
      <c r="K9" s="13" t="n">
        <v>0</v>
      </c>
      <c r="L9" s="13" t="n">
        <v>1</v>
      </c>
      <c r="M9" s="13" t="n">
        <v>1</v>
      </c>
      <c r="N9" s="13" t="n">
        <v>1</v>
      </c>
      <c r="O9" s="13" t="n">
        <v>0</v>
      </c>
      <c r="P9" s="13" t="n">
        <v>1</v>
      </c>
      <c r="Q9" s="13" t="n">
        <v>1</v>
      </c>
      <c r="R9" s="13" t="n">
        <v>1</v>
      </c>
      <c r="S9" s="13" t="n">
        <v>1</v>
      </c>
      <c r="T9" s="13" t="n">
        <v>0</v>
      </c>
      <c r="U9" s="13" t="n">
        <v>1</v>
      </c>
      <c r="V9" s="13" t="n">
        <v>0</v>
      </c>
      <c r="W9" s="13" t="n">
        <v>1</v>
      </c>
      <c r="X9" s="13" t="n">
        <v>1</v>
      </c>
      <c r="Y9" s="13" t="n">
        <v>0</v>
      </c>
      <c r="Z9" s="13" t="n">
        <v>1</v>
      </c>
      <c r="AA9" s="13" t="n">
        <v>0</v>
      </c>
      <c r="AB9" s="13" t="n">
        <v>1</v>
      </c>
      <c r="AC9" s="13" t="n">
        <v>1</v>
      </c>
      <c r="AD9" s="13" t="n">
        <v>1</v>
      </c>
      <c r="AE9" s="12">
        <f>COUNTIF(D9:AD9,1)</f>
        <v/>
      </c>
      <c r="AF9" s="12">
        <f>IF(COUNT(D9:AD9)=0,"",ROUND(AE9/27*100,1))</f>
        <v/>
      </c>
      <c r="AG9" s="12">
        <f>COUNTIF(D9:AD9,0)</f>
        <v/>
      </c>
      <c r="AH9" s="12">
        <f>IF(COUNT(D9:AD9)=0,"",ROUND(AG9/27*100,1))</f>
        <v/>
      </c>
      <c r="AI9" s="20">
        <f>IF(AF9="","",IF(AF9&gt;=Нэгтгэл!$K$4,"Хангалттай эзэмшиж байна",IF(AF9&gt;=Нэгтгэл!$K$5,"Ахиж байна","Хөгжиж байна")))</f>
        <v/>
      </c>
    </row>
    <row r="10" ht="16" customHeight="1">
      <c r="A10" s="12" t="n">
        <v>4</v>
      </c>
      <c r="B10" s="12">
        <f>IF(Нэгтгэл!B10="","",Нэгтгэл!B10)</f>
        <v/>
      </c>
      <c r="C10" s="4" t="n"/>
      <c r="D10" s="13" t="n">
        <v>1</v>
      </c>
      <c r="E10" s="13" t="n">
        <v>1</v>
      </c>
      <c r="F10" s="13" t="n">
        <v>0</v>
      </c>
      <c r="G10" s="13" t="n">
        <v>0</v>
      </c>
      <c r="H10" s="13" t="n">
        <v>1</v>
      </c>
      <c r="I10" s="13" t="n">
        <v>0</v>
      </c>
      <c r="J10" s="13" t="n">
        <v>1</v>
      </c>
      <c r="K10" s="13" t="n">
        <v>1</v>
      </c>
      <c r="L10" s="13" t="n">
        <v>1</v>
      </c>
      <c r="M10" s="13" t="n">
        <v>1</v>
      </c>
      <c r="N10" s="13" t="n">
        <v>1</v>
      </c>
      <c r="O10" s="13" t="n">
        <v>1</v>
      </c>
      <c r="P10" s="13" t="n">
        <v>1</v>
      </c>
      <c r="Q10" s="13" t="n">
        <v>1</v>
      </c>
      <c r="R10" s="13" t="n">
        <v>0</v>
      </c>
      <c r="S10" s="13" t="n">
        <v>0</v>
      </c>
      <c r="T10" s="13" t="n">
        <v>0</v>
      </c>
      <c r="U10" s="13" t="n">
        <v>1</v>
      </c>
      <c r="V10" s="13" t="n">
        <v>1</v>
      </c>
      <c r="W10" s="13" t="n">
        <v>0</v>
      </c>
      <c r="X10" s="13" t="n">
        <v>1</v>
      </c>
      <c r="Y10" s="13" t="n">
        <v>1</v>
      </c>
      <c r="Z10" s="13" t="n">
        <v>0</v>
      </c>
      <c r="AA10" s="13" t="n">
        <v>0</v>
      </c>
      <c r="AB10" s="13" t="n">
        <v>1</v>
      </c>
      <c r="AC10" s="13" t="n">
        <v>0</v>
      </c>
      <c r="AD10" s="13" t="n">
        <v>1</v>
      </c>
      <c r="AE10" s="12">
        <f>COUNTIF(D10:AD10,1)</f>
        <v/>
      </c>
      <c r="AF10" s="12">
        <f>IF(COUNT(D10:AD10)=0,"",ROUND(AE10/27*100,1))</f>
        <v/>
      </c>
      <c r="AG10" s="12">
        <f>COUNTIF(D10:AD10,0)</f>
        <v/>
      </c>
      <c r="AH10" s="12">
        <f>IF(COUNT(D10:AD10)=0,"",ROUND(AG10/27*100,1))</f>
        <v/>
      </c>
      <c r="AI10" s="20">
        <f>IF(AF10="","",IF(AF10&gt;=Нэгтгэл!$K$4,"Хангалттай эзэмшиж байна",IF(AF10&gt;=Нэгтгэл!$K$5,"Ахиж байна","Хөгжиж байна")))</f>
        <v/>
      </c>
    </row>
    <row r="11" ht="16" customHeight="1">
      <c r="A11" s="12" t="n">
        <v>5</v>
      </c>
      <c r="B11" s="12">
        <f>IF(Нэгтгэл!B11="","",Нэгтгэл!B11)</f>
        <v/>
      </c>
      <c r="C11" s="4" t="n"/>
      <c r="D11" s="13" t="n">
        <v>1</v>
      </c>
      <c r="E11" s="13" t="n">
        <v>1</v>
      </c>
      <c r="F11" s="13" t="n">
        <v>1</v>
      </c>
      <c r="G11" s="13" t="n">
        <v>1</v>
      </c>
      <c r="H11" s="13" t="n">
        <v>1</v>
      </c>
      <c r="I11" s="13" t="n">
        <v>0</v>
      </c>
      <c r="J11" s="13" t="n">
        <v>1</v>
      </c>
      <c r="K11" s="13" t="n">
        <v>1</v>
      </c>
      <c r="L11" s="13" t="n">
        <v>0</v>
      </c>
      <c r="M11" s="13" t="n">
        <v>1</v>
      </c>
      <c r="N11" s="13" t="n">
        <v>0</v>
      </c>
      <c r="O11" s="13" t="n">
        <v>0</v>
      </c>
      <c r="P11" s="13" t="n">
        <v>1</v>
      </c>
      <c r="Q11" s="13" t="n">
        <v>1</v>
      </c>
      <c r="R11" s="13" t="n">
        <v>1</v>
      </c>
      <c r="S11" s="13" t="n">
        <v>1</v>
      </c>
      <c r="T11" s="13" t="n">
        <v>1</v>
      </c>
      <c r="U11" s="13" t="n">
        <v>1</v>
      </c>
      <c r="V11" s="13" t="n">
        <v>0</v>
      </c>
      <c r="W11" s="13" t="n">
        <v>1</v>
      </c>
      <c r="X11" s="13" t="n">
        <v>0</v>
      </c>
      <c r="Y11" s="13" t="n">
        <v>0</v>
      </c>
      <c r="Z11" s="13" t="n">
        <v>1</v>
      </c>
      <c r="AA11" s="13" t="n">
        <v>1</v>
      </c>
      <c r="AB11" s="13" t="n">
        <v>1</v>
      </c>
      <c r="AC11" s="13" t="n">
        <v>1</v>
      </c>
      <c r="AD11" s="13" t="n">
        <v>1</v>
      </c>
      <c r="AE11" s="12">
        <f>COUNTIF(D11:AD11,1)</f>
        <v/>
      </c>
      <c r="AF11" s="12">
        <f>IF(COUNT(D11:AD11)=0,"",ROUND(AE11/27*100,1))</f>
        <v/>
      </c>
      <c r="AG11" s="12">
        <f>COUNTIF(D11:AD11,0)</f>
        <v/>
      </c>
      <c r="AH11" s="12">
        <f>IF(COUNT(D11:AD11)=0,"",ROUND(AG11/27*100,1))</f>
        <v/>
      </c>
      <c r="AI11" s="20">
        <f>IF(AF11="","",IF(AF11&gt;=Нэгтгэл!$K$4,"Хангалттай эзэмшиж байна",IF(AF11&gt;=Нэгтгэл!$K$5,"Ахиж байна","Хөгжиж байна")))</f>
        <v/>
      </c>
    </row>
    <row r="12" ht="16" customHeight="1">
      <c r="A12" s="12" t="n">
        <v>6</v>
      </c>
      <c r="B12" s="12">
        <f>IF(Нэгтгэл!B12="","",Нэгтгэл!B12)</f>
        <v/>
      </c>
      <c r="C12" s="4" t="n"/>
      <c r="D12" s="13" t="n">
        <v>1</v>
      </c>
      <c r="E12" s="13" t="n">
        <v>1</v>
      </c>
      <c r="F12" s="13" t="n">
        <v>0</v>
      </c>
      <c r="G12" s="13" t="n">
        <v>1</v>
      </c>
      <c r="H12" s="13" t="n">
        <v>1</v>
      </c>
      <c r="I12" s="13" t="n">
        <v>0</v>
      </c>
      <c r="J12" s="13" t="n">
        <v>1</v>
      </c>
      <c r="K12" s="13" t="n">
        <v>0</v>
      </c>
      <c r="L12" s="13" t="n">
        <v>1</v>
      </c>
      <c r="M12" s="13" t="n">
        <v>1</v>
      </c>
      <c r="N12" s="13" t="n">
        <v>1</v>
      </c>
      <c r="O12" s="13" t="n">
        <v>1</v>
      </c>
      <c r="P12" s="13" t="n">
        <v>0</v>
      </c>
      <c r="Q12" s="13" t="n">
        <v>1</v>
      </c>
      <c r="R12" s="13" t="n">
        <v>0</v>
      </c>
      <c r="S12" s="13" t="n">
        <v>1</v>
      </c>
      <c r="T12" s="13" t="n">
        <v>1</v>
      </c>
      <c r="U12" s="13" t="n">
        <v>1</v>
      </c>
      <c r="V12" s="13" t="n">
        <v>1</v>
      </c>
      <c r="W12" s="13" t="n">
        <v>0</v>
      </c>
      <c r="X12" s="13" t="n">
        <v>1</v>
      </c>
      <c r="Y12" s="13" t="n">
        <v>1</v>
      </c>
      <c r="Z12" s="13" t="n">
        <v>0</v>
      </c>
      <c r="AA12" s="13" t="n">
        <v>1</v>
      </c>
      <c r="AB12" s="13" t="n">
        <v>1</v>
      </c>
      <c r="AC12" s="13" t="n">
        <v>1</v>
      </c>
      <c r="AD12" s="13" t="n">
        <v>0</v>
      </c>
      <c r="AE12" s="12">
        <f>COUNTIF(D12:AD12,1)</f>
        <v/>
      </c>
      <c r="AF12" s="12">
        <f>IF(COUNT(D12:AD12)=0,"",ROUND(AE12/27*100,1))</f>
        <v/>
      </c>
      <c r="AG12" s="12">
        <f>COUNTIF(D12:AD12,0)</f>
        <v/>
      </c>
      <c r="AH12" s="12">
        <f>IF(COUNT(D12:AD12)=0,"",ROUND(AG12/27*100,1))</f>
        <v/>
      </c>
      <c r="AI12" s="20">
        <f>IF(AF12="","",IF(AF12&gt;=Нэгтгэл!$K$4,"Хангалттай эзэмшиж байна",IF(AF12&gt;=Нэгтгэл!$K$5,"Ахиж байна","Хөгжиж байна")))</f>
        <v/>
      </c>
    </row>
    <row r="13" ht="16" customHeight="1">
      <c r="A13" s="12" t="n">
        <v>7</v>
      </c>
      <c r="B13" s="12">
        <f>IF(Нэгтгэл!B13="","",Нэгтгэл!B13)</f>
        <v/>
      </c>
      <c r="C13" s="4" t="n"/>
      <c r="D13" s="13" t="n">
        <v>1</v>
      </c>
      <c r="E13" s="13" t="n">
        <v>1</v>
      </c>
      <c r="F13" s="13" t="n">
        <v>1</v>
      </c>
      <c r="G13" s="13" t="n">
        <v>1</v>
      </c>
      <c r="H13" s="13" t="n">
        <v>1</v>
      </c>
      <c r="I13" s="13" t="n">
        <v>1</v>
      </c>
      <c r="J13" s="13" t="n">
        <v>1</v>
      </c>
      <c r="K13" s="13" t="n">
        <v>1</v>
      </c>
      <c r="L13" s="13" t="n">
        <v>1</v>
      </c>
      <c r="M13" s="13" t="n">
        <v>1</v>
      </c>
      <c r="N13" s="13" t="n">
        <v>0</v>
      </c>
      <c r="O13" s="13" t="n">
        <v>0</v>
      </c>
      <c r="P13" s="13" t="n">
        <v>1</v>
      </c>
      <c r="Q13" s="13" t="n">
        <v>1</v>
      </c>
      <c r="R13" s="13" t="n">
        <v>1</v>
      </c>
      <c r="S13" s="13" t="n">
        <v>1</v>
      </c>
      <c r="T13" s="13" t="n">
        <v>1</v>
      </c>
      <c r="U13" s="13" t="n">
        <v>1</v>
      </c>
      <c r="V13" s="13" t="n">
        <v>0</v>
      </c>
      <c r="W13" s="13" t="n">
        <v>1</v>
      </c>
      <c r="X13" s="13" t="n">
        <v>0</v>
      </c>
      <c r="Y13" s="13" t="n">
        <v>1</v>
      </c>
      <c r="Z13" s="13" t="n">
        <v>0</v>
      </c>
      <c r="AA13" s="13" t="n">
        <v>0</v>
      </c>
      <c r="AB13" s="13" t="n">
        <v>1</v>
      </c>
      <c r="AC13" s="13" t="n">
        <v>0</v>
      </c>
      <c r="AD13" s="13" t="n">
        <v>1</v>
      </c>
      <c r="AE13" s="12">
        <f>COUNTIF(D13:AD13,1)</f>
        <v/>
      </c>
      <c r="AF13" s="12">
        <f>IF(COUNT(D13:AD13)=0,"",ROUND(AE13/27*100,1))</f>
        <v/>
      </c>
      <c r="AG13" s="12">
        <f>COUNTIF(D13:AD13,0)</f>
        <v/>
      </c>
      <c r="AH13" s="12">
        <f>IF(COUNT(D13:AD13)=0,"",ROUND(AG13/27*100,1))</f>
        <v/>
      </c>
      <c r="AI13" s="20">
        <f>IF(AF13="","",IF(AF13&gt;=Нэгтгэл!$K$4,"Хангалттай эзэмшиж байна",IF(AF13&gt;=Нэгтгэл!$K$5,"Ахиж байна","Хөгжиж байна")))</f>
        <v/>
      </c>
    </row>
    <row r="14" ht="16" customHeight="1">
      <c r="A14" s="12" t="n">
        <v>8</v>
      </c>
      <c r="B14" s="12">
        <f>IF(Нэгтгэл!B14="","",Нэгтгэл!B14)</f>
        <v/>
      </c>
      <c r="C14" s="4" t="n"/>
      <c r="D14" s="13" t="n">
        <v>1</v>
      </c>
      <c r="E14" s="13" t="n">
        <v>1</v>
      </c>
      <c r="F14" s="13" t="n">
        <v>1</v>
      </c>
      <c r="G14" s="13" t="n">
        <v>1</v>
      </c>
      <c r="H14" s="13" t="n">
        <v>1</v>
      </c>
      <c r="I14" s="13" t="n">
        <v>1</v>
      </c>
      <c r="J14" s="13" t="n">
        <v>1</v>
      </c>
      <c r="K14" s="13" t="n">
        <v>1</v>
      </c>
      <c r="L14" s="13" t="n">
        <v>0</v>
      </c>
      <c r="M14" s="13" t="n">
        <v>0</v>
      </c>
      <c r="N14" s="13" t="n">
        <v>0</v>
      </c>
      <c r="O14" s="13" t="n">
        <v>1</v>
      </c>
      <c r="P14" s="13" t="n">
        <v>0</v>
      </c>
      <c r="Q14" s="13" t="n">
        <v>1</v>
      </c>
      <c r="R14" s="13" t="n">
        <v>1</v>
      </c>
      <c r="S14" s="13" t="n">
        <v>1</v>
      </c>
      <c r="T14" s="13" t="n">
        <v>1</v>
      </c>
      <c r="U14" s="13" t="n">
        <v>1</v>
      </c>
      <c r="V14" s="13" t="n">
        <v>1</v>
      </c>
      <c r="W14" s="13" t="n">
        <v>1</v>
      </c>
      <c r="X14" s="13" t="n">
        <v>1</v>
      </c>
      <c r="Y14" s="13" t="n">
        <v>1</v>
      </c>
      <c r="Z14" s="13" t="n">
        <v>0</v>
      </c>
      <c r="AA14" s="13" t="n">
        <v>1</v>
      </c>
      <c r="AB14" s="13" t="n">
        <v>1</v>
      </c>
      <c r="AC14" s="13" t="n">
        <v>1</v>
      </c>
      <c r="AD14" s="13" t="n">
        <v>1</v>
      </c>
      <c r="AE14" s="12">
        <f>COUNTIF(D14:AD14,1)</f>
        <v/>
      </c>
      <c r="AF14" s="12">
        <f>IF(COUNT(D14:AD14)=0,"",ROUND(AE14/27*100,1))</f>
        <v/>
      </c>
      <c r="AG14" s="12">
        <f>COUNTIF(D14:AD14,0)</f>
        <v/>
      </c>
      <c r="AH14" s="12">
        <f>IF(COUNT(D14:AD14)=0,"",ROUND(AG14/27*100,1))</f>
        <v/>
      </c>
      <c r="AI14" s="20">
        <f>IF(AF14="","",IF(AF14&gt;=Нэгтгэл!$K$4,"Хангалттай эзэмшиж байна",IF(AF14&gt;=Нэгтгэл!$K$5,"Ахиж байна","Хөгжиж байна")))</f>
        <v/>
      </c>
    </row>
    <row r="15" ht="16" customHeight="1">
      <c r="A15" s="12" t="n">
        <v>9</v>
      </c>
      <c r="B15" s="12">
        <f>IF(Нэгтгэл!B15="","",Нэгтгэл!B15)</f>
        <v/>
      </c>
      <c r="C15" s="4" t="n"/>
      <c r="D15" s="13" t="n">
        <v>1</v>
      </c>
      <c r="E15" s="13" t="n">
        <v>1</v>
      </c>
      <c r="F15" s="13" t="n">
        <v>1</v>
      </c>
      <c r="G15" s="13" t="n">
        <v>1</v>
      </c>
      <c r="H15" s="13" t="n">
        <v>1</v>
      </c>
      <c r="I15" s="13" t="n">
        <v>0</v>
      </c>
      <c r="J15" s="13" t="n">
        <v>1</v>
      </c>
      <c r="K15" s="13" t="n">
        <v>0</v>
      </c>
      <c r="L15" s="13" t="n">
        <v>1</v>
      </c>
      <c r="M15" s="13" t="n">
        <v>1</v>
      </c>
      <c r="N15" s="13" t="n">
        <v>1</v>
      </c>
      <c r="O15" s="13" t="n">
        <v>1</v>
      </c>
      <c r="P15" s="13" t="n">
        <v>0</v>
      </c>
      <c r="Q15" s="13" t="n">
        <v>1</v>
      </c>
      <c r="R15" s="13" t="n">
        <v>1</v>
      </c>
      <c r="S15" s="13" t="n">
        <v>1</v>
      </c>
      <c r="T15" s="13" t="n">
        <v>0</v>
      </c>
      <c r="U15" s="13" t="n">
        <v>1</v>
      </c>
      <c r="V15" s="13" t="n">
        <v>0</v>
      </c>
      <c r="W15" s="13" t="n">
        <v>0</v>
      </c>
      <c r="X15" s="13" t="n">
        <v>1</v>
      </c>
      <c r="Y15" s="13" t="n">
        <v>0</v>
      </c>
      <c r="Z15" s="13" t="n">
        <v>1</v>
      </c>
      <c r="AA15" s="13" t="n">
        <v>1</v>
      </c>
      <c r="AB15" s="13" t="n">
        <v>1</v>
      </c>
      <c r="AC15" s="13" t="n">
        <v>1</v>
      </c>
      <c r="AD15" s="13" t="n">
        <v>0</v>
      </c>
      <c r="AE15" s="12">
        <f>COUNTIF(D15:AD15,1)</f>
        <v/>
      </c>
      <c r="AF15" s="12">
        <f>IF(COUNT(D15:AD15)=0,"",ROUND(AE15/27*100,1))</f>
        <v/>
      </c>
      <c r="AG15" s="12">
        <f>COUNTIF(D15:AD15,0)</f>
        <v/>
      </c>
      <c r="AH15" s="12">
        <f>IF(COUNT(D15:AD15)=0,"",ROUND(AG15/27*100,1))</f>
        <v/>
      </c>
      <c r="AI15" s="20">
        <f>IF(AF15="","",IF(AF15&gt;=Нэгтгэл!$K$4,"Хангалттай эзэмшиж байна",IF(AF15&gt;=Нэгтгэл!$K$5,"Ахиж байна","Хөгжиж байна")))</f>
        <v/>
      </c>
    </row>
    <row r="16" ht="16" customHeight="1">
      <c r="A16" s="12" t="n">
        <v>10</v>
      </c>
      <c r="B16" s="12">
        <f>IF(Нэгтгэл!B16="","",Нэгтгэл!B16)</f>
        <v/>
      </c>
      <c r="C16" s="4" t="n"/>
      <c r="D16" s="13" t="n">
        <v>1</v>
      </c>
      <c r="E16" s="13" t="n">
        <v>1</v>
      </c>
      <c r="F16" s="13" t="n">
        <v>1</v>
      </c>
      <c r="G16" s="13" t="n">
        <v>1</v>
      </c>
      <c r="H16" s="13" t="n">
        <v>0</v>
      </c>
      <c r="I16" s="13" t="n">
        <v>1</v>
      </c>
      <c r="J16" s="13" t="n">
        <v>1</v>
      </c>
      <c r="K16" s="13" t="n">
        <v>1</v>
      </c>
      <c r="L16" s="13" t="n">
        <v>1</v>
      </c>
      <c r="M16" s="13" t="n">
        <v>0</v>
      </c>
      <c r="N16" s="13" t="n">
        <v>1</v>
      </c>
      <c r="O16" s="13" t="n">
        <v>1</v>
      </c>
      <c r="P16" s="13" t="n">
        <v>1</v>
      </c>
      <c r="Q16" s="13" t="n">
        <v>1</v>
      </c>
      <c r="R16" s="13" t="n">
        <v>1</v>
      </c>
      <c r="S16" s="13" t="n">
        <v>1</v>
      </c>
      <c r="T16" s="13" t="n">
        <v>1</v>
      </c>
      <c r="U16" s="13" t="n">
        <v>1</v>
      </c>
      <c r="V16" s="13" t="n">
        <v>1</v>
      </c>
      <c r="W16" s="13" t="n">
        <v>1</v>
      </c>
      <c r="X16" s="13" t="n">
        <v>1</v>
      </c>
      <c r="Y16" s="13" t="n">
        <v>0</v>
      </c>
      <c r="Z16" s="13" t="n">
        <v>1</v>
      </c>
      <c r="AA16" s="13" t="n">
        <v>1</v>
      </c>
      <c r="AB16" s="13" t="n">
        <v>0</v>
      </c>
      <c r="AC16" s="13" t="n">
        <v>0</v>
      </c>
      <c r="AD16" s="13" t="n">
        <v>1</v>
      </c>
      <c r="AE16" s="12">
        <f>COUNTIF(D16:AD16,1)</f>
        <v/>
      </c>
      <c r="AF16" s="12">
        <f>IF(COUNT(D16:AD16)=0,"",ROUND(AE16/27*100,1))</f>
        <v/>
      </c>
      <c r="AG16" s="12">
        <f>COUNTIF(D16:AD16,0)</f>
        <v/>
      </c>
      <c r="AH16" s="12">
        <f>IF(COUNT(D16:AD16)=0,"",ROUND(AG16/27*100,1))</f>
        <v/>
      </c>
      <c r="AI16" s="20">
        <f>IF(AF16="","",IF(AF16&gt;=Нэгтгэл!$K$4,"Хангалттай эзэмшиж байна",IF(AF16&gt;=Нэгтгэл!$K$5,"Ахиж байна","Хөгжиж байна")))</f>
        <v/>
      </c>
    </row>
    <row r="17" ht="16" customHeight="1">
      <c r="A17" s="12" t="n">
        <v>11</v>
      </c>
      <c r="B17" s="12">
        <f>IF(Нэгтгэл!B17="","",Нэгтгэл!B17)</f>
        <v/>
      </c>
      <c r="C17" s="4" t="n"/>
      <c r="D17" s="13" t="n">
        <v>0</v>
      </c>
      <c r="E17" s="13" t="n">
        <v>1</v>
      </c>
      <c r="F17" s="13" t="n">
        <v>1</v>
      </c>
      <c r="G17" s="13" t="n">
        <v>1</v>
      </c>
      <c r="H17" s="13" t="n">
        <v>1</v>
      </c>
      <c r="I17" s="13" t="n">
        <v>1</v>
      </c>
      <c r="J17" s="13" t="n">
        <v>1</v>
      </c>
      <c r="K17" s="13" t="n">
        <v>0</v>
      </c>
      <c r="L17" s="13" t="n">
        <v>0</v>
      </c>
      <c r="M17" s="13" t="n">
        <v>0</v>
      </c>
      <c r="N17" s="13" t="n">
        <v>1</v>
      </c>
      <c r="O17" s="13" t="n">
        <v>1</v>
      </c>
      <c r="P17" s="13" t="n">
        <v>0</v>
      </c>
      <c r="Q17" s="13" t="n">
        <v>1</v>
      </c>
      <c r="R17" s="13" t="n">
        <v>1</v>
      </c>
      <c r="S17" s="13" t="n">
        <v>1</v>
      </c>
      <c r="T17" s="13" t="n">
        <v>1</v>
      </c>
      <c r="U17" s="13" t="n">
        <v>0</v>
      </c>
      <c r="V17" s="13" t="n">
        <v>1</v>
      </c>
      <c r="W17" s="13" t="n">
        <v>0</v>
      </c>
      <c r="X17" s="13" t="n">
        <v>1</v>
      </c>
      <c r="Y17" s="13" t="n">
        <v>1</v>
      </c>
      <c r="Z17" s="13" t="n">
        <v>1</v>
      </c>
      <c r="AA17" s="13" t="n">
        <v>1</v>
      </c>
      <c r="AB17" s="13" t="n">
        <v>1</v>
      </c>
      <c r="AC17" s="13" t="n">
        <v>1</v>
      </c>
      <c r="AD17" s="13" t="n">
        <v>1</v>
      </c>
      <c r="AE17" s="12">
        <f>COUNTIF(D17:AD17,1)</f>
        <v/>
      </c>
      <c r="AF17" s="12">
        <f>IF(COUNT(D17:AD17)=0,"",ROUND(AE17/27*100,1))</f>
        <v/>
      </c>
      <c r="AG17" s="12">
        <f>COUNTIF(D17:AD17,0)</f>
        <v/>
      </c>
      <c r="AH17" s="12">
        <f>IF(COUNT(D17:AD17)=0,"",ROUND(AG17/27*100,1))</f>
        <v/>
      </c>
      <c r="AI17" s="20">
        <f>IF(AF17="","",IF(AF17&gt;=Нэгтгэл!$K$4,"Хангалттай эзэмшиж байна",IF(AF17&gt;=Нэгтгэл!$K$5,"Ахиж байна","Хөгжиж байна")))</f>
        <v/>
      </c>
    </row>
    <row r="18" ht="16" customHeight="1">
      <c r="A18" s="12" t="n">
        <v>12</v>
      </c>
      <c r="B18" s="12">
        <f>IF(Нэгтгэл!B18="","",Нэгтгэл!B18)</f>
        <v/>
      </c>
      <c r="C18" s="4" t="n"/>
      <c r="D18" s="13" t="n">
        <v>1</v>
      </c>
      <c r="E18" s="13" t="n">
        <v>1</v>
      </c>
      <c r="F18" s="13" t="n">
        <v>1</v>
      </c>
      <c r="G18" s="13" t="n">
        <v>0</v>
      </c>
      <c r="H18" s="13" t="n">
        <v>1</v>
      </c>
      <c r="I18" s="13" t="n">
        <v>1</v>
      </c>
      <c r="J18" s="13" t="n">
        <v>1</v>
      </c>
      <c r="K18" s="13" t="n">
        <v>1</v>
      </c>
      <c r="L18" s="13" t="n">
        <v>1</v>
      </c>
      <c r="M18" s="13" t="n">
        <v>0</v>
      </c>
      <c r="N18" s="13" t="n">
        <v>1</v>
      </c>
      <c r="O18" s="13" t="n">
        <v>1</v>
      </c>
      <c r="P18" s="13" t="n">
        <v>1</v>
      </c>
      <c r="Q18" s="13" t="n">
        <v>0</v>
      </c>
      <c r="R18" s="13" t="n">
        <v>0</v>
      </c>
      <c r="S18" s="13" t="n">
        <v>1</v>
      </c>
      <c r="T18" s="13" t="n">
        <v>1</v>
      </c>
      <c r="U18" s="13" t="n">
        <v>1</v>
      </c>
      <c r="V18" s="13" t="n">
        <v>1</v>
      </c>
      <c r="W18" s="13" t="n">
        <v>1</v>
      </c>
      <c r="X18" s="13" t="n">
        <v>1</v>
      </c>
      <c r="Y18" s="13" t="n">
        <v>1</v>
      </c>
      <c r="Z18" s="13" t="n">
        <v>0</v>
      </c>
      <c r="AA18" s="13" t="n">
        <v>1</v>
      </c>
      <c r="AB18" s="13" t="n">
        <v>0</v>
      </c>
      <c r="AC18" s="13" t="n">
        <v>1</v>
      </c>
      <c r="AD18" s="13" t="n">
        <v>1</v>
      </c>
      <c r="AE18" s="12">
        <f>COUNTIF(D18:AD18,1)</f>
        <v/>
      </c>
      <c r="AF18" s="12">
        <f>IF(COUNT(D18:AD18)=0,"",ROUND(AE18/27*100,1))</f>
        <v/>
      </c>
      <c r="AG18" s="12">
        <f>COUNTIF(D18:AD18,0)</f>
        <v/>
      </c>
      <c r="AH18" s="12">
        <f>IF(COUNT(D18:AD18)=0,"",ROUND(AG18/27*100,1))</f>
        <v/>
      </c>
      <c r="AI18" s="20">
        <f>IF(AF18="","",IF(AF18&gt;=Нэгтгэл!$K$4,"Хангалттай эзэмшиж байна",IF(AF18&gt;=Нэгтгэл!$K$5,"Ахиж байна","Хөгжиж байна")))</f>
        <v/>
      </c>
    </row>
    <row r="19" ht="16" customHeight="1">
      <c r="A19" s="12" t="n">
        <v>13</v>
      </c>
      <c r="B19" s="12">
        <f>IF(Нэгтгэл!B19="","",Нэгтгэл!B19)</f>
        <v/>
      </c>
      <c r="C19" s="4" t="n"/>
      <c r="D19" s="13" t="n">
        <v>1</v>
      </c>
      <c r="E19" s="13" t="n">
        <v>1</v>
      </c>
      <c r="F19" s="13" t="n">
        <v>0</v>
      </c>
      <c r="G19" s="13" t="n">
        <v>1</v>
      </c>
      <c r="H19" s="13" t="n">
        <v>1</v>
      </c>
      <c r="I19" s="13" t="n">
        <v>0</v>
      </c>
      <c r="J19" s="13" t="n">
        <v>0</v>
      </c>
      <c r="K19" s="13" t="n">
        <v>1</v>
      </c>
      <c r="L19" s="13" t="n">
        <v>1</v>
      </c>
      <c r="M19" s="13" t="n">
        <v>0</v>
      </c>
      <c r="N19" s="13" t="n">
        <v>1</v>
      </c>
      <c r="O19" s="13" t="n">
        <v>0</v>
      </c>
      <c r="P19" s="13" t="n">
        <v>1</v>
      </c>
      <c r="Q19" s="13" t="n">
        <v>1</v>
      </c>
      <c r="R19" s="13" t="n">
        <v>1</v>
      </c>
      <c r="S19" s="13" t="n">
        <v>0</v>
      </c>
      <c r="T19" s="13" t="n">
        <v>1</v>
      </c>
      <c r="U19" s="13" t="n">
        <v>1</v>
      </c>
      <c r="V19" s="13" t="n">
        <v>0</v>
      </c>
      <c r="W19" s="13" t="n">
        <v>1</v>
      </c>
      <c r="X19" s="13" t="n">
        <v>1</v>
      </c>
      <c r="Y19" s="13" t="n">
        <v>1</v>
      </c>
      <c r="Z19" s="13" t="n">
        <v>0</v>
      </c>
      <c r="AA19" s="13" t="n">
        <v>1</v>
      </c>
      <c r="AB19" s="13" t="n">
        <v>1</v>
      </c>
      <c r="AC19" s="13" t="n">
        <v>1</v>
      </c>
      <c r="AD19" s="13" t="n">
        <v>0</v>
      </c>
      <c r="AE19" s="12">
        <f>COUNTIF(D19:AD19,1)</f>
        <v/>
      </c>
      <c r="AF19" s="12">
        <f>IF(COUNT(D19:AD19)=0,"",ROUND(AE19/27*100,1))</f>
        <v/>
      </c>
      <c r="AG19" s="12">
        <f>COUNTIF(D19:AD19,0)</f>
        <v/>
      </c>
      <c r="AH19" s="12">
        <f>IF(COUNT(D19:AD19)=0,"",ROUND(AG19/27*100,1))</f>
        <v/>
      </c>
      <c r="AI19" s="20">
        <f>IF(AF19="","",IF(AF19&gt;=Нэгтгэл!$K$4,"Хангалттай эзэмшиж байна",IF(AF19&gt;=Нэгтгэл!$K$5,"Ахиж байна","Хөгжиж байна")))</f>
        <v/>
      </c>
    </row>
    <row r="20" ht="16" customHeight="1">
      <c r="A20" s="12" t="n">
        <v>14</v>
      </c>
      <c r="B20" s="12">
        <f>IF(Нэгтгэл!B20="","",Нэгтгэл!B20)</f>
        <v/>
      </c>
      <c r="C20" s="4" t="n"/>
      <c r="D20" s="13" t="n">
        <v>1</v>
      </c>
      <c r="E20" s="13" t="n">
        <v>1</v>
      </c>
      <c r="F20" s="13" t="n">
        <v>0</v>
      </c>
      <c r="G20" s="13" t="n">
        <v>1</v>
      </c>
      <c r="H20" s="13" t="n">
        <v>1</v>
      </c>
      <c r="I20" s="13" t="n">
        <v>1</v>
      </c>
      <c r="J20" s="13" t="n">
        <v>1</v>
      </c>
      <c r="K20" s="13" t="n">
        <v>1</v>
      </c>
      <c r="L20" s="13" t="n">
        <v>1</v>
      </c>
      <c r="M20" s="13" t="n">
        <v>1</v>
      </c>
      <c r="N20" s="13" t="n">
        <v>1</v>
      </c>
      <c r="O20" s="13" t="n">
        <v>1</v>
      </c>
      <c r="P20" s="13" t="n">
        <v>1</v>
      </c>
      <c r="Q20" s="13" t="n">
        <v>1</v>
      </c>
      <c r="R20" s="13" t="n">
        <v>1</v>
      </c>
      <c r="S20" s="13" t="n">
        <v>0</v>
      </c>
      <c r="T20" s="13" t="n">
        <v>0</v>
      </c>
      <c r="U20" s="13" t="n">
        <v>0</v>
      </c>
      <c r="V20" s="13" t="n">
        <v>1</v>
      </c>
      <c r="W20" s="13" t="n">
        <v>1</v>
      </c>
      <c r="X20" s="13" t="n">
        <v>0</v>
      </c>
      <c r="Y20" s="13" t="n">
        <v>0</v>
      </c>
      <c r="Z20" s="13" t="n">
        <v>1</v>
      </c>
      <c r="AA20" s="13" t="n">
        <v>1</v>
      </c>
      <c r="AB20" s="13" t="n">
        <v>1</v>
      </c>
      <c r="AC20" s="13" t="n">
        <v>1</v>
      </c>
      <c r="AD20" s="13" t="n">
        <v>1</v>
      </c>
      <c r="AE20" s="12">
        <f>COUNTIF(D20:AD20,1)</f>
        <v/>
      </c>
      <c r="AF20" s="12">
        <f>IF(COUNT(D20:AD20)=0,"",ROUND(AE20/27*100,1))</f>
        <v/>
      </c>
      <c r="AG20" s="12">
        <f>COUNTIF(D20:AD20,0)</f>
        <v/>
      </c>
      <c r="AH20" s="12">
        <f>IF(COUNT(D20:AD20)=0,"",ROUND(AG20/27*100,1))</f>
        <v/>
      </c>
      <c r="AI20" s="20">
        <f>IF(AF20="","",IF(AF20&gt;=Нэгтгэл!$K$4,"Хангалттай эзэмшиж байна",IF(AF20&gt;=Нэгтгэл!$K$5,"Ахиж байна","Хөгжиж байна")))</f>
        <v/>
      </c>
    </row>
    <row r="21" ht="16" customHeight="1">
      <c r="A21" s="12" t="n">
        <v>15</v>
      </c>
      <c r="B21" s="12">
        <f>IF(Нэгтгэл!B21="","",Нэгтгэл!B21)</f>
        <v/>
      </c>
      <c r="C21" s="4" t="n"/>
      <c r="D21" s="13" t="n">
        <v>1</v>
      </c>
      <c r="E21" s="13" t="n">
        <v>1</v>
      </c>
      <c r="F21" s="13" t="n">
        <v>1</v>
      </c>
      <c r="G21" s="13" t="n">
        <v>1</v>
      </c>
      <c r="H21" s="13" t="n">
        <v>1</v>
      </c>
      <c r="I21" s="13" t="n">
        <v>1</v>
      </c>
      <c r="J21" s="13" t="n">
        <v>1</v>
      </c>
      <c r="K21" s="13" t="n">
        <v>1</v>
      </c>
      <c r="L21" s="13" t="n">
        <v>1</v>
      </c>
      <c r="M21" s="13" t="n">
        <v>0</v>
      </c>
      <c r="N21" s="13" t="n">
        <v>1</v>
      </c>
      <c r="O21" s="13" t="n">
        <v>1</v>
      </c>
      <c r="P21" s="13" t="n">
        <v>1</v>
      </c>
      <c r="Q21" s="13" t="n">
        <v>1</v>
      </c>
      <c r="R21" s="13" t="n">
        <v>1</v>
      </c>
      <c r="S21" s="13" t="n">
        <v>0</v>
      </c>
      <c r="T21" s="13" t="n">
        <v>1</v>
      </c>
      <c r="U21" s="13" t="n">
        <v>0</v>
      </c>
      <c r="V21" s="13" t="n">
        <v>1</v>
      </c>
      <c r="W21" s="13" t="n">
        <v>1</v>
      </c>
      <c r="X21" s="13" t="n">
        <v>0</v>
      </c>
      <c r="Y21" s="13" t="n">
        <v>0</v>
      </c>
      <c r="Z21" s="13" t="n">
        <v>1</v>
      </c>
      <c r="AA21" s="13" t="n">
        <v>1</v>
      </c>
      <c r="AB21" s="13" t="n">
        <v>1</v>
      </c>
      <c r="AC21" s="13" t="n">
        <v>0</v>
      </c>
      <c r="AD21" s="13" t="n">
        <v>1</v>
      </c>
      <c r="AE21" s="12">
        <f>COUNTIF(D21:AD21,1)</f>
        <v/>
      </c>
      <c r="AF21" s="12">
        <f>IF(COUNT(D21:AD21)=0,"",ROUND(AE21/27*100,1))</f>
        <v/>
      </c>
      <c r="AG21" s="12">
        <f>COUNTIF(D21:AD21,0)</f>
        <v/>
      </c>
      <c r="AH21" s="12">
        <f>IF(COUNT(D21:AD21)=0,"",ROUND(AG21/27*100,1))</f>
        <v/>
      </c>
      <c r="AI21" s="20">
        <f>IF(AF21="","",IF(AF21&gt;=Нэгтгэл!$K$4,"Хангалттай эзэмшиж байна",IF(AF21&gt;=Нэгтгэл!$K$5,"Ахиж байна","Хөгжиж байна")))</f>
        <v/>
      </c>
    </row>
    <row r="22" ht="16" customHeight="1">
      <c r="A22" s="12" t="n">
        <v>16</v>
      </c>
      <c r="B22" s="12">
        <f>IF(Нэгтгэл!B22="","",Нэгтгэл!B22)</f>
        <v/>
      </c>
      <c r="C22" s="4" t="n"/>
      <c r="D22" s="13" t="n">
        <v>0</v>
      </c>
      <c r="E22" s="13" t="n">
        <v>1</v>
      </c>
      <c r="F22" s="13" t="n">
        <v>0</v>
      </c>
      <c r="G22" s="13" t="n">
        <v>0</v>
      </c>
      <c r="H22" s="13" t="n">
        <v>1</v>
      </c>
      <c r="I22" s="13" t="n">
        <v>1</v>
      </c>
      <c r="J22" s="13" t="n">
        <v>1</v>
      </c>
      <c r="K22" s="13" t="n">
        <v>1</v>
      </c>
      <c r="L22" s="13" t="n">
        <v>0</v>
      </c>
      <c r="M22" s="13" t="n">
        <v>1</v>
      </c>
      <c r="N22" s="13" t="n">
        <v>1</v>
      </c>
      <c r="O22" s="13" t="n">
        <v>1</v>
      </c>
      <c r="P22" s="13" t="n">
        <v>1</v>
      </c>
      <c r="Q22" s="13" t="n">
        <v>0</v>
      </c>
      <c r="R22" s="13" t="n">
        <v>1</v>
      </c>
      <c r="S22" s="13" t="n">
        <v>0</v>
      </c>
      <c r="T22" s="13" t="n">
        <v>1</v>
      </c>
      <c r="U22" s="13" t="n">
        <v>0</v>
      </c>
      <c r="V22" s="13" t="n">
        <v>0</v>
      </c>
      <c r="W22" s="13" t="n">
        <v>0</v>
      </c>
      <c r="X22" s="13" t="n">
        <v>1</v>
      </c>
      <c r="Y22" s="13" t="n">
        <v>1</v>
      </c>
      <c r="Z22" s="13" t="n">
        <v>0</v>
      </c>
      <c r="AA22" s="13" t="n">
        <v>0</v>
      </c>
      <c r="AB22" s="13" t="n">
        <v>1</v>
      </c>
      <c r="AC22" s="13" t="n">
        <v>1</v>
      </c>
      <c r="AD22" s="13" t="n">
        <v>1</v>
      </c>
      <c r="AE22" s="12">
        <f>COUNTIF(D22:AD22,1)</f>
        <v/>
      </c>
      <c r="AF22" s="12">
        <f>IF(COUNT(D22:AD22)=0,"",ROUND(AE22/27*100,1))</f>
        <v/>
      </c>
      <c r="AG22" s="12">
        <f>COUNTIF(D22:AD22,0)</f>
        <v/>
      </c>
      <c r="AH22" s="12">
        <f>IF(COUNT(D22:AD22)=0,"",ROUND(AG22/27*100,1))</f>
        <v/>
      </c>
      <c r="AI22" s="20">
        <f>IF(AF22="","",IF(AF22&gt;=Нэгтгэл!$K$4,"Хангалттай эзэмшиж байна",IF(AF22&gt;=Нэгтгэл!$K$5,"Ахиж байна","Хөгжиж байна")))</f>
        <v/>
      </c>
    </row>
    <row r="23" ht="16" customHeight="1">
      <c r="A23" s="12" t="n">
        <v>17</v>
      </c>
      <c r="B23" s="12">
        <f>IF(Нэгтгэл!B23="","",Нэгтгэл!B23)</f>
        <v/>
      </c>
      <c r="C23" s="4" t="n"/>
      <c r="D23" s="13" t="n">
        <v>1</v>
      </c>
      <c r="E23" s="13" t="n">
        <v>0</v>
      </c>
      <c r="F23" s="13" t="n">
        <v>0</v>
      </c>
      <c r="G23" s="13" t="n">
        <v>1</v>
      </c>
      <c r="H23" s="13" t="n">
        <v>1</v>
      </c>
      <c r="I23" s="13" t="n">
        <v>1</v>
      </c>
      <c r="J23" s="13" t="n">
        <v>0</v>
      </c>
      <c r="K23" s="13" t="n">
        <v>0</v>
      </c>
      <c r="L23" s="13" t="n">
        <v>1</v>
      </c>
      <c r="M23" s="13" t="n">
        <v>0</v>
      </c>
      <c r="N23" s="13" t="n">
        <v>1</v>
      </c>
      <c r="O23" s="13" t="n">
        <v>0</v>
      </c>
      <c r="P23" s="13" t="n">
        <v>0</v>
      </c>
      <c r="Q23" s="13" t="n">
        <v>1</v>
      </c>
      <c r="R23" s="13" t="n">
        <v>1</v>
      </c>
      <c r="S23" s="13" t="n">
        <v>1</v>
      </c>
      <c r="T23" s="13" t="n">
        <v>1</v>
      </c>
      <c r="U23" s="13" t="n">
        <v>1</v>
      </c>
      <c r="V23" s="13" t="n">
        <v>1</v>
      </c>
      <c r="W23" s="13" t="n">
        <v>1</v>
      </c>
      <c r="X23" s="13" t="n">
        <v>0</v>
      </c>
      <c r="Y23" s="13" t="n">
        <v>1</v>
      </c>
      <c r="Z23" s="13" t="n">
        <v>0</v>
      </c>
      <c r="AA23" s="13" t="n">
        <v>1</v>
      </c>
      <c r="AB23" s="13" t="n">
        <v>1</v>
      </c>
      <c r="AC23" s="13" t="n">
        <v>1</v>
      </c>
      <c r="AD23" s="13" t="n">
        <v>1</v>
      </c>
      <c r="AE23" s="12">
        <f>COUNTIF(D23:AD23,1)</f>
        <v/>
      </c>
      <c r="AF23" s="12">
        <f>IF(COUNT(D23:AD23)=0,"",ROUND(AE23/27*100,1))</f>
        <v/>
      </c>
      <c r="AG23" s="12">
        <f>COUNTIF(D23:AD23,0)</f>
        <v/>
      </c>
      <c r="AH23" s="12">
        <f>IF(COUNT(D23:AD23)=0,"",ROUND(AG23/27*100,1))</f>
        <v/>
      </c>
      <c r="AI23" s="20">
        <f>IF(AF23="","",IF(AF23&gt;=Нэгтгэл!$K$4,"Хангалттай эзэмшиж байна",IF(AF23&gt;=Нэгтгэл!$K$5,"Ахиж байна","Хөгжиж байна")))</f>
        <v/>
      </c>
    </row>
    <row r="24" ht="16" customHeight="1">
      <c r="A24" s="12" t="n">
        <v>18</v>
      </c>
      <c r="B24" s="12">
        <f>IF(Нэгтгэл!B24="","",Нэгтгэл!B24)</f>
        <v/>
      </c>
      <c r="C24" s="4" t="n"/>
      <c r="D24" s="13" t="n">
        <v>1</v>
      </c>
      <c r="E24" s="13" t="n">
        <v>1</v>
      </c>
      <c r="F24" s="13" t="n">
        <v>1</v>
      </c>
      <c r="G24" s="13" t="n">
        <v>1</v>
      </c>
      <c r="H24" s="13" t="n">
        <v>1</v>
      </c>
      <c r="I24" s="13" t="n">
        <v>0</v>
      </c>
      <c r="J24" s="13" t="n">
        <v>0</v>
      </c>
      <c r="K24" s="13" t="n">
        <v>1</v>
      </c>
      <c r="L24" s="13" t="n">
        <v>0</v>
      </c>
      <c r="M24" s="13" t="n">
        <v>1</v>
      </c>
      <c r="N24" s="13" t="n">
        <v>1</v>
      </c>
      <c r="O24" s="13" t="n">
        <v>0</v>
      </c>
      <c r="P24" s="13" t="n">
        <v>1</v>
      </c>
      <c r="Q24" s="13" t="n">
        <v>1</v>
      </c>
      <c r="R24" s="13" t="n">
        <v>1</v>
      </c>
      <c r="S24" s="13" t="n">
        <v>1</v>
      </c>
      <c r="T24" s="13" t="n">
        <v>1</v>
      </c>
      <c r="U24" s="13" t="n">
        <v>0</v>
      </c>
      <c r="V24" s="13" t="n">
        <v>0</v>
      </c>
      <c r="W24" s="13" t="n">
        <v>1</v>
      </c>
      <c r="X24" s="13" t="n">
        <v>1</v>
      </c>
      <c r="Y24" s="13" t="n">
        <v>1</v>
      </c>
      <c r="Z24" s="13" t="n">
        <v>0</v>
      </c>
      <c r="AA24" s="13" t="n">
        <v>1</v>
      </c>
      <c r="AB24" s="13" t="n">
        <v>1</v>
      </c>
      <c r="AC24" s="13" t="n">
        <v>0</v>
      </c>
      <c r="AD24" s="13" t="n">
        <v>1</v>
      </c>
      <c r="AE24" s="12">
        <f>COUNTIF(D24:AD24,1)</f>
        <v/>
      </c>
      <c r="AF24" s="12">
        <f>IF(COUNT(D24:AD24)=0,"",ROUND(AE24/27*100,1))</f>
        <v/>
      </c>
      <c r="AG24" s="12">
        <f>COUNTIF(D24:AD24,0)</f>
        <v/>
      </c>
      <c r="AH24" s="12">
        <f>IF(COUNT(D24:AD24)=0,"",ROUND(AG24/27*100,1))</f>
        <v/>
      </c>
      <c r="AI24" s="20">
        <f>IF(AF24="","",IF(AF24&gt;=Нэгтгэл!$K$4,"Хангалттай эзэмшиж байна",IF(AF24&gt;=Нэгтгэл!$K$5,"Ахиж байна","Хөгжиж байна")))</f>
        <v/>
      </c>
    </row>
    <row r="25" ht="16" customHeight="1">
      <c r="A25" s="12" t="n">
        <v>19</v>
      </c>
      <c r="B25" s="12">
        <f>IF(Нэгтгэл!B25="","",Нэгтгэл!B25)</f>
        <v/>
      </c>
      <c r="C25" s="4" t="n"/>
      <c r="D25" s="13" t="n">
        <v>1</v>
      </c>
      <c r="E25" s="13" t="n">
        <v>1</v>
      </c>
      <c r="F25" s="13" t="n">
        <v>1</v>
      </c>
      <c r="G25" s="13" t="n">
        <v>1</v>
      </c>
      <c r="H25" s="13" t="n">
        <v>1</v>
      </c>
      <c r="I25" s="13" t="n">
        <v>1</v>
      </c>
      <c r="J25" s="13" t="n">
        <v>1</v>
      </c>
      <c r="K25" s="13" t="n">
        <v>1</v>
      </c>
      <c r="L25" s="13" t="n">
        <v>1</v>
      </c>
      <c r="M25" s="13" t="n">
        <v>1</v>
      </c>
      <c r="N25" s="13" t="n">
        <v>0</v>
      </c>
      <c r="O25" s="13" t="n">
        <v>0</v>
      </c>
      <c r="P25" s="13" t="n">
        <v>1</v>
      </c>
      <c r="Q25" s="13" t="n">
        <v>1</v>
      </c>
      <c r="R25" s="13" t="n">
        <v>0</v>
      </c>
      <c r="S25" s="13" t="n">
        <v>1</v>
      </c>
      <c r="T25" s="13" t="n">
        <v>1</v>
      </c>
      <c r="U25" s="13" t="n">
        <v>1</v>
      </c>
      <c r="V25" s="13" t="n">
        <v>1</v>
      </c>
      <c r="W25" s="13" t="n">
        <v>1</v>
      </c>
      <c r="X25" s="13" t="n">
        <v>0</v>
      </c>
      <c r="Y25" s="13" t="n">
        <v>1</v>
      </c>
      <c r="Z25" s="13" t="n">
        <v>1</v>
      </c>
      <c r="AA25" s="13" t="n">
        <v>0</v>
      </c>
      <c r="AB25" s="13" t="n">
        <v>1</v>
      </c>
      <c r="AC25" s="13" t="n">
        <v>0</v>
      </c>
      <c r="AD25" s="13" t="n">
        <v>1</v>
      </c>
      <c r="AE25" s="12">
        <f>COUNTIF(D25:AD25,1)</f>
        <v/>
      </c>
      <c r="AF25" s="12">
        <f>IF(COUNT(D25:AD25)=0,"",ROUND(AE25/27*100,1))</f>
        <v/>
      </c>
      <c r="AG25" s="12">
        <f>COUNTIF(D25:AD25,0)</f>
        <v/>
      </c>
      <c r="AH25" s="12">
        <f>IF(COUNT(D25:AD25)=0,"",ROUND(AG25/27*100,1))</f>
        <v/>
      </c>
      <c r="AI25" s="20">
        <f>IF(AF25="","",IF(AF25&gt;=Нэгтгэл!$K$4,"Хангалттай эзэмшиж байна",IF(AF25&gt;=Нэгтгэл!$K$5,"Ахиж байна","Хөгжиж байна")))</f>
        <v/>
      </c>
    </row>
    <row r="26" ht="16" customHeight="1">
      <c r="A26" s="12" t="n">
        <v>20</v>
      </c>
      <c r="B26" s="12">
        <f>IF(Нэгтгэл!B26="","",Нэгтгэл!B26)</f>
        <v/>
      </c>
      <c r="C26" s="4" t="n"/>
      <c r="D26" s="13" t="n">
        <v>1</v>
      </c>
      <c r="E26" s="13" t="n">
        <v>1</v>
      </c>
      <c r="F26" s="13" t="n">
        <v>1</v>
      </c>
      <c r="G26" s="13" t="n">
        <v>1</v>
      </c>
      <c r="H26" s="13" t="n">
        <v>0</v>
      </c>
      <c r="I26" s="13" t="n">
        <v>1</v>
      </c>
      <c r="J26" s="13" t="n">
        <v>0</v>
      </c>
      <c r="K26" s="13" t="n">
        <v>1</v>
      </c>
      <c r="L26" s="13" t="n">
        <v>1</v>
      </c>
      <c r="M26" s="13" t="n">
        <v>1</v>
      </c>
      <c r="N26" s="13" t="n">
        <v>0</v>
      </c>
      <c r="O26" s="13" t="n">
        <v>1</v>
      </c>
      <c r="P26" s="13" t="n">
        <v>0</v>
      </c>
      <c r="Q26" s="13" t="n">
        <v>1</v>
      </c>
      <c r="R26" s="13" t="n">
        <v>1</v>
      </c>
      <c r="S26" s="13" t="n">
        <v>1</v>
      </c>
      <c r="T26" s="13" t="n">
        <v>1</v>
      </c>
      <c r="U26" s="13" t="n">
        <v>0</v>
      </c>
      <c r="V26" s="13" t="n">
        <v>1</v>
      </c>
      <c r="W26" s="13" t="n">
        <v>1</v>
      </c>
      <c r="X26" s="13" t="n">
        <v>1</v>
      </c>
      <c r="Y26" s="13" t="n">
        <v>1</v>
      </c>
      <c r="Z26" s="13" t="n">
        <v>1</v>
      </c>
      <c r="AA26" s="13" t="n">
        <v>1</v>
      </c>
      <c r="AB26" s="13" t="n">
        <v>1</v>
      </c>
      <c r="AC26" s="13" t="n">
        <v>0</v>
      </c>
      <c r="AD26" s="13" t="n">
        <v>1</v>
      </c>
      <c r="AE26" s="12">
        <f>COUNTIF(D26:AD26,1)</f>
        <v/>
      </c>
      <c r="AF26" s="12">
        <f>IF(COUNT(D26:AD26)=0,"",ROUND(AE26/27*100,1))</f>
        <v/>
      </c>
      <c r="AG26" s="12">
        <f>COUNTIF(D26:AD26,0)</f>
        <v/>
      </c>
      <c r="AH26" s="12">
        <f>IF(COUNT(D26:AD26)=0,"",ROUND(AG26/27*100,1))</f>
        <v/>
      </c>
      <c r="AI26" s="20">
        <f>IF(AF26="","",IF(AF26&gt;=Нэгтгэл!$K$4,"Хангалттай эзэмшиж байна",IF(AF26&gt;=Нэгтгэл!$K$5,"Ахиж байна","Хөгжиж байна")))</f>
        <v/>
      </c>
    </row>
    <row r="27" ht="16" customHeight="1">
      <c r="A27" s="12" t="n">
        <v>21</v>
      </c>
      <c r="B27" s="12">
        <f>IF(Нэгтгэл!B27="","",Нэгтгэл!B27)</f>
        <v/>
      </c>
      <c r="C27" s="4" t="n"/>
      <c r="D27" s="13" t="n">
        <v>0</v>
      </c>
      <c r="E27" s="13" t="n">
        <v>0</v>
      </c>
      <c r="F27" s="13" t="n">
        <v>1</v>
      </c>
      <c r="G27" s="13" t="n">
        <v>1</v>
      </c>
      <c r="H27" s="13" t="n">
        <v>1</v>
      </c>
      <c r="I27" s="13" t="n">
        <v>1</v>
      </c>
      <c r="J27" s="13" t="n">
        <v>1</v>
      </c>
      <c r="K27" s="13" t="n">
        <v>0</v>
      </c>
      <c r="L27" s="13" t="n">
        <v>0</v>
      </c>
      <c r="M27" s="13" t="n">
        <v>1</v>
      </c>
      <c r="N27" s="13" t="n">
        <v>1</v>
      </c>
      <c r="O27" s="13" t="n">
        <v>1</v>
      </c>
      <c r="P27" s="13" t="n">
        <v>0</v>
      </c>
      <c r="Q27" s="13" t="n">
        <v>1</v>
      </c>
      <c r="R27" s="13" t="n">
        <v>1</v>
      </c>
      <c r="S27" s="13" t="n">
        <v>0</v>
      </c>
      <c r="T27" s="13" t="n">
        <v>1</v>
      </c>
      <c r="U27" s="13" t="n">
        <v>1</v>
      </c>
      <c r="V27" s="13" t="n">
        <v>1</v>
      </c>
      <c r="W27" s="13" t="n">
        <v>0</v>
      </c>
      <c r="X27" s="13" t="n">
        <v>1</v>
      </c>
      <c r="Y27" s="13" t="n">
        <v>1</v>
      </c>
      <c r="Z27" s="13" t="n">
        <v>1</v>
      </c>
      <c r="AA27" s="13" t="n">
        <v>0</v>
      </c>
      <c r="AB27" s="13" t="n">
        <v>1</v>
      </c>
      <c r="AC27" s="13" t="n">
        <v>0</v>
      </c>
      <c r="AD27" s="13" t="n">
        <v>1</v>
      </c>
      <c r="AE27" s="12">
        <f>COUNTIF(D27:AD27,1)</f>
        <v/>
      </c>
      <c r="AF27" s="12">
        <f>IF(COUNT(D27:AD27)=0,"",ROUND(AE27/27*100,1))</f>
        <v/>
      </c>
      <c r="AG27" s="12">
        <f>COUNTIF(D27:AD27,0)</f>
        <v/>
      </c>
      <c r="AH27" s="12">
        <f>IF(COUNT(D27:AD27)=0,"",ROUND(AG27/27*100,1))</f>
        <v/>
      </c>
      <c r="AI27" s="20">
        <f>IF(AF27="","",IF(AF27&gt;=Нэгтгэл!$K$4,"Хангалттай эзэмшиж байна",IF(AF27&gt;=Нэгтгэл!$K$5,"Ахиж байна","Хөгжиж байна")))</f>
        <v/>
      </c>
    </row>
    <row r="28" ht="16" customHeight="1">
      <c r="A28" s="12" t="n">
        <v>22</v>
      </c>
      <c r="B28" s="12">
        <f>IF(Нэгтгэл!B28="","",Нэгтгэл!B28)</f>
        <v/>
      </c>
      <c r="C28" s="4" t="n"/>
      <c r="D28" s="13" t="n">
        <v>1</v>
      </c>
      <c r="E28" s="13" t="n">
        <v>0</v>
      </c>
      <c r="F28" s="13" t="n">
        <v>1</v>
      </c>
      <c r="G28" s="13" t="n">
        <v>1</v>
      </c>
      <c r="H28" s="13" t="n">
        <v>1</v>
      </c>
      <c r="I28" s="13" t="n">
        <v>1</v>
      </c>
      <c r="J28" s="13" t="n">
        <v>1</v>
      </c>
      <c r="K28" s="13" t="n">
        <v>0</v>
      </c>
      <c r="L28" s="13" t="n">
        <v>0</v>
      </c>
      <c r="M28" s="13" t="n">
        <v>1</v>
      </c>
      <c r="N28" s="13" t="n">
        <v>1</v>
      </c>
      <c r="O28" s="13" t="n">
        <v>1</v>
      </c>
      <c r="P28" s="13" t="n">
        <v>1</v>
      </c>
      <c r="Q28" s="13" t="n">
        <v>1</v>
      </c>
      <c r="R28" s="13" t="n">
        <v>0</v>
      </c>
      <c r="S28" s="13" t="n">
        <v>0</v>
      </c>
      <c r="T28" s="13" t="n">
        <v>0</v>
      </c>
      <c r="U28" s="13" t="n">
        <v>0</v>
      </c>
      <c r="V28" s="13" t="n">
        <v>1</v>
      </c>
      <c r="W28" s="13" t="n">
        <v>1</v>
      </c>
      <c r="X28" s="13" t="n">
        <v>1</v>
      </c>
      <c r="Y28" s="13" t="n">
        <v>1</v>
      </c>
      <c r="Z28" s="13" t="n">
        <v>0</v>
      </c>
      <c r="AA28" s="13" t="n">
        <v>1</v>
      </c>
      <c r="AB28" s="13" t="n">
        <v>1</v>
      </c>
      <c r="AC28" s="13" t="n">
        <v>1</v>
      </c>
      <c r="AD28" s="13" t="n">
        <v>0</v>
      </c>
      <c r="AE28" s="12">
        <f>COUNTIF(D28:AD28,1)</f>
        <v/>
      </c>
      <c r="AF28" s="12">
        <f>IF(COUNT(D28:AD28)=0,"",ROUND(AE28/27*100,1))</f>
        <v/>
      </c>
      <c r="AG28" s="12">
        <f>COUNTIF(D28:AD28,0)</f>
        <v/>
      </c>
      <c r="AH28" s="12">
        <f>IF(COUNT(D28:AD28)=0,"",ROUND(AG28/27*100,1))</f>
        <v/>
      </c>
      <c r="AI28" s="20">
        <f>IF(AF28="","",IF(AF28&gt;=Нэгтгэл!$K$4,"Хангалттай эзэмшиж байна",IF(AF28&gt;=Нэгтгэл!$K$5,"Ахиж байна","Хөгжиж байна")))</f>
        <v/>
      </c>
    </row>
    <row r="29" ht="16" customHeight="1">
      <c r="A29" s="12" t="n">
        <v>23</v>
      </c>
      <c r="B29" s="12">
        <f>IF(Нэгтгэл!B29="","",Нэгтгэл!B29)</f>
        <v/>
      </c>
      <c r="C29" s="4" t="n"/>
      <c r="D29" s="13" t="n">
        <v>0</v>
      </c>
      <c r="E29" s="13" t="n">
        <v>1</v>
      </c>
      <c r="F29" s="13" t="n">
        <v>0</v>
      </c>
      <c r="G29" s="13" t="n">
        <v>1</v>
      </c>
      <c r="H29" s="13" t="n">
        <v>1</v>
      </c>
      <c r="I29" s="13" t="n">
        <v>1</v>
      </c>
      <c r="J29" s="13" t="n">
        <v>1</v>
      </c>
      <c r="K29" s="13" t="n">
        <v>0</v>
      </c>
      <c r="L29" s="13" t="n">
        <v>1</v>
      </c>
      <c r="M29" s="13" t="n">
        <v>1</v>
      </c>
      <c r="N29" s="13" t="n">
        <v>0</v>
      </c>
      <c r="O29" s="13" t="n">
        <v>1</v>
      </c>
      <c r="P29" s="13" t="n">
        <v>1</v>
      </c>
      <c r="Q29" s="13" t="n">
        <v>1</v>
      </c>
      <c r="R29" s="13" t="n">
        <v>1</v>
      </c>
      <c r="S29" s="13" t="n">
        <v>1</v>
      </c>
      <c r="T29" s="13" t="n">
        <v>1</v>
      </c>
      <c r="U29" s="13" t="n">
        <v>1</v>
      </c>
      <c r="V29" s="13" t="n">
        <v>1</v>
      </c>
      <c r="W29" s="13" t="n">
        <v>0</v>
      </c>
      <c r="X29" s="13" t="n">
        <v>1</v>
      </c>
      <c r="Y29" s="13" t="n">
        <v>1</v>
      </c>
      <c r="Z29" s="13" t="n">
        <v>1</v>
      </c>
      <c r="AA29" s="13" t="n">
        <v>1</v>
      </c>
      <c r="AB29" s="13" t="n">
        <v>1</v>
      </c>
      <c r="AC29" s="13" t="n">
        <v>0</v>
      </c>
      <c r="AD29" s="13" t="n">
        <v>1</v>
      </c>
      <c r="AE29" s="12">
        <f>COUNTIF(D29:AD29,1)</f>
        <v/>
      </c>
      <c r="AF29" s="12">
        <f>IF(COUNT(D29:AD29)=0,"",ROUND(AE29/27*100,1))</f>
        <v/>
      </c>
      <c r="AG29" s="12">
        <f>COUNTIF(D29:AD29,0)</f>
        <v/>
      </c>
      <c r="AH29" s="12">
        <f>IF(COUNT(D29:AD29)=0,"",ROUND(AG29/27*100,1))</f>
        <v/>
      </c>
      <c r="AI29" s="20">
        <f>IF(AF29="","",IF(AF29&gt;=Нэгтгэл!$K$4,"Хангалттай эзэмшиж байна",IF(AF29&gt;=Нэгтгэл!$K$5,"Ахиж байна","Хөгжиж байна")))</f>
        <v/>
      </c>
    </row>
    <row r="30" ht="16" customHeight="1">
      <c r="A30" s="12" t="n">
        <v>24</v>
      </c>
      <c r="B30" s="12">
        <f>IF(Нэгтгэл!B30="","",Нэгтгэл!B30)</f>
        <v/>
      </c>
      <c r="C30" s="4" t="n"/>
      <c r="D30" s="13" t="n">
        <v>1</v>
      </c>
      <c r="E30" s="13" t="n">
        <v>0</v>
      </c>
      <c r="F30" s="13" t="n">
        <v>1</v>
      </c>
      <c r="G30" s="13" t="n">
        <v>1</v>
      </c>
      <c r="H30" s="13" t="n">
        <v>1</v>
      </c>
      <c r="I30" s="13" t="n">
        <v>1</v>
      </c>
      <c r="J30" s="13" t="n">
        <v>0</v>
      </c>
      <c r="K30" s="13" t="n">
        <v>1</v>
      </c>
      <c r="L30" s="13" t="n">
        <v>1</v>
      </c>
      <c r="M30" s="13" t="n">
        <v>0</v>
      </c>
      <c r="N30" s="13" t="n">
        <v>1</v>
      </c>
      <c r="O30" s="13" t="n">
        <v>0</v>
      </c>
      <c r="P30" s="13" t="n">
        <v>1</v>
      </c>
      <c r="Q30" s="13" t="n">
        <v>0</v>
      </c>
      <c r="R30" s="13" t="n">
        <v>1</v>
      </c>
      <c r="S30" s="13" t="n">
        <v>0</v>
      </c>
      <c r="T30" s="13" t="n">
        <v>1</v>
      </c>
      <c r="U30" s="13" t="n">
        <v>1</v>
      </c>
      <c r="V30" s="13" t="n">
        <v>1</v>
      </c>
      <c r="W30" s="13" t="n">
        <v>0</v>
      </c>
      <c r="X30" s="13" t="n">
        <v>1</v>
      </c>
      <c r="Y30" s="13" t="n">
        <v>1</v>
      </c>
      <c r="Z30" s="13" t="n">
        <v>1</v>
      </c>
      <c r="AA30" s="13" t="n">
        <v>1</v>
      </c>
      <c r="AB30" s="13" t="n">
        <v>1</v>
      </c>
      <c r="AC30" s="13" t="n">
        <v>1</v>
      </c>
      <c r="AD30" s="13" t="n">
        <v>1</v>
      </c>
      <c r="AE30" s="12">
        <f>COUNTIF(D30:AD30,1)</f>
        <v/>
      </c>
      <c r="AF30" s="12">
        <f>IF(COUNT(D30:AD30)=0,"",ROUND(AE30/27*100,1))</f>
        <v/>
      </c>
      <c r="AG30" s="12">
        <f>COUNTIF(D30:AD30,0)</f>
        <v/>
      </c>
      <c r="AH30" s="12">
        <f>IF(COUNT(D30:AD30)=0,"",ROUND(AG30/27*100,1))</f>
        <v/>
      </c>
      <c r="AI30" s="20">
        <f>IF(AF30="","",IF(AF30&gt;=Нэгтгэл!$K$4,"Хангалттай эзэмшиж байна",IF(AF30&gt;=Нэгтгэл!$K$5,"Ахиж байна","Хөгжиж байна")))</f>
        <v/>
      </c>
    </row>
    <row r="31" ht="16" customHeight="1">
      <c r="A31" s="12" t="n">
        <v>25</v>
      </c>
      <c r="B31" s="12">
        <f>IF(Нэгтгэл!B31="","",Нэгтгэл!B31)</f>
        <v/>
      </c>
      <c r="C31" s="4" t="n"/>
      <c r="D31" s="13" t="n">
        <v>1</v>
      </c>
      <c r="E31" s="13" t="n">
        <v>1</v>
      </c>
      <c r="F31" s="13" t="n">
        <v>1</v>
      </c>
      <c r="G31" s="13" t="n">
        <v>1</v>
      </c>
      <c r="H31" s="13" t="n">
        <v>1</v>
      </c>
      <c r="I31" s="13" t="n">
        <v>1</v>
      </c>
      <c r="J31" s="13" t="n">
        <v>1</v>
      </c>
      <c r="K31" s="13" t="n">
        <v>0</v>
      </c>
      <c r="L31" s="13" t="n">
        <v>1</v>
      </c>
      <c r="M31" s="13" t="n">
        <v>0</v>
      </c>
      <c r="N31" s="13" t="n">
        <v>1</v>
      </c>
      <c r="O31" s="13" t="n">
        <v>1</v>
      </c>
      <c r="P31" s="13" t="n">
        <v>0</v>
      </c>
      <c r="Q31" s="13" t="n">
        <v>0</v>
      </c>
      <c r="R31" s="13" t="n">
        <v>1</v>
      </c>
      <c r="S31" s="13" t="n">
        <v>1</v>
      </c>
      <c r="T31" s="13" t="n">
        <v>1</v>
      </c>
      <c r="U31" s="13" t="n">
        <v>1</v>
      </c>
      <c r="V31" s="13" t="n">
        <v>0</v>
      </c>
      <c r="W31" s="13" t="n">
        <v>1</v>
      </c>
      <c r="X31" s="13" t="n">
        <v>0</v>
      </c>
      <c r="Y31" s="13" t="n">
        <v>0</v>
      </c>
      <c r="Z31" s="13" t="n">
        <v>0</v>
      </c>
      <c r="AA31" s="13" t="n">
        <v>1</v>
      </c>
      <c r="AB31" s="13" t="n">
        <v>1</v>
      </c>
      <c r="AC31" s="13" t="n">
        <v>0</v>
      </c>
      <c r="AD31" s="13" t="n">
        <v>0</v>
      </c>
      <c r="AE31" s="12">
        <f>COUNTIF(D31:AD31,1)</f>
        <v/>
      </c>
      <c r="AF31" s="12">
        <f>IF(COUNT(D31:AD31)=0,"",ROUND(AE31/27*100,1))</f>
        <v/>
      </c>
      <c r="AG31" s="12">
        <f>COUNTIF(D31:AD31,0)</f>
        <v/>
      </c>
      <c r="AH31" s="12">
        <f>IF(COUNT(D31:AD31)=0,"",ROUND(AG31/27*100,1))</f>
        <v/>
      </c>
      <c r="AI31" s="20">
        <f>IF(AF31="","",IF(AF31&gt;=Нэгтгэл!$K$4,"Хангалттай эзэмшиж байна",IF(AF31&gt;=Нэгтгэл!$K$5,"Ахиж байна","Хөгжиж байна")))</f>
        <v/>
      </c>
    </row>
    <row r="32" ht="16" customHeight="1">
      <c r="A32" s="12" t="n">
        <v>26</v>
      </c>
      <c r="B32" s="12">
        <f>IF(Нэгтгэл!B32="","",Нэгтгэл!B32)</f>
        <v/>
      </c>
      <c r="C32" s="4" t="n"/>
      <c r="D32" s="13" t="n">
        <v>1</v>
      </c>
      <c r="E32" s="13" t="n">
        <v>0</v>
      </c>
      <c r="F32" s="13" t="n">
        <v>1</v>
      </c>
      <c r="G32" s="13" t="n">
        <v>0</v>
      </c>
      <c r="H32" s="13" t="n">
        <v>1</v>
      </c>
      <c r="I32" s="13" t="n">
        <v>1</v>
      </c>
      <c r="J32" s="13" t="n">
        <v>0</v>
      </c>
      <c r="K32" s="13" t="n">
        <v>0</v>
      </c>
      <c r="L32" s="13" t="n">
        <v>1</v>
      </c>
      <c r="M32" s="13" t="n">
        <v>1</v>
      </c>
      <c r="N32" s="13" t="n">
        <v>1</v>
      </c>
      <c r="O32" s="13" t="n">
        <v>0</v>
      </c>
      <c r="P32" s="13" t="n">
        <v>1</v>
      </c>
      <c r="Q32" s="13" t="n">
        <v>0</v>
      </c>
      <c r="R32" s="13" t="n">
        <v>1</v>
      </c>
      <c r="S32" s="13" t="n">
        <v>1</v>
      </c>
      <c r="T32" s="13" t="n">
        <v>1</v>
      </c>
      <c r="U32" s="13" t="n">
        <v>1</v>
      </c>
      <c r="V32" s="13" t="n">
        <v>0</v>
      </c>
      <c r="W32" s="13" t="n">
        <v>1</v>
      </c>
      <c r="X32" s="13" t="n">
        <v>1</v>
      </c>
      <c r="Y32" s="13" t="n">
        <v>0</v>
      </c>
      <c r="Z32" s="13" t="n">
        <v>1</v>
      </c>
      <c r="AA32" s="13" t="n">
        <v>0</v>
      </c>
      <c r="AB32" s="13" t="n">
        <v>1</v>
      </c>
      <c r="AC32" s="13" t="n">
        <v>1</v>
      </c>
      <c r="AD32" s="13" t="n">
        <v>1</v>
      </c>
      <c r="AE32" s="12">
        <f>COUNTIF(D32:AD32,1)</f>
        <v/>
      </c>
      <c r="AF32" s="12">
        <f>IF(COUNT(D32:AD32)=0,"",ROUND(AE32/27*100,1))</f>
        <v/>
      </c>
      <c r="AG32" s="12">
        <f>COUNTIF(D32:AD32,0)</f>
        <v/>
      </c>
      <c r="AH32" s="12">
        <f>IF(COUNT(D32:AD32)=0,"",ROUND(AG32/27*100,1))</f>
        <v/>
      </c>
      <c r="AI32" s="20">
        <f>IF(AF32="","",IF(AF32&gt;=Нэгтгэл!$K$4,"Хангалттай эзэмшиж байна",IF(AF32&gt;=Нэгтгэл!$K$5,"Ахиж байна","Хөгжиж байна")))</f>
        <v/>
      </c>
    </row>
    <row r="33" ht="16" customHeight="1">
      <c r="A33" s="12" t="n">
        <v>27</v>
      </c>
      <c r="B33" s="12">
        <f>IF(Нэгтгэл!B33="","",Нэгтгэл!B33)</f>
        <v/>
      </c>
      <c r="C33" s="4" t="n"/>
      <c r="D33" s="13" t="n">
        <v>1</v>
      </c>
      <c r="E33" s="13" t="n">
        <v>1</v>
      </c>
      <c r="F33" s="13" t="n">
        <v>1</v>
      </c>
      <c r="G33" s="13" t="n">
        <v>0</v>
      </c>
      <c r="H33" s="13" t="n">
        <v>0</v>
      </c>
      <c r="I33" s="13" t="n">
        <v>1</v>
      </c>
      <c r="J33" s="13" t="n">
        <v>0</v>
      </c>
      <c r="K33" s="13" t="n">
        <v>1</v>
      </c>
      <c r="L33" s="13" t="n">
        <v>1</v>
      </c>
      <c r="M33" s="13" t="n">
        <v>1</v>
      </c>
      <c r="N33" s="13" t="n">
        <v>1</v>
      </c>
      <c r="O33" s="13" t="n">
        <v>0</v>
      </c>
      <c r="P33" s="13" t="n">
        <v>1</v>
      </c>
      <c r="Q33" s="13" t="n">
        <v>0</v>
      </c>
      <c r="R33" s="13" t="n">
        <v>1</v>
      </c>
      <c r="S33" s="13" t="n">
        <v>1</v>
      </c>
      <c r="T33" s="13" t="n">
        <v>1</v>
      </c>
      <c r="U33" s="13" t="n">
        <v>1</v>
      </c>
      <c r="V33" s="13" t="n">
        <v>1</v>
      </c>
      <c r="W33" s="13" t="n">
        <v>1</v>
      </c>
      <c r="X33" s="13" t="n">
        <v>0</v>
      </c>
      <c r="Y33" s="13" t="n">
        <v>1</v>
      </c>
      <c r="Z33" s="13" t="n">
        <v>1</v>
      </c>
      <c r="AA33" s="13" t="n">
        <v>1</v>
      </c>
      <c r="AB33" s="13" t="n">
        <v>0</v>
      </c>
      <c r="AC33" s="13" t="n">
        <v>0</v>
      </c>
      <c r="AD33" s="13" t="n">
        <v>1</v>
      </c>
      <c r="AE33" s="12">
        <f>COUNTIF(D33:AD33,1)</f>
        <v/>
      </c>
      <c r="AF33" s="12">
        <f>IF(COUNT(D33:AD33)=0,"",ROUND(AE33/27*100,1))</f>
        <v/>
      </c>
      <c r="AG33" s="12">
        <f>COUNTIF(D33:AD33,0)</f>
        <v/>
      </c>
      <c r="AH33" s="12">
        <f>IF(COUNT(D33:AD33)=0,"",ROUND(AG33/27*100,1))</f>
        <v/>
      </c>
      <c r="AI33" s="20">
        <f>IF(AF33="","",IF(AF33&gt;=Нэгтгэл!$K$4,"Хангалттай эзэмшиж байна",IF(AF33&gt;=Нэгтгэл!$K$5,"Ахиж байна","Хөгжиж байна")))</f>
        <v/>
      </c>
    </row>
    <row r="34" ht="16" customHeight="1">
      <c r="A34" s="12" t="n">
        <v>28</v>
      </c>
      <c r="B34" s="12">
        <f>IF(Нэгтгэл!B34="","",Нэгтгэл!B34)</f>
        <v/>
      </c>
      <c r="C34" s="4" t="n"/>
      <c r="D34" s="13" t="n">
        <v>1</v>
      </c>
      <c r="E34" s="13" t="n">
        <v>1</v>
      </c>
      <c r="F34" s="13" t="n">
        <v>0</v>
      </c>
      <c r="G34" s="13" t="n">
        <v>1</v>
      </c>
      <c r="H34" s="13" t="n">
        <v>1</v>
      </c>
      <c r="I34" s="13" t="n">
        <v>1</v>
      </c>
      <c r="J34" s="13" t="n">
        <v>0</v>
      </c>
      <c r="K34" s="13" t="n">
        <v>1</v>
      </c>
      <c r="L34" s="13" t="n">
        <v>1</v>
      </c>
      <c r="M34" s="13" t="n">
        <v>0</v>
      </c>
      <c r="N34" s="13" t="n">
        <v>1</v>
      </c>
      <c r="O34" s="13" t="n">
        <v>1</v>
      </c>
      <c r="P34" s="13" t="n">
        <v>0</v>
      </c>
      <c r="Q34" s="13" t="n">
        <v>1</v>
      </c>
      <c r="R34" s="13" t="n">
        <v>0</v>
      </c>
      <c r="S34" s="13" t="n">
        <v>1</v>
      </c>
      <c r="T34" s="13" t="n">
        <v>1</v>
      </c>
      <c r="U34" s="13" t="n">
        <v>1</v>
      </c>
      <c r="V34" s="13" t="n">
        <v>1</v>
      </c>
      <c r="W34" s="13" t="n">
        <v>1</v>
      </c>
      <c r="X34" s="13" t="n">
        <v>1</v>
      </c>
      <c r="Y34" s="13" t="n">
        <v>1</v>
      </c>
      <c r="Z34" s="13" t="n">
        <v>1</v>
      </c>
      <c r="AA34" s="13" t="n">
        <v>0</v>
      </c>
      <c r="AB34" s="13" t="n">
        <v>0</v>
      </c>
      <c r="AC34" s="13" t="n">
        <v>1</v>
      </c>
      <c r="AD34" s="13" t="n">
        <v>1</v>
      </c>
      <c r="AE34" s="12">
        <f>COUNTIF(D34:AD34,1)</f>
        <v/>
      </c>
      <c r="AF34" s="12">
        <f>IF(COUNT(D34:AD34)=0,"",ROUND(AE34/27*100,1))</f>
        <v/>
      </c>
      <c r="AG34" s="12">
        <f>COUNTIF(D34:AD34,0)</f>
        <v/>
      </c>
      <c r="AH34" s="12">
        <f>IF(COUNT(D34:AD34)=0,"",ROUND(AG34/27*100,1))</f>
        <v/>
      </c>
      <c r="AI34" s="20">
        <f>IF(AF34="","",IF(AF34&gt;=Нэгтгэл!$K$4,"Хангалттай эзэмшиж байна",IF(AF34&gt;=Нэгтгэл!$K$5,"Ахиж байна","Хөгжиж байна")))</f>
        <v/>
      </c>
    </row>
    <row r="35" ht="16" customHeight="1">
      <c r="A35" s="12" t="n">
        <v>29</v>
      </c>
      <c r="B35" s="12">
        <f>IF(Нэгтгэл!B35="","",Нэгтгэл!B35)</f>
        <v/>
      </c>
      <c r="C35" s="4" t="n"/>
      <c r="D35" s="13" t="n">
        <v>1</v>
      </c>
      <c r="E35" s="13" t="n">
        <v>1</v>
      </c>
      <c r="F35" s="13" t="n">
        <v>1</v>
      </c>
      <c r="G35" s="13" t="n">
        <v>1</v>
      </c>
      <c r="H35" s="13" t="n">
        <v>1</v>
      </c>
      <c r="I35" s="13" t="n">
        <v>0</v>
      </c>
      <c r="J35" s="13" t="n">
        <v>1</v>
      </c>
      <c r="K35" s="13" t="n">
        <v>0</v>
      </c>
      <c r="L35" s="13" t="n">
        <v>1</v>
      </c>
      <c r="M35" s="13" t="n">
        <v>1</v>
      </c>
      <c r="N35" s="13" t="n">
        <v>1</v>
      </c>
      <c r="O35" s="13" t="n">
        <v>0</v>
      </c>
      <c r="P35" s="13" t="n">
        <v>0</v>
      </c>
      <c r="Q35" s="13" t="n">
        <v>0</v>
      </c>
      <c r="R35" s="13" t="n">
        <v>0</v>
      </c>
      <c r="S35" s="13" t="n">
        <v>1</v>
      </c>
      <c r="T35" s="13" t="n">
        <v>1</v>
      </c>
      <c r="U35" s="13" t="n">
        <v>0</v>
      </c>
      <c r="V35" s="13" t="n">
        <v>0</v>
      </c>
      <c r="W35" s="13" t="n">
        <v>0</v>
      </c>
      <c r="X35" s="13" t="n">
        <v>1</v>
      </c>
      <c r="Y35" s="13" t="n">
        <v>1</v>
      </c>
      <c r="Z35" s="13" t="n">
        <v>0</v>
      </c>
      <c r="AA35" s="13" t="n">
        <v>0</v>
      </c>
      <c r="AB35" s="13" t="n">
        <v>0</v>
      </c>
      <c r="AC35" s="13" t="n">
        <v>0</v>
      </c>
      <c r="AD35" s="13" t="n">
        <v>0</v>
      </c>
      <c r="AE35" s="12">
        <f>COUNTIF(D35:AD35,1)</f>
        <v/>
      </c>
      <c r="AF35" s="12">
        <f>IF(COUNT(D35:AD35)=0,"",ROUND(AE35/27*100,1))</f>
        <v/>
      </c>
      <c r="AG35" s="12">
        <f>COUNTIF(D35:AD35,0)</f>
        <v/>
      </c>
      <c r="AH35" s="12">
        <f>IF(COUNT(D35:AD35)=0,"",ROUND(AG35/27*100,1))</f>
        <v/>
      </c>
      <c r="AI35" s="20">
        <f>IF(AF35="","",IF(AF35&gt;=Нэгтгэл!$K$4,"Хангалттай эзэмшиж байна",IF(AF35&gt;=Нэгтгэл!$K$5,"Ахиж байна","Хөгжиж байна")))</f>
        <v/>
      </c>
    </row>
    <row r="36" ht="16" customHeight="1">
      <c r="A36" s="12" t="n">
        <v>30</v>
      </c>
      <c r="B36" s="12">
        <f>IF(Нэгтгэл!B36="","",Нэгтгэл!B36)</f>
        <v/>
      </c>
      <c r="C36" s="4" t="n"/>
      <c r="D36" s="13" t="n">
        <v>1</v>
      </c>
      <c r="E36" s="13" t="n">
        <v>1</v>
      </c>
      <c r="F36" s="13" t="n">
        <v>0</v>
      </c>
      <c r="G36" s="13" t="n">
        <v>1</v>
      </c>
      <c r="H36" s="13" t="n">
        <v>1</v>
      </c>
      <c r="I36" s="13" t="n">
        <v>1</v>
      </c>
      <c r="J36" s="13" t="n">
        <v>1</v>
      </c>
      <c r="K36" s="13" t="n">
        <v>1</v>
      </c>
      <c r="L36" s="13" t="n">
        <v>0</v>
      </c>
      <c r="M36" s="13" t="n">
        <v>1</v>
      </c>
      <c r="N36" s="13" t="n">
        <v>0</v>
      </c>
      <c r="O36" s="13" t="n">
        <v>1</v>
      </c>
      <c r="P36" s="13" t="n">
        <v>1</v>
      </c>
      <c r="Q36" s="13" t="n">
        <v>0</v>
      </c>
      <c r="R36" s="13" t="n">
        <v>1</v>
      </c>
      <c r="S36" s="13" t="n">
        <v>1</v>
      </c>
      <c r="T36" s="13" t="n">
        <v>1</v>
      </c>
      <c r="U36" s="13" t="n">
        <v>0</v>
      </c>
      <c r="V36" s="13" t="n">
        <v>1</v>
      </c>
      <c r="W36" s="13" t="n">
        <v>1</v>
      </c>
      <c r="X36" s="13" t="n">
        <v>1</v>
      </c>
      <c r="Y36" s="13" t="n">
        <v>1</v>
      </c>
      <c r="Z36" s="13" t="n">
        <v>0</v>
      </c>
      <c r="AA36" s="13" t="n">
        <v>1</v>
      </c>
      <c r="AB36" s="13" t="n">
        <v>1</v>
      </c>
      <c r="AC36" s="13" t="n">
        <v>1</v>
      </c>
      <c r="AD36" s="13" t="n">
        <v>1</v>
      </c>
      <c r="AE36" s="12">
        <f>COUNTIF(D36:AD36,1)</f>
        <v/>
      </c>
      <c r="AF36" s="12">
        <f>IF(COUNT(D36:AD36)=0,"",ROUND(AE36/27*100,1))</f>
        <v/>
      </c>
      <c r="AG36" s="12">
        <f>COUNTIF(D36:AD36,0)</f>
        <v/>
      </c>
      <c r="AH36" s="12">
        <f>IF(COUNT(D36:AD36)=0,"",ROUND(AG36/27*100,1))</f>
        <v/>
      </c>
      <c r="AI36" s="20">
        <f>IF(AF36="","",IF(AF36&gt;=Нэгтгэл!$K$4,"Хангалттай эзэмшиж байна",IF(AF36&gt;=Нэгтгэл!$K$5,"Ахиж байна","Хөгжиж байна")))</f>
        <v/>
      </c>
    </row>
    <row r="37" ht="16" customHeight="1">
      <c r="A37" s="12" t="n">
        <v>31</v>
      </c>
      <c r="B37" s="12">
        <f>IF(Нэгтгэл!B37="","",Нэгтгэл!B37)</f>
        <v/>
      </c>
      <c r="C37" s="4" t="n"/>
      <c r="D37" s="13" t="n">
        <v>0</v>
      </c>
      <c r="E37" s="13" t="n">
        <v>1</v>
      </c>
      <c r="F37" s="13" t="n">
        <v>1</v>
      </c>
      <c r="G37" s="13" t="n">
        <v>1</v>
      </c>
      <c r="H37" s="13" t="n">
        <v>0</v>
      </c>
      <c r="I37" s="13" t="n">
        <v>1</v>
      </c>
      <c r="J37" s="13" t="n">
        <v>1</v>
      </c>
      <c r="K37" s="13" t="n">
        <v>1</v>
      </c>
      <c r="L37" s="13" t="n">
        <v>1</v>
      </c>
      <c r="M37" s="13" t="n">
        <v>1</v>
      </c>
      <c r="N37" s="13" t="n">
        <v>1</v>
      </c>
      <c r="O37" s="13" t="n">
        <v>1</v>
      </c>
      <c r="P37" s="13" t="n">
        <v>1</v>
      </c>
      <c r="Q37" s="13" t="n">
        <v>1</v>
      </c>
      <c r="R37" s="13" t="n">
        <v>1</v>
      </c>
      <c r="S37" s="13" t="n">
        <v>1</v>
      </c>
      <c r="T37" s="13" t="n">
        <v>1</v>
      </c>
      <c r="U37" s="13" t="n">
        <v>0</v>
      </c>
      <c r="V37" s="13" t="n">
        <v>1</v>
      </c>
      <c r="W37" s="13" t="n">
        <v>0</v>
      </c>
      <c r="X37" s="13" t="n">
        <v>1</v>
      </c>
      <c r="Y37" s="13" t="n">
        <v>0</v>
      </c>
      <c r="Z37" s="13" t="n">
        <v>1</v>
      </c>
      <c r="AA37" s="13" t="n">
        <v>1</v>
      </c>
      <c r="AB37" s="13" t="n">
        <v>1</v>
      </c>
      <c r="AC37" s="13" t="n">
        <v>0</v>
      </c>
      <c r="AD37" s="13" t="n">
        <v>1</v>
      </c>
      <c r="AE37" s="12">
        <f>COUNTIF(D37:AD37,1)</f>
        <v/>
      </c>
      <c r="AF37" s="12">
        <f>IF(COUNT(D37:AD37)=0,"",ROUND(AE37/27*100,1))</f>
        <v/>
      </c>
      <c r="AG37" s="12">
        <f>COUNTIF(D37:AD37,0)</f>
        <v/>
      </c>
      <c r="AH37" s="12">
        <f>IF(COUNT(D37:AD37)=0,"",ROUND(AG37/27*100,1))</f>
        <v/>
      </c>
      <c r="AI37" s="20">
        <f>IF(AF37="","",IF(AF37&gt;=Нэгтгэл!$K$4,"Хангалттай эзэмшиж байна",IF(AF37&gt;=Нэгтгэл!$K$5,"Ахиж байна","Хөгжиж байна")))</f>
        <v/>
      </c>
    </row>
    <row r="38" ht="16" customHeight="1">
      <c r="A38" s="12" t="n">
        <v>32</v>
      </c>
      <c r="B38" s="12">
        <f>IF(Нэгтгэл!B38="","",Нэгтгэл!B38)</f>
        <v/>
      </c>
      <c r="C38" s="4" t="n"/>
      <c r="D38" s="13" t="n">
        <v>1</v>
      </c>
      <c r="E38" s="13" t="n">
        <v>0</v>
      </c>
      <c r="F38" s="13" t="n">
        <v>1</v>
      </c>
      <c r="G38" s="13" t="n">
        <v>1</v>
      </c>
      <c r="H38" s="13" t="n">
        <v>1</v>
      </c>
      <c r="I38" s="13" t="n">
        <v>0</v>
      </c>
      <c r="J38" s="13" t="n">
        <v>0</v>
      </c>
      <c r="K38" s="13" t="n">
        <v>1</v>
      </c>
      <c r="L38" s="13" t="n">
        <v>1</v>
      </c>
      <c r="M38" s="13" t="n">
        <v>1</v>
      </c>
      <c r="N38" s="13" t="n">
        <v>1</v>
      </c>
      <c r="O38" s="13" t="n">
        <v>0</v>
      </c>
      <c r="P38" s="13" t="n">
        <v>1</v>
      </c>
      <c r="Q38" s="13" t="n">
        <v>1</v>
      </c>
      <c r="R38" s="13" t="n">
        <v>1</v>
      </c>
      <c r="S38" s="13" t="n">
        <v>1</v>
      </c>
      <c r="T38" s="13" t="n">
        <v>1</v>
      </c>
      <c r="U38" s="13" t="n">
        <v>1</v>
      </c>
      <c r="V38" s="13" t="n">
        <v>0</v>
      </c>
      <c r="W38" s="13" t="n">
        <v>0</v>
      </c>
      <c r="X38" s="13" t="n">
        <v>0</v>
      </c>
      <c r="Y38" s="13" t="n">
        <v>0</v>
      </c>
      <c r="Z38" s="13" t="n">
        <v>1</v>
      </c>
      <c r="AA38" s="13" t="n">
        <v>0</v>
      </c>
      <c r="AB38" s="13" t="n">
        <v>1</v>
      </c>
      <c r="AC38" s="13" t="n">
        <v>1</v>
      </c>
      <c r="AD38" s="13" t="n">
        <v>1</v>
      </c>
      <c r="AE38" s="12">
        <f>COUNTIF(D38:AD38,1)</f>
        <v/>
      </c>
      <c r="AF38" s="12">
        <f>IF(COUNT(D38:AD38)=0,"",ROUND(AE38/27*100,1))</f>
        <v/>
      </c>
      <c r="AG38" s="12">
        <f>COUNTIF(D38:AD38,0)</f>
        <v/>
      </c>
      <c r="AH38" s="12">
        <f>IF(COUNT(D38:AD38)=0,"",ROUND(AG38/27*100,1))</f>
        <v/>
      </c>
      <c r="AI38" s="20">
        <f>IF(AF38="","",IF(AF38&gt;=Нэгтгэл!$K$4,"Хангалттай эзэмшиж байна",IF(AF38&gt;=Нэгтгэл!$K$5,"Ахиж байна","Хөгжиж байна")))</f>
        <v/>
      </c>
    </row>
    <row r="39" ht="16" customHeight="1">
      <c r="A39" s="12" t="n">
        <v>33</v>
      </c>
      <c r="B39" s="12">
        <f>IF(Нэгтгэл!B39="","",Нэгтгэл!B39)</f>
        <v/>
      </c>
      <c r="C39" s="4" t="n"/>
      <c r="D39" s="13" t="n">
        <v>1</v>
      </c>
      <c r="E39" s="13" t="n">
        <v>1</v>
      </c>
      <c r="F39" s="13" t="n">
        <v>1</v>
      </c>
      <c r="G39" s="13" t="n">
        <v>1</v>
      </c>
      <c r="H39" s="13" t="n">
        <v>1</v>
      </c>
      <c r="I39" s="13" t="n">
        <v>0</v>
      </c>
      <c r="J39" s="13" t="n">
        <v>0</v>
      </c>
      <c r="K39" s="13" t="n">
        <v>1</v>
      </c>
      <c r="L39" s="13" t="n">
        <v>1</v>
      </c>
      <c r="M39" s="13" t="n">
        <v>1</v>
      </c>
      <c r="N39" s="13" t="n">
        <v>0</v>
      </c>
      <c r="O39" s="13" t="n">
        <v>0</v>
      </c>
      <c r="P39" s="13" t="n">
        <v>1</v>
      </c>
      <c r="Q39" s="13" t="n">
        <v>0</v>
      </c>
      <c r="R39" s="13" t="n">
        <v>1</v>
      </c>
      <c r="S39" s="13" t="n">
        <v>1</v>
      </c>
      <c r="T39" s="13" t="n">
        <v>1</v>
      </c>
      <c r="U39" s="13" t="n">
        <v>1</v>
      </c>
      <c r="V39" s="13" t="n">
        <v>1</v>
      </c>
      <c r="W39" s="13" t="n">
        <v>1</v>
      </c>
      <c r="X39" s="13" t="n">
        <v>0</v>
      </c>
      <c r="Y39" s="13" t="n">
        <v>0</v>
      </c>
      <c r="Z39" s="13" t="n">
        <v>1</v>
      </c>
      <c r="AA39" s="13" t="n">
        <v>1</v>
      </c>
      <c r="AB39" s="13" t="n">
        <v>1</v>
      </c>
      <c r="AC39" s="13" t="n">
        <v>1</v>
      </c>
      <c r="AD39" s="13" t="n">
        <v>1</v>
      </c>
      <c r="AE39" s="12">
        <f>COUNTIF(D39:AD39,1)</f>
        <v/>
      </c>
      <c r="AF39" s="12">
        <f>IF(COUNT(D39:AD39)=0,"",ROUND(AE39/27*100,1))</f>
        <v/>
      </c>
      <c r="AG39" s="12">
        <f>COUNTIF(D39:AD39,0)</f>
        <v/>
      </c>
      <c r="AH39" s="12">
        <f>IF(COUNT(D39:AD39)=0,"",ROUND(AG39/27*100,1))</f>
        <v/>
      </c>
      <c r="AI39" s="20">
        <f>IF(AF39="","",IF(AF39&gt;=Нэгтгэл!$K$4,"Хангалттай эзэмшиж байна",IF(AF39&gt;=Нэгтгэл!$K$5,"Ахиж байна","Хөгжиж байна")))</f>
        <v/>
      </c>
    </row>
    <row r="40" ht="16" customHeight="1">
      <c r="A40" s="12" t="n">
        <v>34</v>
      </c>
      <c r="B40" s="12">
        <f>IF(Нэгтгэл!B40="","",Нэгтгэл!B40)</f>
        <v/>
      </c>
      <c r="C40" s="4" t="n"/>
      <c r="D40" s="13" t="n">
        <v>0</v>
      </c>
      <c r="E40" s="13" t="n">
        <v>0</v>
      </c>
      <c r="F40" s="13" t="n">
        <v>0</v>
      </c>
      <c r="G40" s="13" t="n">
        <v>1</v>
      </c>
      <c r="H40" s="13" t="n">
        <v>1</v>
      </c>
      <c r="I40" s="13" t="n">
        <v>1</v>
      </c>
      <c r="J40" s="13" t="n">
        <v>1</v>
      </c>
      <c r="K40" s="13" t="n">
        <v>1</v>
      </c>
      <c r="L40" s="13" t="n">
        <v>1</v>
      </c>
      <c r="M40" s="13" t="n">
        <v>1</v>
      </c>
      <c r="N40" s="13" t="n">
        <v>1</v>
      </c>
      <c r="O40" s="13" t="n">
        <v>0</v>
      </c>
      <c r="P40" s="13" t="n">
        <v>1</v>
      </c>
      <c r="Q40" s="13" t="n">
        <v>1</v>
      </c>
      <c r="R40" s="13" t="n">
        <v>1</v>
      </c>
      <c r="S40" s="13" t="n">
        <v>0</v>
      </c>
      <c r="T40" s="13" t="n">
        <v>1</v>
      </c>
      <c r="U40" s="13" t="n">
        <v>1</v>
      </c>
      <c r="V40" s="13" t="n">
        <v>1</v>
      </c>
      <c r="W40" s="13" t="n">
        <v>1</v>
      </c>
      <c r="X40" s="13" t="n">
        <v>0</v>
      </c>
      <c r="Y40" s="13" t="n">
        <v>1</v>
      </c>
      <c r="Z40" s="13" t="n">
        <v>1</v>
      </c>
      <c r="AA40" s="13" t="n">
        <v>0</v>
      </c>
      <c r="AB40" s="13" t="n">
        <v>1</v>
      </c>
      <c r="AC40" s="13" t="n">
        <v>1</v>
      </c>
      <c r="AD40" s="13" t="n">
        <v>1</v>
      </c>
      <c r="AE40" s="12">
        <f>COUNTIF(D40:AD40,1)</f>
        <v/>
      </c>
      <c r="AF40" s="12">
        <f>IF(COUNT(D40:AD40)=0,"",ROUND(AE40/27*100,1))</f>
        <v/>
      </c>
      <c r="AG40" s="12">
        <f>COUNTIF(D40:AD40,0)</f>
        <v/>
      </c>
      <c r="AH40" s="12">
        <f>IF(COUNT(D40:AD40)=0,"",ROUND(AG40/27*100,1))</f>
        <v/>
      </c>
      <c r="AI40" s="20">
        <f>IF(AF40="","",IF(AF40&gt;=Нэгтгэл!$K$4,"Хангалттай эзэмшиж байна",IF(AF40&gt;=Нэгтгэл!$K$5,"Ахиж байна","Хөгжиж байна")))</f>
        <v/>
      </c>
    </row>
    <row r="41" ht="16" customHeight="1">
      <c r="A41" s="12" t="n">
        <v>35</v>
      </c>
      <c r="B41" s="12">
        <f>IF(Нэгтгэл!B41="","",Нэгтгэл!B41)</f>
        <v/>
      </c>
      <c r="C41" s="4" t="n"/>
      <c r="D41" s="13" t="n">
        <v>1</v>
      </c>
      <c r="E41" s="13" t="n">
        <v>0</v>
      </c>
      <c r="F41" s="13" t="n">
        <v>1</v>
      </c>
      <c r="G41" s="13" t="n">
        <v>0</v>
      </c>
      <c r="H41" s="13" t="n">
        <v>0</v>
      </c>
      <c r="I41" s="13" t="n">
        <v>0</v>
      </c>
      <c r="J41" s="13" t="n">
        <v>1</v>
      </c>
      <c r="K41" s="13" t="n">
        <v>1</v>
      </c>
      <c r="L41" s="13" t="n">
        <v>0</v>
      </c>
      <c r="M41" s="13" t="n">
        <v>1</v>
      </c>
      <c r="N41" s="13" t="n">
        <v>1</v>
      </c>
      <c r="O41" s="13" t="n">
        <v>1</v>
      </c>
      <c r="P41" s="13" t="n">
        <v>0</v>
      </c>
      <c r="Q41" s="13" t="n">
        <v>1</v>
      </c>
      <c r="R41" s="13" t="n">
        <v>1</v>
      </c>
      <c r="S41" s="13" t="n">
        <v>1</v>
      </c>
      <c r="T41" s="13" t="n">
        <v>1</v>
      </c>
      <c r="U41" s="13" t="n">
        <v>1</v>
      </c>
      <c r="V41" s="13" t="n">
        <v>0</v>
      </c>
      <c r="W41" s="13" t="n">
        <v>1</v>
      </c>
      <c r="X41" s="13" t="n">
        <v>1</v>
      </c>
      <c r="Y41" s="13" t="n">
        <v>1</v>
      </c>
      <c r="Z41" s="13" t="n">
        <v>1</v>
      </c>
      <c r="AA41" s="13" t="n">
        <v>1</v>
      </c>
      <c r="AB41" s="13" t="n">
        <v>1</v>
      </c>
      <c r="AC41" s="13" t="n">
        <v>1</v>
      </c>
      <c r="AD41" s="13" t="n">
        <v>1</v>
      </c>
      <c r="AE41" s="12">
        <f>COUNTIF(D41:AD41,1)</f>
        <v/>
      </c>
      <c r="AF41" s="12">
        <f>IF(COUNT(D41:AD41)=0,"",ROUND(AE41/27*100,1))</f>
        <v/>
      </c>
      <c r="AG41" s="12">
        <f>COUNTIF(D41:AD41,0)</f>
        <v/>
      </c>
      <c r="AH41" s="12">
        <f>IF(COUNT(D41:AD41)=0,"",ROUND(AG41/27*100,1))</f>
        <v/>
      </c>
      <c r="AI41" s="20">
        <f>IF(AF41="","",IF(AF41&gt;=Нэгтгэл!$K$4,"Хангалттай эзэмшиж байна",IF(AF41&gt;=Нэгтгэл!$K$5,"Ахиж байна","Хөгжиж байна")))</f>
        <v/>
      </c>
    </row>
    <row r="42" ht="16" customHeight="1">
      <c r="A42" s="12" t="n">
        <v>36</v>
      </c>
      <c r="B42" s="12">
        <f>IF(Нэгтгэл!B42="","",Нэгтгэл!B42)</f>
        <v/>
      </c>
      <c r="C42" s="4" t="n"/>
      <c r="D42" s="13" t="n">
        <v>0</v>
      </c>
      <c r="E42" s="13" t="n">
        <v>1</v>
      </c>
      <c r="F42" s="13" t="n">
        <v>0</v>
      </c>
      <c r="G42" s="13" t="n">
        <v>1</v>
      </c>
      <c r="H42" s="13" t="n">
        <v>0</v>
      </c>
      <c r="I42" s="13" t="n">
        <v>1</v>
      </c>
      <c r="J42" s="13" t="n">
        <v>0</v>
      </c>
      <c r="K42" s="13" t="n">
        <v>1</v>
      </c>
      <c r="L42" s="13" t="n">
        <v>0</v>
      </c>
      <c r="M42" s="13" t="n">
        <v>1</v>
      </c>
      <c r="N42" s="13" t="n">
        <v>1</v>
      </c>
      <c r="O42" s="13" t="n">
        <v>1</v>
      </c>
      <c r="P42" s="13" t="n">
        <v>1</v>
      </c>
      <c r="Q42" s="13" t="n">
        <v>1</v>
      </c>
      <c r="R42" s="13" t="n">
        <v>0</v>
      </c>
      <c r="S42" s="13" t="n">
        <v>1</v>
      </c>
      <c r="T42" s="13" t="n">
        <v>1</v>
      </c>
      <c r="U42" s="13" t="n">
        <v>1</v>
      </c>
      <c r="V42" s="13" t="n">
        <v>1</v>
      </c>
      <c r="W42" s="13" t="n">
        <v>0</v>
      </c>
      <c r="X42" s="13" t="n">
        <v>1</v>
      </c>
      <c r="Y42" s="13" t="n">
        <v>1</v>
      </c>
      <c r="Z42" s="13" t="n">
        <v>0</v>
      </c>
      <c r="AA42" s="13" t="n">
        <v>1</v>
      </c>
      <c r="AB42" s="13" t="n">
        <v>0</v>
      </c>
      <c r="AC42" s="13" t="n">
        <v>1</v>
      </c>
      <c r="AD42" s="13" t="n">
        <v>1</v>
      </c>
      <c r="AE42" s="12">
        <f>COUNTIF(D42:AD42,1)</f>
        <v/>
      </c>
      <c r="AF42" s="12">
        <f>IF(COUNT(D42:AD42)=0,"",ROUND(AE42/27*100,1))</f>
        <v/>
      </c>
      <c r="AG42" s="12">
        <f>COUNTIF(D42:AD42,0)</f>
        <v/>
      </c>
      <c r="AH42" s="12">
        <f>IF(COUNT(D42:AD42)=0,"",ROUND(AG42/27*100,1))</f>
        <v/>
      </c>
      <c r="AI42" s="20">
        <f>IF(AF42="","",IF(AF42&gt;=Нэгтгэл!$K$4,"Хангалттай эзэмшиж байна",IF(AF42&gt;=Нэгтгэл!$K$5,"Ахиж байна","Хөгжиж байна")))</f>
        <v/>
      </c>
    </row>
    <row r="43" ht="16" customHeight="1">
      <c r="A43" s="12" t="n">
        <v>37</v>
      </c>
      <c r="B43" s="12">
        <f>IF(Нэгтгэл!B43="","",Нэгтгэл!B43)</f>
        <v/>
      </c>
      <c r="C43" s="4" t="n"/>
      <c r="D43" s="13" t="n">
        <v>1</v>
      </c>
      <c r="E43" s="13" t="n">
        <v>1</v>
      </c>
      <c r="F43" s="13" t="n">
        <v>1</v>
      </c>
      <c r="G43" s="13" t="n">
        <v>1</v>
      </c>
      <c r="H43" s="13" t="n">
        <v>1</v>
      </c>
      <c r="I43" s="13" t="n">
        <v>1</v>
      </c>
      <c r="J43" s="13" t="n">
        <v>0</v>
      </c>
      <c r="K43" s="13" t="n">
        <v>0</v>
      </c>
      <c r="L43" s="13" t="n">
        <v>1</v>
      </c>
      <c r="M43" s="13" t="n">
        <v>1</v>
      </c>
      <c r="N43" s="13" t="n">
        <v>0</v>
      </c>
      <c r="O43" s="13" t="n">
        <v>1</v>
      </c>
      <c r="P43" s="13" t="n">
        <v>1</v>
      </c>
      <c r="Q43" s="13" t="n">
        <v>1</v>
      </c>
      <c r="R43" s="13" t="n">
        <v>0</v>
      </c>
      <c r="S43" s="13" t="n">
        <v>0</v>
      </c>
      <c r="T43" s="13" t="n">
        <v>1</v>
      </c>
      <c r="U43" s="13" t="n">
        <v>1</v>
      </c>
      <c r="V43" s="13" t="n">
        <v>1</v>
      </c>
      <c r="W43" s="13" t="n">
        <v>1</v>
      </c>
      <c r="X43" s="13" t="n">
        <v>1</v>
      </c>
      <c r="Y43" s="13" t="n">
        <v>1</v>
      </c>
      <c r="Z43" s="13" t="n">
        <v>1</v>
      </c>
      <c r="AA43" s="13" t="n">
        <v>0</v>
      </c>
      <c r="AB43" s="13" t="n">
        <v>0</v>
      </c>
      <c r="AC43" s="13" t="n">
        <v>1</v>
      </c>
      <c r="AD43" s="13" t="n">
        <v>1</v>
      </c>
      <c r="AE43" s="12">
        <f>COUNTIF(D43:AD43,1)</f>
        <v/>
      </c>
      <c r="AF43" s="12">
        <f>IF(COUNT(D43:AD43)=0,"",ROUND(AE43/27*100,1))</f>
        <v/>
      </c>
      <c r="AG43" s="12">
        <f>COUNTIF(D43:AD43,0)</f>
        <v/>
      </c>
      <c r="AH43" s="12">
        <f>IF(COUNT(D43:AD43)=0,"",ROUND(AG43/27*100,1))</f>
        <v/>
      </c>
      <c r="AI43" s="20">
        <f>IF(AF43="","",IF(AF43&gt;=Нэгтгэл!$K$4,"Хангалттай эзэмшиж байна",IF(AF43&gt;=Нэгтгэл!$K$5,"Ахиж байна","Хөгжиж байна")))</f>
        <v/>
      </c>
    </row>
    <row r="44" ht="16" customHeight="1">
      <c r="A44" s="12" t="n">
        <v>38</v>
      </c>
      <c r="B44" s="12">
        <f>IF(Нэгтгэл!B44="","",Нэгтгэл!B44)</f>
        <v/>
      </c>
      <c r="C44" s="4" t="n"/>
      <c r="D44" s="13" t="n">
        <v>1</v>
      </c>
      <c r="E44" s="13" t="n">
        <v>0</v>
      </c>
      <c r="F44" s="13" t="n">
        <v>1</v>
      </c>
      <c r="G44" s="13" t="n">
        <v>0</v>
      </c>
      <c r="H44" s="13" t="n">
        <v>1</v>
      </c>
      <c r="I44" s="13" t="n">
        <v>1</v>
      </c>
      <c r="J44" s="13" t="n">
        <v>1</v>
      </c>
      <c r="K44" s="13" t="n">
        <v>1</v>
      </c>
      <c r="L44" s="13" t="n">
        <v>1</v>
      </c>
      <c r="M44" s="13" t="n">
        <v>0</v>
      </c>
      <c r="N44" s="13" t="n">
        <v>0</v>
      </c>
      <c r="O44" s="13" t="n">
        <v>0</v>
      </c>
      <c r="P44" s="13" t="n">
        <v>1</v>
      </c>
      <c r="Q44" s="13" t="n">
        <v>0</v>
      </c>
      <c r="R44" s="13" t="n">
        <v>0</v>
      </c>
      <c r="S44" s="13" t="n">
        <v>1</v>
      </c>
      <c r="T44" s="13" t="n">
        <v>1</v>
      </c>
      <c r="U44" s="13" t="n">
        <v>1</v>
      </c>
      <c r="V44" s="13" t="n">
        <v>0</v>
      </c>
      <c r="W44" s="13" t="n">
        <v>1</v>
      </c>
      <c r="X44" s="13" t="n">
        <v>1</v>
      </c>
      <c r="Y44" s="13" t="n">
        <v>1</v>
      </c>
      <c r="Z44" s="13" t="n">
        <v>1</v>
      </c>
      <c r="AA44" s="13" t="n">
        <v>1</v>
      </c>
      <c r="AB44" s="13" t="n">
        <v>0</v>
      </c>
      <c r="AC44" s="13" t="n">
        <v>1</v>
      </c>
      <c r="AD44" s="13" t="n">
        <v>0</v>
      </c>
      <c r="AE44" s="12">
        <f>COUNTIF(D44:AD44,1)</f>
        <v/>
      </c>
      <c r="AF44" s="12">
        <f>IF(COUNT(D44:AD44)=0,"",ROUND(AE44/27*100,1))</f>
        <v/>
      </c>
      <c r="AG44" s="12">
        <f>COUNTIF(D44:AD44,0)</f>
        <v/>
      </c>
      <c r="AH44" s="12">
        <f>IF(COUNT(D44:AD44)=0,"",ROUND(AG44/27*100,1))</f>
        <v/>
      </c>
      <c r="AI44" s="20">
        <f>IF(AF44="","",IF(AF44&gt;=Нэгтгэл!$K$4,"Хангалттай эзэмшиж байна",IF(AF44&gt;=Нэгтгэл!$K$5,"Ахиж байна","Хөгжиж байна")))</f>
        <v/>
      </c>
    </row>
    <row r="45" ht="16" customHeight="1">
      <c r="A45" s="12" t="n">
        <v>39</v>
      </c>
      <c r="B45" s="12">
        <f>IF(Нэгтгэл!B45="","",Нэгтгэл!B45)</f>
        <v/>
      </c>
      <c r="C45" s="4" t="n"/>
      <c r="D45" s="13" t="n">
        <v>1</v>
      </c>
      <c r="E45" s="13" t="n">
        <v>1</v>
      </c>
      <c r="F45" s="13" t="n">
        <v>1</v>
      </c>
      <c r="G45" s="13" t="n">
        <v>1</v>
      </c>
      <c r="H45" s="13" t="n">
        <v>0</v>
      </c>
      <c r="I45" s="13" t="n">
        <v>1</v>
      </c>
      <c r="J45" s="13" t="n">
        <v>1</v>
      </c>
      <c r="K45" s="13" t="n">
        <v>1</v>
      </c>
      <c r="L45" s="13" t="n">
        <v>1</v>
      </c>
      <c r="M45" s="13" t="n">
        <v>0</v>
      </c>
      <c r="N45" s="13" t="n">
        <v>1</v>
      </c>
      <c r="O45" s="13" t="n">
        <v>1</v>
      </c>
      <c r="P45" s="13" t="n">
        <v>0</v>
      </c>
      <c r="Q45" s="13" t="n">
        <v>1</v>
      </c>
      <c r="R45" s="13" t="n">
        <v>0</v>
      </c>
      <c r="S45" s="13" t="n">
        <v>1</v>
      </c>
      <c r="T45" s="13" t="n">
        <v>0</v>
      </c>
      <c r="U45" s="13" t="n">
        <v>0</v>
      </c>
      <c r="V45" s="13" t="n">
        <v>0</v>
      </c>
      <c r="W45" s="13" t="n">
        <v>0</v>
      </c>
      <c r="X45" s="13" t="n">
        <v>1</v>
      </c>
      <c r="Y45" s="13" t="n">
        <v>1</v>
      </c>
      <c r="Z45" s="13" t="n">
        <v>1</v>
      </c>
      <c r="AA45" s="13" t="n">
        <v>1</v>
      </c>
      <c r="AB45" s="13" t="n">
        <v>1</v>
      </c>
      <c r="AC45" s="13" t="n">
        <v>0</v>
      </c>
      <c r="AD45" s="13" t="n">
        <v>0</v>
      </c>
      <c r="AE45" s="12">
        <f>COUNTIF(D45:AD45,1)</f>
        <v/>
      </c>
      <c r="AF45" s="12">
        <f>IF(COUNT(D45:AD45)=0,"",ROUND(AE45/27*100,1))</f>
        <v/>
      </c>
      <c r="AG45" s="12">
        <f>COUNTIF(D45:AD45,0)</f>
        <v/>
      </c>
      <c r="AH45" s="12">
        <f>IF(COUNT(D45:AD45)=0,"",ROUND(AG45/27*100,1))</f>
        <v/>
      </c>
      <c r="AI45" s="20">
        <f>IF(AF45="","",IF(AF45&gt;=Нэгтгэл!$K$4,"Хангалттай эзэмшиж байна",IF(AF45&gt;=Нэгтгэл!$K$5,"Ахиж байна","Хөгжиж байна")))</f>
        <v/>
      </c>
    </row>
    <row r="46" ht="16" customHeight="1">
      <c r="A46" s="12" t="n">
        <v>40</v>
      </c>
      <c r="B46" s="12">
        <f>IF(Нэгтгэл!B46="","",Нэгтгэл!B46)</f>
        <v/>
      </c>
      <c r="C46" s="4" t="n"/>
      <c r="D46" s="13" t="n">
        <v>1</v>
      </c>
      <c r="E46" s="13" t="n">
        <v>1</v>
      </c>
      <c r="F46" s="13" t="n">
        <v>1</v>
      </c>
      <c r="G46" s="13" t="n">
        <v>1</v>
      </c>
      <c r="H46" s="13" t="n">
        <v>1</v>
      </c>
      <c r="I46" s="13" t="n">
        <v>1</v>
      </c>
      <c r="J46" s="13" t="n">
        <v>1</v>
      </c>
      <c r="K46" s="13" t="n">
        <v>1</v>
      </c>
      <c r="L46" s="13" t="n">
        <v>0</v>
      </c>
      <c r="M46" s="13" t="n">
        <v>1</v>
      </c>
      <c r="N46" s="13" t="n">
        <v>1</v>
      </c>
      <c r="O46" s="13" t="n">
        <v>0</v>
      </c>
      <c r="P46" s="13" t="n">
        <v>1</v>
      </c>
      <c r="Q46" s="13" t="n">
        <v>1</v>
      </c>
      <c r="R46" s="13" t="n">
        <v>0</v>
      </c>
      <c r="S46" s="13" t="n">
        <v>1</v>
      </c>
      <c r="T46" s="13" t="n">
        <v>1</v>
      </c>
      <c r="U46" s="13" t="n">
        <v>1</v>
      </c>
      <c r="V46" s="13" t="n">
        <v>0</v>
      </c>
      <c r="W46" s="13" t="n">
        <v>0</v>
      </c>
      <c r="X46" s="13" t="n">
        <v>1</v>
      </c>
      <c r="Y46" s="13" t="n">
        <v>1</v>
      </c>
      <c r="Z46" s="13" t="n">
        <v>1</v>
      </c>
      <c r="AA46" s="13" t="n">
        <v>1</v>
      </c>
      <c r="AB46" s="13" t="n">
        <v>1</v>
      </c>
      <c r="AC46" s="13" t="n">
        <v>1</v>
      </c>
      <c r="AD46" s="13" t="n">
        <v>1</v>
      </c>
      <c r="AE46" s="12">
        <f>COUNTIF(D46:AD46,1)</f>
        <v/>
      </c>
      <c r="AF46" s="12">
        <f>IF(COUNT(D46:AD46)=0,"",ROUND(AE46/27*100,1))</f>
        <v/>
      </c>
      <c r="AG46" s="12">
        <f>COUNTIF(D46:AD46,0)</f>
        <v/>
      </c>
      <c r="AH46" s="12">
        <f>IF(COUNT(D46:AD46)=0,"",ROUND(AG46/27*100,1))</f>
        <v/>
      </c>
      <c r="AI46" s="20">
        <f>IF(AF46="","",IF(AF46&gt;=Нэгтгэл!$K$4,"Хангалттай эзэмшиж байна",IF(AF46&gt;=Нэгтгэл!$K$5,"Ахиж байна","Хөгжиж байна")))</f>
        <v/>
      </c>
    </row>
    <row r="47" ht="16" customHeight="1">
      <c r="A47" s="12" t="n">
        <v>41</v>
      </c>
      <c r="B47" s="12">
        <f>IF(Нэгтгэл!B47="","",Нэгтгэл!B47)</f>
        <v/>
      </c>
      <c r="C47" s="4" t="n"/>
      <c r="D47" s="13" t="n">
        <v>1</v>
      </c>
      <c r="E47" s="13" t="n">
        <v>1</v>
      </c>
      <c r="F47" s="13" t="n">
        <v>1</v>
      </c>
      <c r="G47" s="13" t="n">
        <v>1</v>
      </c>
      <c r="H47" s="13" t="n">
        <v>1</v>
      </c>
      <c r="I47" s="13" t="n">
        <v>0</v>
      </c>
      <c r="J47" s="13" t="n">
        <v>1</v>
      </c>
      <c r="K47" s="13" t="n">
        <v>1</v>
      </c>
      <c r="L47" s="13" t="n">
        <v>1</v>
      </c>
      <c r="M47" s="13" t="n">
        <v>1</v>
      </c>
      <c r="N47" s="13" t="n">
        <v>0</v>
      </c>
      <c r="O47" s="13" t="n">
        <v>1</v>
      </c>
      <c r="P47" s="13" t="n">
        <v>1</v>
      </c>
      <c r="Q47" s="13" t="n">
        <v>0</v>
      </c>
      <c r="R47" s="13" t="n">
        <v>1</v>
      </c>
      <c r="S47" s="13" t="n">
        <v>1</v>
      </c>
      <c r="T47" s="13" t="n">
        <v>0</v>
      </c>
      <c r="U47" s="13" t="n">
        <v>1</v>
      </c>
      <c r="V47" s="13" t="n">
        <v>1</v>
      </c>
      <c r="W47" s="13" t="n">
        <v>0</v>
      </c>
      <c r="X47" s="13" t="n">
        <v>1</v>
      </c>
      <c r="Y47" s="13" t="n">
        <v>0</v>
      </c>
      <c r="Z47" s="13" t="n">
        <v>1</v>
      </c>
      <c r="AA47" s="13" t="n">
        <v>0</v>
      </c>
      <c r="AB47" s="13" t="n">
        <v>1</v>
      </c>
      <c r="AC47" s="13" t="n">
        <v>1</v>
      </c>
      <c r="AD47" s="13" t="n">
        <v>1</v>
      </c>
      <c r="AE47" s="12">
        <f>COUNTIF(D47:AD47,1)</f>
        <v/>
      </c>
      <c r="AF47" s="12">
        <f>IF(COUNT(D47:AD47)=0,"",ROUND(AE47/27*100,1))</f>
        <v/>
      </c>
      <c r="AG47" s="12">
        <f>COUNTIF(D47:AD47,0)</f>
        <v/>
      </c>
      <c r="AH47" s="12">
        <f>IF(COUNT(D47:AD47)=0,"",ROUND(AG47/27*100,1))</f>
        <v/>
      </c>
      <c r="AI47" s="20">
        <f>IF(AF47="","",IF(AF47&gt;=Нэгтгэл!$K$4,"Хангалттай эзэмшиж байна",IF(AF47&gt;=Нэгтгэл!$K$5,"Ахиж байна","Хөгжиж байна")))</f>
        <v/>
      </c>
    </row>
    <row r="48" ht="16" customHeight="1">
      <c r="A48" s="12" t="n">
        <v>42</v>
      </c>
      <c r="B48" s="12">
        <f>IF(Нэгтгэл!B48="","",Нэгтгэл!B48)</f>
        <v/>
      </c>
      <c r="C48" s="4" t="n"/>
      <c r="D48" s="13" t="n">
        <v>1</v>
      </c>
      <c r="E48" s="13" t="n">
        <v>1</v>
      </c>
      <c r="F48" s="13" t="n">
        <v>1</v>
      </c>
      <c r="G48" s="13" t="n">
        <v>1</v>
      </c>
      <c r="H48" s="13" t="n">
        <v>0</v>
      </c>
      <c r="I48" s="13" t="n">
        <v>1</v>
      </c>
      <c r="J48" s="13" t="n">
        <v>1</v>
      </c>
      <c r="K48" s="13" t="n">
        <v>0</v>
      </c>
      <c r="L48" s="13" t="n">
        <v>0</v>
      </c>
      <c r="M48" s="13" t="n">
        <v>1</v>
      </c>
      <c r="N48" s="13" t="n">
        <v>0</v>
      </c>
      <c r="O48" s="13" t="n">
        <v>0</v>
      </c>
      <c r="P48" s="13" t="n">
        <v>1</v>
      </c>
      <c r="Q48" s="13" t="n">
        <v>1</v>
      </c>
      <c r="R48" s="13" t="n">
        <v>1</v>
      </c>
      <c r="S48" s="13" t="n">
        <v>1</v>
      </c>
      <c r="T48" s="13" t="n">
        <v>0</v>
      </c>
      <c r="U48" s="13" t="n">
        <v>1</v>
      </c>
      <c r="V48" s="13" t="n">
        <v>1</v>
      </c>
      <c r="W48" s="13" t="n">
        <v>0</v>
      </c>
      <c r="X48" s="13" t="n">
        <v>1</v>
      </c>
      <c r="Y48" s="13" t="n">
        <v>1</v>
      </c>
      <c r="Z48" s="13" t="n">
        <v>1</v>
      </c>
      <c r="AA48" s="13" t="n">
        <v>0</v>
      </c>
      <c r="AB48" s="13" t="n">
        <v>1</v>
      </c>
      <c r="AC48" s="13" t="n">
        <v>1</v>
      </c>
      <c r="AD48" s="13" t="n">
        <v>1</v>
      </c>
      <c r="AE48" s="12">
        <f>COUNTIF(D48:AD48,1)</f>
        <v/>
      </c>
      <c r="AF48" s="12">
        <f>IF(COUNT(D48:AD48)=0,"",ROUND(AE48/27*100,1))</f>
        <v/>
      </c>
      <c r="AG48" s="12">
        <f>COUNTIF(D48:AD48,0)</f>
        <v/>
      </c>
      <c r="AH48" s="12">
        <f>IF(COUNT(D48:AD48)=0,"",ROUND(AG48/27*100,1))</f>
        <v/>
      </c>
      <c r="AI48" s="20">
        <f>IF(AF48="","",IF(AF48&gt;=Нэгтгэл!$K$4,"Хангалттай эзэмшиж байна",IF(AF48&gt;=Нэгтгэл!$K$5,"Ахиж байна","Хөгжиж байна")))</f>
        <v/>
      </c>
    </row>
    <row r="49" ht="16" customHeight="1">
      <c r="A49" s="12" t="n">
        <v>43</v>
      </c>
      <c r="B49" s="12">
        <f>IF(Нэгтгэл!B49="","",Нэгтгэл!B49)</f>
        <v/>
      </c>
      <c r="C49" s="4" t="n"/>
      <c r="D49" s="13" t="n">
        <v>1</v>
      </c>
      <c r="E49" s="13" t="n">
        <v>1</v>
      </c>
      <c r="F49" s="13" t="n">
        <v>0</v>
      </c>
      <c r="G49" s="13" t="n">
        <v>1</v>
      </c>
      <c r="H49" s="13" t="n">
        <v>1</v>
      </c>
      <c r="I49" s="13" t="n">
        <v>1</v>
      </c>
      <c r="J49" s="13" t="n">
        <v>1</v>
      </c>
      <c r="K49" s="13" t="n">
        <v>1</v>
      </c>
      <c r="L49" s="13" t="n">
        <v>0</v>
      </c>
      <c r="M49" s="13" t="n">
        <v>0</v>
      </c>
      <c r="N49" s="13" t="n">
        <v>1</v>
      </c>
      <c r="O49" s="13" t="n">
        <v>1</v>
      </c>
      <c r="P49" s="13" t="n">
        <v>1</v>
      </c>
      <c r="Q49" s="13" t="n">
        <v>1</v>
      </c>
      <c r="R49" s="13" t="n">
        <v>1</v>
      </c>
      <c r="S49" s="13" t="n">
        <v>1</v>
      </c>
      <c r="T49" s="13" t="n">
        <v>1</v>
      </c>
      <c r="U49" s="13" t="n">
        <v>0</v>
      </c>
      <c r="V49" s="13" t="n">
        <v>1</v>
      </c>
      <c r="W49" s="13" t="n">
        <v>0</v>
      </c>
      <c r="X49" s="13" t="n">
        <v>0</v>
      </c>
      <c r="Y49" s="13" t="n">
        <v>0</v>
      </c>
      <c r="Z49" s="13" t="n">
        <v>0</v>
      </c>
      <c r="AA49" s="13" t="n">
        <v>1</v>
      </c>
      <c r="AB49" s="13" t="n">
        <v>1</v>
      </c>
      <c r="AC49" s="13" t="n">
        <v>1</v>
      </c>
      <c r="AD49" s="13" t="n">
        <v>1</v>
      </c>
      <c r="AE49" s="12">
        <f>COUNTIF(D49:AD49,1)</f>
        <v/>
      </c>
      <c r="AF49" s="12">
        <f>IF(COUNT(D49:AD49)=0,"",ROUND(AE49/27*100,1))</f>
        <v/>
      </c>
      <c r="AG49" s="12">
        <f>COUNTIF(D49:AD49,0)</f>
        <v/>
      </c>
      <c r="AH49" s="12">
        <f>IF(COUNT(D49:AD49)=0,"",ROUND(AG49/27*100,1))</f>
        <v/>
      </c>
      <c r="AI49" s="20">
        <f>IF(AF49="","",IF(AF49&gt;=Нэгтгэл!$K$4,"Хангалттай эзэмшиж байна",IF(AF49&gt;=Нэгтгэл!$K$5,"Ахиж байна","Хөгжиж байна")))</f>
        <v/>
      </c>
    </row>
    <row r="50" ht="16" customHeight="1">
      <c r="A50" s="12" t="n">
        <v>44</v>
      </c>
      <c r="B50" s="12">
        <f>IF(Нэгтгэл!B50="","",Нэгтгэл!B50)</f>
        <v/>
      </c>
      <c r="C50" s="4" t="n"/>
      <c r="D50" s="13" t="n">
        <v>1</v>
      </c>
      <c r="E50" s="13" t="n">
        <v>1</v>
      </c>
      <c r="F50" s="13" t="n">
        <v>0</v>
      </c>
      <c r="G50" s="13" t="n">
        <v>1</v>
      </c>
      <c r="H50" s="13" t="n">
        <v>1</v>
      </c>
      <c r="I50" s="13" t="n">
        <v>0</v>
      </c>
      <c r="J50" s="13" t="n">
        <v>0</v>
      </c>
      <c r="K50" s="13" t="n">
        <v>1</v>
      </c>
      <c r="L50" s="13" t="n">
        <v>1</v>
      </c>
      <c r="M50" s="13" t="n">
        <v>1</v>
      </c>
      <c r="N50" s="13" t="n">
        <v>0</v>
      </c>
      <c r="O50" s="13" t="n">
        <v>1</v>
      </c>
      <c r="P50" s="13" t="n">
        <v>0</v>
      </c>
      <c r="Q50" s="13" t="n">
        <v>1</v>
      </c>
      <c r="R50" s="13" t="n">
        <v>1</v>
      </c>
      <c r="S50" s="13" t="n">
        <v>1</v>
      </c>
      <c r="T50" s="13" t="n">
        <v>1</v>
      </c>
      <c r="U50" s="13" t="n">
        <v>0</v>
      </c>
      <c r="V50" s="13" t="n">
        <v>1</v>
      </c>
      <c r="W50" s="13" t="n">
        <v>1</v>
      </c>
      <c r="X50" s="13" t="n">
        <v>1</v>
      </c>
      <c r="Y50" s="13" t="n">
        <v>1</v>
      </c>
      <c r="Z50" s="13" t="n">
        <v>1</v>
      </c>
      <c r="AA50" s="13" t="n">
        <v>1</v>
      </c>
      <c r="AB50" s="13" t="n">
        <v>1</v>
      </c>
      <c r="AC50" s="13" t="n">
        <v>1</v>
      </c>
      <c r="AD50" s="13" t="n">
        <v>1</v>
      </c>
      <c r="AE50" s="12">
        <f>COUNTIF(D50:AD50,1)</f>
        <v/>
      </c>
      <c r="AF50" s="12">
        <f>IF(COUNT(D50:AD50)=0,"",ROUND(AE50/27*100,1))</f>
        <v/>
      </c>
      <c r="AG50" s="12">
        <f>COUNTIF(D50:AD50,0)</f>
        <v/>
      </c>
      <c r="AH50" s="12">
        <f>IF(COUNT(D50:AD50)=0,"",ROUND(AG50/27*100,1))</f>
        <v/>
      </c>
      <c r="AI50" s="20">
        <f>IF(AF50="","",IF(AF50&gt;=Нэгтгэл!$K$4,"Хангалттай эзэмшиж байна",IF(AF50&gt;=Нэгтгэл!$K$5,"Ахиж байна","Хөгжиж байна")))</f>
        <v/>
      </c>
    </row>
    <row r="51" ht="16" customHeight="1">
      <c r="A51" s="12" t="n">
        <v>45</v>
      </c>
      <c r="B51" s="12">
        <f>IF(Нэгтгэл!B51="","",Нэгтгэл!B51)</f>
        <v/>
      </c>
      <c r="C51" s="4" t="n"/>
      <c r="D51" s="13" t="n">
        <v>1</v>
      </c>
      <c r="E51" s="13" t="n">
        <v>1</v>
      </c>
      <c r="F51" s="13" t="n">
        <v>1</v>
      </c>
      <c r="G51" s="13" t="n">
        <v>1</v>
      </c>
      <c r="H51" s="13" t="n">
        <v>0</v>
      </c>
      <c r="I51" s="13" t="n">
        <v>1</v>
      </c>
      <c r="J51" s="13" t="n">
        <v>1</v>
      </c>
      <c r="K51" s="13" t="n">
        <v>1</v>
      </c>
      <c r="L51" s="13" t="n">
        <v>1</v>
      </c>
      <c r="M51" s="13" t="n">
        <v>1</v>
      </c>
      <c r="N51" s="13" t="n">
        <v>1</v>
      </c>
      <c r="O51" s="13" t="n">
        <v>1</v>
      </c>
      <c r="P51" s="13" t="n">
        <v>1</v>
      </c>
      <c r="Q51" s="13" t="n">
        <v>1</v>
      </c>
      <c r="R51" s="13" t="n">
        <v>1</v>
      </c>
      <c r="S51" s="13" t="n">
        <v>1</v>
      </c>
      <c r="T51" s="13" t="n">
        <v>1</v>
      </c>
      <c r="U51" s="13" t="n">
        <v>0</v>
      </c>
      <c r="V51" s="13" t="n">
        <v>1</v>
      </c>
      <c r="W51" s="13" t="n">
        <v>1</v>
      </c>
      <c r="X51" s="13" t="n">
        <v>0</v>
      </c>
      <c r="Y51" s="13" t="n">
        <v>1</v>
      </c>
      <c r="Z51" s="13" t="n">
        <v>0</v>
      </c>
      <c r="AA51" s="13" t="n">
        <v>0</v>
      </c>
      <c r="AB51" s="13" t="n">
        <v>1</v>
      </c>
      <c r="AC51" s="13" t="n">
        <v>1</v>
      </c>
      <c r="AD51" s="13" t="n">
        <v>0</v>
      </c>
      <c r="AE51" s="12">
        <f>COUNTIF(D51:AD51,1)</f>
        <v/>
      </c>
      <c r="AF51" s="12">
        <f>IF(COUNT(D51:AD51)=0,"",ROUND(AE51/27*100,1))</f>
        <v/>
      </c>
      <c r="AG51" s="12">
        <f>COUNTIF(D51:AD51,0)</f>
        <v/>
      </c>
      <c r="AH51" s="12">
        <f>IF(COUNT(D51:AD51)=0,"",ROUND(AG51/27*100,1))</f>
        <v/>
      </c>
      <c r="AI51" s="20">
        <f>IF(AF51="","",IF(AF51&gt;=Нэгтгэл!$K$4,"Хангалттай эзэмшиж байна",IF(AF51&gt;=Нэгтгэл!$K$5,"Ахиж байна","Хөгжиж байна")))</f>
        <v/>
      </c>
    </row>
    <row r="52" ht="16" customHeight="1">
      <c r="A52" s="12" t="n">
        <v>46</v>
      </c>
      <c r="B52" s="12">
        <f>IF(Нэгтгэл!B52="","",Нэгтгэл!B52)</f>
        <v/>
      </c>
      <c r="C52" s="4" t="n"/>
      <c r="D52" s="13" t="n">
        <v>1</v>
      </c>
      <c r="E52" s="13" t="n">
        <v>1</v>
      </c>
      <c r="F52" s="13" t="n">
        <v>0</v>
      </c>
      <c r="G52" s="13" t="n">
        <v>1</v>
      </c>
      <c r="H52" s="13" t="n">
        <v>1</v>
      </c>
      <c r="I52" s="13" t="n">
        <v>0</v>
      </c>
      <c r="J52" s="13" t="n">
        <v>1</v>
      </c>
      <c r="K52" s="13" t="n">
        <v>1</v>
      </c>
      <c r="L52" s="13" t="n">
        <v>0</v>
      </c>
      <c r="M52" s="13" t="n">
        <v>1</v>
      </c>
      <c r="N52" s="13" t="n">
        <v>1</v>
      </c>
      <c r="O52" s="13" t="n">
        <v>1</v>
      </c>
      <c r="P52" s="13" t="n">
        <v>1</v>
      </c>
      <c r="Q52" s="13" t="n">
        <v>1</v>
      </c>
      <c r="R52" s="13" t="n">
        <v>1</v>
      </c>
      <c r="S52" s="13" t="n">
        <v>1</v>
      </c>
      <c r="T52" s="13" t="n">
        <v>0</v>
      </c>
      <c r="U52" s="13" t="n">
        <v>1</v>
      </c>
      <c r="V52" s="13" t="n">
        <v>1</v>
      </c>
      <c r="W52" s="13" t="n">
        <v>0</v>
      </c>
      <c r="X52" s="13" t="n">
        <v>1</v>
      </c>
      <c r="Y52" s="13" t="n">
        <v>1</v>
      </c>
      <c r="Z52" s="13" t="n">
        <v>1</v>
      </c>
      <c r="AA52" s="13" t="n">
        <v>1</v>
      </c>
      <c r="AB52" s="13" t="n">
        <v>0</v>
      </c>
      <c r="AC52" s="13" t="n">
        <v>1</v>
      </c>
      <c r="AD52" s="13" t="n">
        <v>1</v>
      </c>
      <c r="AE52" s="12">
        <f>COUNTIF(D52:AD52,1)</f>
        <v/>
      </c>
      <c r="AF52" s="12">
        <f>IF(COUNT(D52:AD52)=0,"",ROUND(AE52/27*100,1))</f>
        <v/>
      </c>
      <c r="AG52" s="12">
        <f>COUNTIF(D52:AD52,0)</f>
        <v/>
      </c>
      <c r="AH52" s="12">
        <f>IF(COUNT(D52:AD52)=0,"",ROUND(AG52/27*100,1))</f>
        <v/>
      </c>
      <c r="AI52" s="20">
        <f>IF(AF52="","",IF(AF52&gt;=Нэгтгэл!$K$4,"Хангалттай эзэмшиж байна",IF(AF52&gt;=Нэгтгэл!$K$5,"Ахиж байна","Хөгжиж байна")))</f>
        <v/>
      </c>
    </row>
    <row r="53" ht="16" customHeight="1">
      <c r="A53" s="12" t="n">
        <v>47</v>
      </c>
      <c r="B53" s="12">
        <f>IF(Нэгтгэл!B53="","",Нэгтгэл!B53)</f>
        <v/>
      </c>
      <c r="C53" s="4" t="n"/>
      <c r="D53" s="13" t="n">
        <v>1</v>
      </c>
      <c r="E53" s="13" t="n">
        <v>1</v>
      </c>
      <c r="F53" s="13" t="n">
        <v>1</v>
      </c>
      <c r="G53" s="13" t="n">
        <v>0</v>
      </c>
      <c r="H53" s="13" t="n">
        <v>1</v>
      </c>
      <c r="I53" s="13" t="n">
        <v>1</v>
      </c>
      <c r="J53" s="13" t="n">
        <v>1</v>
      </c>
      <c r="K53" s="13" t="n">
        <v>0</v>
      </c>
      <c r="L53" s="13" t="n">
        <v>0</v>
      </c>
      <c r="M53" s="13" t="n">
        <v>1</v>
      </c>
      <c r="N53" s="13" t="n">
        <v>0</v>
      </c>
      <c r="O53" s="13" t="n">
        <v>1</v>
      </c>
      <c r="P53" s="13" t="n">
        <v>1</v>
      </c>
      <c r="Q53" s="13" t="n">
        <v>1</v>
      </c>
      <c r="R53" s="13" t="n">
        <v>0</v>
      </c>
      <c r="S53" s="13" t="n">
        <v>0</v>
      </c>
      <c r="T53" s="13" t="n">
        <v>1</v>
      </c>
      <c r="U53" s="13" t="n">
        <v>1</v>
      </c>
      <c r="V53" s="13" t="n">
        <v>0</v>
      </c>
      <c r="W53" s="13" t="n">
        <v>0</v>
      </c>
      <c r="X53" s="13" t="n">
        <v>1</v>
      </c>
      <c r="Y53" s="13" t="n">
        <v>1</v>
      </c>
      <c r="Z53" s="13" t="n">
        <v>1</v>
      </c>
      <c r="AA53" s="13" t="n">
        <v>1</v>
      </c>
      <c r="AB53" s="13" t="n">
        <v>0</v>
      </c>
      <c r="AC53" s="13" t="n">
        <v>0</v>
      </c>
      <c r="AD53" s="13" t="n">
        <v>1</v>
      </c>
      <c r="AE53" s="12">
        <f>COUNTIF(D53:AD53,1)</f>
        <v/>
      </c>
      <c r="AF53" s="12">
        <f>IF(COUNT(D53:AD53)=0,"",ROUND(AE53/27*100,1))</f>
        <v/>
      </c>
      <c r="AG53" s="12">
        <f>COUNTIF(D53:AD53,0)</f>
        <v/>
      </c>
      <c r="AH53" s="12">
        <f>IF(COUNT(D53:AD53)=0,"",ROUND(AG53/27*100,1))</f>
        <v/>
      </c>
      <c r="AI53" s="20">
        <f>IF(AF53="","",IF(AF53&gt;=Нэгтгэл!$K$4,"Хангалттай эзэмшиж байна",IF(AF53&gt;=Нэгтгэл!$K$5,"Ахиж байна","Хөгжиж байна")))</f>
        <v/>
      </c>
    </row>
    <row r="54" ht="16" customHeight="1">
      <c r="A54" s="12" t="n">
        <v>48</v>
      </c>
      <c r="B54" s="12">
        <f>IF(Нэгтгэл!B54="","",Нэгтгэл!B54)</f>
        <v/>
      </c>
      <c r="C54" s="4" t="n"/>
      <c r="D54" s="13" t="n">
        <v>1</v>
      </c>
      <c r="E54" s="13" t="n">
        <v>0</v>
      </c>
      <c r="F54" s="13" t="n">
        <v>0</v>
      </c>
      <c r="G54" s="13" t="n">
        <v>1</v>
      </c>
      <c r="H54" s="13" t="n">
        <v>0</v>
      </c>
      <c r="I54" s="13" t="n">
        <v>1</v>
      </c>
      <c r="J54" s="13" t="n">
        <v>0</v>
      </c>
      <c r="K54" s="13" t="n">
        <v>1</v>
      </c>
      <c r="L54" s="13" t="n">
        <v>1</v>
      </c>
      <c r="M54" s="13" t="n">
        <v>1</v>
      </c>
      <c r="N54" s="13" t="n">
        <v>1</v>
      </c>
      <c r="O54" s="13" t="n">
        <v>1</v>
      </c>
      <c r="P54" s="13" t="n">
        <v>0</v>
      </c>
      <c r="Q54" s="13" t="n">
        <v>1</v>
      </c>
      <c r="R54" s="13" t="n">
        <v>1</v>
      </c>
      <c r="S54" s="13" t="n">
        <v>0</v>
      </c>
      <c r="T54" s="13" t="n">
        <v>1</v>
      </c>
      <c r="U54" s="13" t="n">
        <v>0</v>
      </c>
      <c r="V54" s="13" t="n">
        <v>1</v>
      </c>
      <c r="W54" s="13" t="n">
        <v>1</v>
      </c>
      <c r="X54" s="13" t="n">
        <v>1</v>
      </c>
      <c r="Y54" s="13" t="n">
        <v>1</v>
      </c>
      <c r="Z54" s="13" t="n">
        <v>1</v>
      </c>
      <c r="AA54" s="13" t="n">
        <v>1</v>
      </c>
      <c r="AB54" s="13" t="n">
        <v>1</v>
      </c>
      <c r="AC54" s="13" t="n">
        <v>0</v>
      </c>
      <c r="AD54" s="13" t="n">
        <v>1</v>
      </c>
      <c r="AE54" s="12">
        <f>COUNTIF(D54:AD54,1)</f>
        <v/>
      </c>
      <c r="AF54" s="12">
        <f>IF(COUNT(D54:AD54)=0,"",ROUND(AE54/27*100,1))</f>
        <v/>
      </c>
      <c r="AG54" s="12">
        <f>COUNTIF(D54:AD54,0)</f>
        <v/>
      </c>
      <c r="AH54" s="12">
        <f>IF(COUNT(D54:AD54)=0,"",ROUND(AG54/27*100,1))</f>
        <v/>
      </c>
      <c r="AI54" s="20">
        <f>IF(AF54="","",IF(AF54&gt;=Нэгтгэл!$K$4,"Хангалттай эзэмшиж байна",IF(AF54&gt;=Нэгтгэл!$K$5,"Ахиж байна","Хөгжиж байна")))</f>
        <v/>
      </c>
    </row>
    <row r="55" ht="16" customHeight="1">
      <c r="A55" s="12" t="n">
        <v>49</v>
      </c>
      <c r="B55" s="12">
        <f>IF(Нэгтгэл!B55="","",Нэгтгэл!B55)</f>
        <v/>
      </c>
      <c r="C55" s="4" t="n"/>
      <c r="D55" s="13" t="n">
        <v>1</v>
      </c>
      <c r="E55" s="13" t="n">
        <v>1</v>
      </c>
      <c r="F55" s="13" t="n">
        <v>1</v>
      </c>
      <c r="G55" s="13" t="n">
        <v>1</v>
      </c>
      <c r="H55" s="13" t="n">
        <v>1</v>
      </c>
      <c r="I55" s="13" t="n">
        <v>1</v>
      </c>
      <c r="J55" s="13" t="n">
        <v>0</v>
      </c>
      <c r="K55" s="13" t="n">
        <v>1</v>
      </c>
      <c r="L55" s="13" t="n">
        <v>1</v>
      </c>
      <c r="M55" s="13" t="n">
        <v>0</v>
      </c>
      <c r="N55" s="13" t="n">
        <v>0</v>
      </c>
      <c r="O55" s="13" t="n">
        <v>0</v>
      </c>
      <c r="P55" s="13" t="n">
        <v>1</v>
      </c>
      <c r="Q55" s="13" t="n">
        <v>1</v>
      </c>
      <c r="R55" s="13" t="n">
        <v>1</v>
      </c>
      <c r="S55" s="13" t="n">
        <v>1</v>
      </c>
      <c r="T55" s="13" t="n">
        <v>1</v>
      </c>
      <c r="U55" s="13" t="n">
        <v>1</v>
      </c>
      <c r="V55" s="13" t="n">
        <v>1</v>
      </c>
      <c r="W55" s="13" t="n">
        <v>1</v>
      </c>
      <c r="X55" s="13" t="n">
        <v>0</v>
      </c>
      <c r="Y55" s="13" t="n">
        <v>1</v>
      </c>
      <c r="Z55" s="13" t="n">
        <v>1</v>
      </c>
      <c r="AA55" s="13" t="n">
        <v>0</v>
      </c>
      <c r="AB55" s="13" t="n">
        <v>1</v>
      </c>
      <c r="AC55" s="13" t="n">
        <v>1</v>
      </c>
      <c r="AD55" s="13" t="n">
        <v>0</v>
      </c>
      <c r="AE55" s="12">
        <f>COUNTIF(D55:AD55,1)</f>
        <v/>
      </c>
      <c r="AF55" s="12">
        <f>IF(COUNT(D55:AD55)=0,"",ROUND(AE55/27*100,1))</f>
        <v/>
      </c>
      <c r="AG55" s="12">
        <f>COUNTIF(D55:AD55,0)</f>
        <v/>
      </c>
      <c r="AH55" s="12">
        <f>IF(COUNT(D55:AD55)=0,"",ROUND(AG55/27*100,1))</f>
        <v/>
      </c>
      <c r="AI55" s="20">
        <f>IF(AF55="","",IF(AF55&gt;=Нэгтгэл!$K$4,"Хангалттай эзэмшиж байна",IF(AF55&gt;=Нэгтгэл!$K$5,"Ахиж байна","Хөгжиж байна")))</f>
        <v/>
      </c>
    </row>
    <row r="56" ht="17" customHeight="1">
      <c r="A56" s="5" t="inlineStr">
        <is>
          <t>Чадна (1)</t>
        </is>
      </c>
      <c r="B56" s="15" t="n"/>
      <c r="C56" s="15" t="n"/>
      <c r="D56" s="5">
        <f>COUNTIF(D7:D55,1)</f>
        <v/>
      </c>
      <c r="E56" s="5">
        <f>COUNTIF(E7:E55,1)</f>
        <v/>
      </c>
      <c r="F56" s="5">
        <f>COUNTIF(F7:F55,1)</f>
        <v/>
      </c>
      <c r="G56" s="5">
        <f>COUNTIF(G7:G55,1)</f>
        <v/>
      </c>
      <c r="H56" s="5">
        <f>COUNTIF(H7:H55,1)</f>
        <v/>
      </c>
      <c r="I56" s="5">
        <f>COUNTIF(I7:I55,1)</f>
        <v/>
      </c>
      <c r="J56" s="5">
        <f>COUNTIF(J7:J55,1)</f>
        <v/>
      </c>
      <c r="K56" s="5">
        <f>COUNTIF(K7:K55,1)</f>
        <v/>
      </c>
      <c r="L56" s="5">
        <f>COUNTIF(L7:L55,1)</f>
        <v/>
      </c>
      <c r="M56" s="5">
        <f>COUNTIF(M7:M55,1)</f>
        <v/>
      </c>
      <c r="N56" s="5">
        <f>COUNTIF(N7:N55,1)</f>
        <v/>
      </c>
      <c r="O56" s="5">
        <f>COUNTIF(O7:O55,1)</f>
        <v/>
      </c>
      <c r="P56" s="5">
        <f>COUNTIF(P7:P55,1)</f>
        <v/>
      </c>
      <c r="Q56" s="5">
        <f>COUNTIF(Q7:Q55,1)</f>
        <v/>
      </c>
      <c r="R56" s="5">
        <f>COUNTIF(R7:R55,1)</f>
        <v/>
      </c>
      <c r="S56" s="5">
        <f>COUNTIF(S7:S55,1)</f>
        <v/>
      </c>
      <c r="T56" s="5">
        <f>COUNTIF(T7:T55,1)</f>
        <v/>
      </c>
      <c r="U56" s="5">
        <f>COUNTIF(U7:U55,1)</f>
        <v/>
      </c>
      <c r="V56" s="5">
        <f>COUNTIF(V7:V55,1)</f>
        <v/>
      </c>
      <c r="W56" s="5">
        <f>COUNTIF(W7:W55,1)</f>
        <v/>
      </c>
      <c r="X56" s="5">
        <f>COUNTIF(X7:X55,1)</f>
        <v/>
      </c>
      <c r="Y56" s="5">
        <f>COUNTIF(Y7:Y55,1)</f>
        <v/>
      </c>
      <c r="Z56" s="5">
        <f>COUNTIF(Z7:Z55,1)</f>
        <v/>
      </c>
      <c r="AA56" s="5">
        <f>COUNTIF(AA7:AA55,1)</f>
        <v/>
      </c>
      <c r="AB56" s="5">
        <f>COUNTIF(AB7:AB55,1)</f>
        <v/>
      </c>
      <c r="AC56" s="5">
        <f>COUNTIF(AC7:AC55,1)</f>
        <v/>
      </c>
      <c r="AD56" s="5">
        <f>COUNTIF(AD7:AD55,1)</f>
        <v/>
      </c>
      <c r="AE56" s="21" t="inlineStr">
        <is>
          <t>Хангалттай эзэмшиж байна</t>
        </is>
      </c>
      <c r="AF56" s="22" t="n"/>
      <c r="AG56" s="22" t="n"/>
      <c r="AH56" s="23" t="n"/>
      <c r="AI56" s="5">
        <f>COUNTIF(AI7:AI55,"Хангалттай эзэмшиж байна")</f>
        <v/>
      </c>
    </row>
    <row r="57" ht="17" customHeight="1">
      <c r="A57" s="5" t="inlineStr">
        <is>
          <t>Хувь</t>
        </is>
      </c>
      <c r="B57" s="15" t="n"/>
      <c r="C57" s="15" t="n"/>
      <c r="D57" s="5">
        <f>IF(COUNT(D7:D55)=0,"",ROUND(COUNTIF(D7:D55,1)/COUNT(D7:D55)*100,1))</f>
        <v/>
      </c>
      <c r="E57" s="5">
        <f>IF(COUNT(E7:E55)=0,"",ROUND(COUNTIF(E7:E55,1)/COUNT(E7:E55)*100,1))</f>
        <v/>
      </c>
      <c r="F57" s="5">
        <f>IF(COUNT(F7:F55)=0,"",ROUND(COUNTIF(F7:F55,1)/COUNT(F7:F55)*100,1))</f>
        <v/>
      </c>
      <c r="G57" s="5">
        <f>IF(COUNT(G7:G55)=0,"",ROUND(COUNTIF(G7:G55,1)/COUNT(G7:G55)*100,1))</f>
        <v/>
      </c>
      <c r="H57" s="5">
        <f>IF(COUNT(H7:H55)=0,"",ROUND(COUNTIF(H7:H55,1)/COUNT(H7:H55)*100,1))</f>
        <v/>
      </c>
      <c r="I57" s="5">
        <f>IF(COUNT(I7:I55)=0,"",ROUND(COUNTIF(I7:I55,1)/COUNT(I7:I55)*100,1))</f>
        <v/>
      </c>
      <c r="J57" s="5">
        <f>IF(COUNT(J7:J55)=0,"",ROUND(COUNTIF(J7:J55,1)/COUNT(J7:J55)*100,1))</f>
        <v/>
      </c>
      <c r="K57" s="5">
        <f>IF(COUNT(K7:K55)=0,"",ROUND(COUNTIF(K7:K55,1)/COUNT(K7:K55)*100,1))</f>
        <v/>
      </c>
      <c r="L57" s="5">
        <f>IF(COUNT(L7:L55)=0,"",ROUND(COUNTIF(L7:L55,1)/COUNT(L7:L55)*100,1))</f>
        <v/>
      </c>
      <c r="M57" s="5">
        <f>IF(COUNT(M7:M55)=0,"",ROUND(COUNTIF(M7:M55,1)/COUNT(M7:M55)*100,1))</f>
        <v/>
      </c>
      <c r="N57" s="5">
        <f>IF(COUNT(N7:N55)=0,"",ROUND(COUNTIF(N7:N55,1)/COUNT(N7:N55)*100,1))</f>
        <v/>
      </c>
      <c r="O57" s="5">
        <f>IF(COUNT(O7:O55)=0,"",ROUND(COUNTIF(O7:O55,1)/COUNT(O7:O55)*100,1))</f>
        <v/>
      </c>
      <c r="P57" s="5">
        <f>IF(COUNT(P7:P55)=0,"",ROUND(COUNTIF(P7:P55,1)/COUNT(P7:P55)*100,1))</f>
        <v/>
      </c>
      <c r="Q57" s="5">
        <f>IF(COUNT(Q7:Q55)=0,"",ROUND(COUNTIF(Q7:Q55,1)/COUNT(Q7:Q55)*100,1))</f>
        <v/>
      </c>
      <c r="R57" s="5">
        <f>IF(COUNT(R7:R55)=0,"",ROUND(COUNTIF(R7:R55,1)/COUNT(R7:R55)*100,1))</f>
        <v/>
      </c>
      <c r="S57" s="5">
        <f>IF(COUNT(S7:S55)=0,"",ROUND(COUNTIF(S7:S55,1)/COUNT(S7:S55)*100,1))</f>
        <v/>
      </c>
      <c r="T57" s="5">
        <f>IF(COUNT(T7:T55)=0,"",ROUND(COUNTIF(T7:T55,1)/COUNT(T7:T55)*100,1))</f>
        <v/>
      </c>
      <c r="U57" s="5">
        <f>IF(COUNT(U7:U55)=0,"",ROUND(COUNTIF(U7:U55,1)/COUNT(U7:U55)*100,1))</f>
        <v/>
      </c>
      <c r="V57" s="5">
        <f>IF(COUNT(V7:V55)=0,"",ROUND(COUNTIF(V7:V55,1)/COUNT(V7:V55)*100,1))</f>
        <v/>
      </c>
      <c r="W57" s="5">
        <f>IF(COUNT(W7:W55)=0,"",ROUND(COUNTIF(W7:W55,1)/COUNT(W7:W55)*100,1))</f>
        <v/>
      </c>
      <c r="X57" s="5">
        <f>IF(COUNT(X7:X55)=0,"",ROUND(COUNTIF(X7:X55,1)/COUNT(X7:X55)*100,1))</f>
        <v/>
      </c>
      <c r="Y57" s="5">
        <f>IF(COUNT(Y7:Y55)=0,"",ROUND(COUNTIF(Y7:Y55,1)/COUNT(Y7:Y55)*100,1))</f>
        <v/>
      </c>
      <c r="Z57" s="5">
        <f>IF(COUNT(Z7:Z55)=0,"",ROUND(COUNTIF(Z7:Z55,1)/COUNT(Z7:Z55)*100,1))</f>
        <v/>
      </c>
      <c r="AA57" s="5">
        <f>IF(COUNT(AA7:AA55)=0,"",ROUND(COUNTIF(AA7:AA55,1)/COUNT(AA7:AA55)*100,1))</f>
        <v/>
      </c>
      <c r="AB57" s="5">
        <f>IF(COUNT(AB7:AB55)=0,"",ROUND(COUNTIF(AB7:AB55,1)/COUNT(AB7:AB55)*100,1))</f>
        <v/>
      </c>
      <c r="AC57" s="5">
        <f>IF(COUNT(AC7:AC55)=0,"",ROUND(COUNTIF(AC7:AC55,1)/COUNT(AC7:AC55)*100,1))</f>
        <v/>
      </c>
      <c r="AD57" s="5">
        <f>IF(COUNT(AD7:AD55)=0,"",ROUND(COUNTIF(AD7:AD55,1)/COUNT(AD7:AD55)*100,1))</f>
        <v/>
      </c>
      <c r="AE57" s="21" t="inlineStr">
        <is>
          <t>Ахиж байна</t>
        </is>
      </c>
      <c r="AF57" s="22" t="n"/>
      <c r="AG57" s="22" t="n"/>
      <c r="AH57" s="23" t="n"/>
      <c r="AI57" s="5">
        <f>COUNTIF(AI7:AI55,"Ахиж байна")</f>
        <v/>
      </c>
    </row>
    <row r="58" ht="17" customHeight="1">
      <c r="A58" s="5" t="inlineStr">
        <is>
          <t>Чадахгүй (0)</t>
        </is>
      </c>
      <c r="B58" s="15" t="n"/>
      <c r="C58" s="15" t="n"/>
      <c r="D58" s="5">
        <f>COUNTIF(D7:D55,0)</f>
        <v/>
      </c>
      <c r="E58" s="5">
        <f>COUNTIF(E7:E55,0)</f>
        <v/>
      </c>
      <c r="F58" s="5">
        <f>COUNTIF(F7:F55,0)</f>
        <v/>
      </c>
      <c r="G58" s="5">
        <f>COUNTIF(G7:G55,0)</f>
        <v/>
      </c>
      <c r="H58" s="5">
        <f>COUNTIF(H7:H55,0)</f>
        <v/>
      </c>
      <c r="I58" s="5">
        <f>COUNTIF(I7:I55,0)</f>
        <v/>
      </c>
      <c r="J58" s="5">
        <f>COUNTIF(J7:J55,0)</f>
        <v/>
      </c>
      <c r="K58" s="5">
        <f>COUNTIF(K7:K55,0)</f>
        <v/>
      </c>
      <c r="L58" s="5">
        <f>COUNTIF(L7:L55,0)</f>
        <v/>
      </c>
      <c r="M58" s="5">
        <f>COUNTIF(M7:M55,0)</f>
        <v/>
      </c>
      <c r="N58" s="5">
        <f>COUNTIF(N7:N55,0)</f>
        <v/>
      </c>
      <c r="O58" s="5">
        <f>COUNTIF(O7:O55,0)</f>
        <v/>
      </c>
      <c r="P58" s="5">
        <f>COUNTIF(P7:P55,0)</f>
        <v/>
      </c>
      <c r="Q58" s="5">
        <f>COUNTIF(Q7:Q55,0)</f>
        <v/>
      </c>
      <c r="R58" s="5">
        <f>COUNTIF(R7:R55,0)</f>
        <v/>
      </c>
      <c r="S58" s="5">
        <f>COUNTIF(S7:S55,0)</f>
        <v/>
      </c>
      <c r="T58" s="5">
        <f>COUNTIF(T7:T55,0)</f>
        <v/>
      </c>
      <c r="U58" s="5">
        <f>COUNTIF(U7:U55,0)</f>
        <v/>
      </c>
      <c r="V58" s="5">
        <f>COUNTIF(V7:V55,0)</f>
        <v/>
      </c>
      <c r="W58" s="5">
        <f>COUNTIF(W7:W55,0)</f>
        <v/>
      </c>
      <c r="X58" s="5">
        <f>COUNTIF(X7:X55,0)</f>
        <v/>
      </c>
      <c r="Y58" s="5">
        <f>COUNTIF(Y7:Y55,0)</f>
        <v/>
      </c>
      <c r="Z58" s="5">
        <f>COUNTIF(Z7:Z55,0)</f>
        <v/>
      </c>
      <c r="AA58" s="5">
        <f>COUNTIF(AA7:AA55,0)</f>
        <v/>
      </c>
      <c r="AB58" s="5">
        <f>COUNTIF(AB7:AB55,0)</f>
        <v/>
      </c>
      <c r="AC58" s="5">
        <f>COUNTIF(AC7:AC55,0)</f>
        <v/>
      </c>
      <c r="AD58" s="5">
        <f>COUNTIF(AD7:AD55,0)</f>
        <v/>
      </c>
      <c r="AE58" s="21" t="inlineStr">
        <is>
          <t>Хөгжиж байна</t>
        </is>
      </c>
      <c r="AF58" s="22" t="n"/>
      <c r="AG58" s="22" t="n"/>
      <c r="AH58" s="23" t="n"/>
      <c r="AI58" s="5">
        <f>COUNTIF(AI7:AI55,"Хөгжиж байна")</f>
        <v/>
      </c>
    </row>
    <row r="59" ht="17" customHeight="1">
      <c r="A59" s="5" t="inlineStr">
        <is>
          <t>Хувь</t>
        </is>
      </c>
      <c r="B59" s="15" t="n"/>
      <c r="C59" s="15" t="n"/>
      <c r="D59" s="5">
        <f>IF(COUNT(D7:D55)=0,"",ROUND(COUNTIF(D7:D55,0)/COUNT(D7:D55)*100,1))</f>
        <v/>
      </c>
      <c r="E59" s="5">
        <f>IF(COUNT(E7:E55)=0,"",ROUND(COUNTIF(E7:E55,0)/COUNT(E7:E55)*100,1))</f>
        <v/>
      </c>
      <c r="F59" s="5">
        <f>IF(COUNT(F7:F55)=0,"",ROUND(COUNTIF(F7:F55,0)/COUNT(F7:F55)*100,1))</f>
        <v/>
      </c>
      <c r="G59" s="5">
        <f>IF(COUNT(G7:G55)=0,"",ROUND(COUNTIF(G7:G55,0)/COUNT(G7:G55)*100,1))</f>
        <v/>
      </c>
      <c r="H59" s="5">
        <f>IF(COUNT(H7:H55)=0,"",ROUND(COUNTIF(H7:H55,0)/COUNT(H7:H55)*100,1))</f>
        <v/>
      </c>
      <c r="I59" s="5">
        <f>IF(COUNT(I7:I55)=0,"",ROUND(COUNTIF(I7:I55,0)/COUNT(I7:I55)*100,1))</f>
        <v/>
      </c>
      <c r="J59" s="5">
        <f>IF(COUNT(J7:J55)=0,"",ROUND(COUNTIF(J7:J55,0)/COUNT(J7:J55)*100,1))</f>
        <v/>
      </c>
      <c r="K59" s="5">
        <f>IF(COUNT(K7:K55)=0,"",ROUND(COUNTIF(K7:K55,0)/COUNT(K7:K55)*100,1))</f>
        <v/>
      </c>
      <c r="L59" s="5">
        <f>IF(COUNT(L7:L55)=0,"",ROUND(COUNTIF(L7:L55,0)/COUNT(L7:L55)*100,1))</f>
        <v/>
      </c>
      <c r="M59" s="5">
        <f>IF(COUNT(M7:M55)=0,"",ROUND(COUNTIF(M7:M55,0)/COUNT(M7:M55)*100,1))</f>
        <v/>
      </c>
      <c r="N59" s="5">
        <f>IF(COUNT(N7:N55)=0,"",ROUND(COUNTIF(N7:N55,0)/COUNT(N7:N55)*100,1))</f>
        <v/>
      </c>
      <c r="O59" s="5">
        <f>IF(COUNT(O7:O55)=0,"",ROUND(COUNTIF(O7:O55,0)/COUNT(O7:O55)*100,1))</f>
        <v/>
      </c>
      <c r="P59" s="5">
        <f>IF(COUNT(P7:P55)=0,"",ROUND(COUNTIF(P7:P55,0)/COUNT(P7:P55)*100,1))</f>
        <v/>
      </c>
      <c r="Q59" s="5">
        <f>IF(COUNT(Q7:Q55)=0,"",ROUND(COUNTIF(Q7:Q55,0)/COUNT(Q7:Q55)*100,1))</f>
        <v/>
      </c>
      <c r="R59" s="5">
        <f>IF(COUNT(R7:R55)=0,"",ROUND(COUNTIF(R7:R55,0)/COUNT(R7:R55)*100,1))</f>
        <v/>
      </c>
      <c r="S59" s="5">
        <f>IF(COUNT(S7:S55)=0,"",ROUND(COUNTIF(S7:S55,0)/COUNT(S7:S55)*100,1))</f>
        <v/>
      </c>
      <c r="T59" s="5">
        <f>IF(COUNT(T7:T55)=0,"",ROUND(COUNTIF(T7:T55,0)/COUNT(T7:T55)*100,1))</f>
        <v/>
      </c>
      <c r="U59" s="5">
        <f>IF(COUNT(U7:U55)=0,"",ROUND(COUNTIF(U7:U55,0)/COUNT(U7:U55)*100,1))</f>
        <v/>
      </c>
      <c r="V59" s="5">
        <f>IF(COUNT(V7:V55)=0,"",ROUND(COUNTIF(V7:V55,0)/COUNT(V7:V55)*100,1))</f>
        <v/>
      </c>
      <c r="W59" s="5">
        <f>IF(COUNT(W7:W55)=0,"",ROUND(COUNTIF(W7:W55,0)/COUNT(W7:W55)*100,1))</f>
        <v/>
      </c>
      <c r="X59" s="5">
        <f>IF(COUNT(X7:X55)=0,"",ROUND(COUNTIF(X7:X55,0)/COUNT(X7:X55)*100,1))</f>
        <v/>
      </c>
      <c r="Y59" s="5">
        <f>IF(COUNT(Y7:Y55)=0,"",ROUND(COUNTIF(Y7:Y55,0)/COUNT(Y7:Y55)*100,1))</f>
        <v/>
      </c>
      <c r="Z59" s="5">
        <f>IF(COUNT(Z7:Z55)=0,"",ROUND(COUNTIF(Z7:Z55,0)/COUNT(Z7:Z55)*100,1))</f>
        <v/>
      </c>
      <c r="AA59" s="5">
        <f>IF(COUNT(AA7:AA55)=0,"",ROUND(COUNTIF(AA7:AA55,0)/COUNT(AA7:AA55)*100,1))</f>
        <v/>
      </c>
      <c r="AB59" s="5">
        <f>IF(COUNT(AB7:AB55)=0,"",ROUND(COUNTIF(AB7:AB55,0)/COUNT(AB7:AB55)*100,1))</f>
        <v/>
      </c>
      <c r="AC59" s="5">
        <f>IF(COUNT(AC7:AC55)=0,"",ROUND(COUNTIF(AC7:AC55,0)/COUNT(AC7:AC55)*100,1))</f>
        <v/>
      </c>
      <c r="AD59" s="5">
        <f>IF(COUNT(AD7:AD55)=0,"",ROUND(COUNTIF(AD7:AD55,0)/COUNT(AD7:AD55)*100,1))</f>
        <v/>
      </c>
      <c r="AE59" s="15" t="n"/>
      <c r="AF59" s="15" t="n"/>
      <c r="AG59" s="15" t="n"/>
      <c r="AH59" s="15" t="n"/>
      <c r="AI59" s="15" t="n"/>
    </row>
  </sheetData>
  <mergeCells count="66">
    <mergeCell ref="B47:C47"/>
    <mergeCell ref="B16:C16"/>
    <mergeCell ref="B54:C54"/>
    <mergeCell ref="B7:C7"/>
    <mergeCell ref="B25:C25"/>
    <mergeCell ref="B46:C46"/>
    <mergeCell ref="A56:C56"/>
    <mergeCell ref="B22:C22"/>
    <mergeCell ref="AE3:AE6"/>
    <mergeCell ref="B31:C31"/>
    <mergeCell ref="B18:C18"/>
    <mergeCell ref="B27:C27"/>
    <mergeCell ref="A57:C57"/>
    <mergeCell ref="B43:C43"/>
    <mergeCell ref="B12:C12"/>
    <mergeCell ref="B39:C39"/>
    <mergeCell ref="B52:C52"/>
    <mergeCell ref="B21:C21"/>
    <mergeCell ref="B48:C48"/>
    <mergeCell ref="B11:C11"/>
    <mergeCell ref="A1:AI1"/>
    <mergeCell ref="B42:C42"/>
    <mergeCell ref="B23:C23"/>
    <mergeCell ref="A3:A6"/>
    <mergeCell ref="B14:C14"/>
    <mergeCell ref="B17:C17"/>
    <mergeCell ref="B8:C8"/>
    <mergeCell ref="B53:C53"/>
    <mergeCell ref="B13:C13"/>
    <mergeCell ref="B38:C38"/>
    <mergeCell ref="B44:C44"/>
    <mergeCell ref="D3:AD3"/>
    <mergeCell ref="B29:C29"/>
    <mergeCell ref="B19:C19"/>
    <mergeCell ref="B34:C34"/>
    <mergeCell ref="B37:C37"/>
    <mergeCell ref="B10:C10"/>
    <mergeCell ref="B28:C28"/>
    <mergeCell ref="A58:C58"/>
    <mergeCell ref="AE56:AH56"/>
    <mergeCell ref="AG3:AG6"/>
    <mergeCell ref="AE58:AH58"/>
    <mergeCell ref="AI3:AI6"/>
    <mergeCell ref="B40:C40"/>
    <mergeCell ref="B9:C9"/>
    <mergeCell ref="A59:C59"/>
    <mergeCell ref="B49:C49"/>
    <mergeCell ref="B55:C55"/>
    <mergeCell ref="A2:AI2"/>
    <mergeCell ref="B3:C6"/>
    <mergeCell ref="B24:C24"/>
    <mergeCell ref="B30:C30"/>
    <mergeCell ref="B15:C15"/>
    <mergeCell ref="B33:C33"/>
    <mergeCell ref="B51:C51"/>
    <mergeCell ref="B20:C20"/>
    <mergeCell ref="B45:C45"/>
    <mergeCell ref="AF3:AF6"/>
    <mergeCell ref="B36:C36"/>
    <mergeCell ref="B32:C32"/>
    <mergeCell ref="AH3:AH6"/>
    <mergeCell ref="B50:C50"/>
    <mergeCell ref="B26:C26"/>
    <mergeCell ref="B41:C41"/>
    <mergeCell ref="B35:C35"/>
    <mergeCell ref="AE57:AH57"/>
  </mergeCells>
  <conditionalFormatting sqref="D7:AD55">
    <cfRule type="cellIs" priority="1" operator="equal" dxfId="0">
      <formula>0</formula>
    </cfRule>
  </conditionalFormatting>
  <dataValidations count="1">
    <dataValidation sqref="D7 D8 D9 D10 D11 D12 D13 D14 D15 D16 D17 D18 D19 D20 D21 D22 D23 D24 D25 D26 D27 D28 D29 D30 D31 D32 D33 D34 D35 D36 D37 D38 D39 D40 D41 D42 D43 D44 D45 D46 D47 D48 D49 D50 D51 D52 D53 D54 D55 E7 E8 E9 E10 E11 E12 E13 E14 E15 E16 E17 E18 E19 E20 E21 E22 E23 E24 E25 E26 E27 E28 E29 E30 E31 E32 E33 E34 E35 E36 E37 E38 E39 E40 E41 E42 E43 E44 E45 E46 E47 E48 E49 E50 E51 E52 E53 E54 E55 F7 F8 F9 F10 F11 F12 F13 F14 F15 F16 F17 F18 F19 F20 F21 F22 F23 F24 F25 F26 F27 F28 F29 F30 F31 F32 F33 F34 F35 F36 F37 F38 F39 F40 F41 F42 F43 F44 F45 F46 F47 F48 F49 F50 F51 F52 F53 F54 F55 G7 G8 G9 G10 G11 G12 G13 G14 G15 G16 G17 G18 G19 G20 G21 G22 G23 G24 G25 G26 G27 G28 G29 G30 G31 G32 G33 G34 G35 G36 G37 G38 G39 G40 G41 G42 G43 G44 G45 G46 G47 G48 G49 G50 G51 G52 G53 G54 G55 H7 H8 H9 H10 H11 H12 H13 H14 H15 H16 H17 H18 H19 H20 H21 H22 H23 H24 H25 H26 H27 H28 H29 H30 H31 H32 H33 H34 H35 H36 H37 H38 H39 H40 H41 H42 H43 H44 H45 H46 H47 H48 H49 H50 H51 H52 H53 H54 H55 I7 I8 I9 I10 I11 I12 I13 I14 I15 I16 I17 I18 I19 I20 I21 I22 I23 I24 I25 I26 I27 I28 I29 I30 I31 I32 I33 I34 I35 I36 I37 I38 I39 I40 I41 I42 I43 I44 I45 I46 I47 I48 I49 I50 I51 I52 I53 I54 I55 J7 J8 J9 J10 J11 J12 J13 J14 J15 J16 J17 J18 J19 J20 J21 J22 J23 J24 J25 J26 J27 J28 J29 J30 J31 J32 J33 J34 J35 J36 J37 J38 J39 J40 J41 J42 J43 J44 J45 J46 J47 J48 J49 J50 J51 J52 J53 J54 J55 K7 K8 K9 K10 K11 K12 K13 K14 K15 K16 K17 K18 K19 K20 K21 K22 K23 K24 K25 K26 K27 K28 K29 K30 K31 K32 K33 K34 K35 K36 K37 K38 K39 K40 K41 K42 K43 K44 K45 K46 K47 K48 K49 K50 K51 K52 K53 K54 K55 L7 L8 L9 L10 L11 L12 L13 L14 L15 L16 L17 L18 L19 L20 L21 L22 L23 L24 L25 L26 L27 L28 L29 L30 L31 L32 L33 L34 L35 L36 L37 L38 L39 L40 L41 L42 L43 L44 L45 L46 L47 L48 L49 L50 L51 L52 L53 L54 L55 M7 M8 M9 M10 M11 M12 M13 M14 M15 M16 M17 M18 M19 M20 M21 M22 M23 M24 M25 M26 M27 M28 M29 M30 M31 M32 M33 M34 M35 M36 M37 M38 M39 M40 M41 M42 M43 M44 M45 M46 M47 M48 M49 M50 M51 M52 M53 M54 M55 N7 N8 N9 N10 N11 N12 N13 N14 N15 N16 N17 N18 N19 N20 N21 N22 N23 N24 N25 N26 N27 N28 N29 N30 N31 N32 N33 N34 N35 N36 N37 N38 N39 N40 N41 N42 N43 N44 N45 N46 N47 N48 N49 N50 N51 N52 N53 N54 N55 O7 O8 O9 O10 O11 O12 O13 O14 O15 O16 O17 O18 O19 O20 O21 O22 O23 O24 O25 O26 O27 O28 O29 O30 O31 O32 O33 O34 O35 O36 O37 O38 O39 O40 O41 O42 O43 O44 O45 O46 O47 O48 O49 O50 O51 O52 O53 O54 O55 P7 P8 P9 P10 P11 P12 P13 P14 P15 P16 P17 P18 P19 P20 P21 P22 P23 P24 P25 P26 P27 P28 P29 P30 P31 P32 P33 P34 P35 P36 P37 P38 P39 P40 P41 P42 P43 P44 P45 P46 P47 P48 P49 P50 P51 P52 P53 P54 P55 Q7 Q8 Q9 Q10 Q11 Q12 Q13 Q14 Q15 Q16 Q17 Q18 Q19 Q20 Q21 Q22 Q23 Q24 Q25 Q26 Q27 Q28 Q29 Q30 Q31 Q32 Q33 Q34 Q35 Q36 Q37 Q38 Q39 Q40 Q41 Q42 Q43 Q44 Q45 Q46 Q47 Q48 Q49 Q50 Q51 Q52 Q53 Q54 Q55 R7 R8 R9 R10 R11 R12 R13 R14 R15 R16 R17 R18 R19 R20 R21 R22 R23 R24 R25 R26 R27 R28 R29 R30 R31 R32 R33 R34 R35 R36 R37 R38 R39 R40 R41 R42 R43 R44 R45 R46 R47 R48 R49 R50 R51 R52 R53 R54 R55 S7 S8 S9 S10 S11 S12 S13 S14 S15 S16 S17 S18 S19 S20 S21 S22 S23 S24 S25 S26 S27 S28 S29 S30 S31 S32 S33 S34 S35 S36 S37 S38 S39 S40 S41 S42 S43 S44 S45 S46 S47 S48 S49 S50 S51 S52 S53 S54 S55 T7 T8 T9 T10 T11 T12 T13 T14 T15 T16 T17 T18 T19 T20 T21 T22 T23 T24 T25 T26 T27 T28 T29 T30 T31 T32 T33 T34 T35 T36 T37 T38 T39 T40 T41 T42 T43 T44 T45 T46 T47 T48 T49 T50 T51 T52 T53 T54 T55 U7 U8 U9 U10 U11 U12 U13 U14 U15 U16 U17 U18 U19 U20 U21 U22 U23 U24 U25 U26 U27 U28 U29 U30 U31 U32 U33 U34 U35 U36 U37 U38 U39 U40 U41 U42 U43 U44 U45 U46 U47 U48 U49 U50 U51 U52 U53 U54 U55 V7 V8 V9 V10 V11 V12 V13 V14 V15 V16 V17 V18 V19 V20 V21 V22 V23 V24 V25 V26 V27 V28 V29 V30 V31 V32 V33 V34 V35 V36 V37 V38 V39 V40 V41 V42 V43 V44 V45 V46 V47 V48 V49 V50 V51 V52 V53 V54 V55 W7 W8 W9 W10 W11 W12 W13 W14 W15 W16 W17 W18 W19 W20 W21 W22 W23 W24 W25 W26 W27 W28 W29 W30 W31 W32 W33 W34 W35 W36 W37 W38 W39 W40 W41 W42 W43 W44 W45 W46 W47 W48 W49 W50 W51 W52 W53 W54 W55 X7 X8 X9 X10 X11 X12 X13 X14 X15 X16 X17 X18 X19 X20 X21 X22 X23 X24 X25 X26 X27 X28 X29 X30 X31 X32 X33 X34 X35 X36 X37 X38 X39 X40 X41 X42 X43 X44 X45 X46 X47 X48 X49 X50 X51 X52 X53 X54 X55 Y7 Y8 Y9 Y10 Y11 Y12 Y13 Y14 Y15 Y16 Y17 Y18 Y19 Y20 Y21 Y22 Y23 Y24 Y25 Y26 Y27 Y28 Y29 Y30 Y31 Y32 Y33 Y34 Y35 Y36 Y37 Y38 Y39 Y40 Y41 Y42 Y43 Y44 Y45 Y46 Y47 Y48 Y49 Y50 Y51 Y52 Y53 Y54 Y55 Z7 Z8 Z9 Z10 Z11 Z12 Z13 Z14 Z15 Z16 Z17 Z18 Z19 Z20 Z21 Z22 Z23 Z24 Z25 Z26 Z27 Z28 Z29 Z30 Z31 Z32 Z33 Z34 Z35 Z36 Z37 Z38 Z39 Z40 Z41 Z42 Z43 Z44 Z45 Z46 Z47 Z48 Z49 Z50 Z51 Z52 Z53 Z54 Z55 AA7 AA8 AA9 AA10 AA11 AA12 AA13 AA14 AA15 AA16 AA17 AA18 AA19 AA20 AA21 AA22 AA23 AA24 AA25 AA26 AA27 AA28 AA29 AA30 AA31 AA32 AA33 AA34 AA35 AA36 AA37 AA38 AA39 AA40 AA41 AA42 AA43 AA44 AA45 AA46 AA47 AA48 AA49 AA50 AA51 AA52 AA53 AA54 AA55 AB7 AB8 AB9 AB10 AB11 AB12 AB13 AB14 AB15 AB16 AB17 AB18 AB19 AB20 AB21 AB22 AB23 AB24 AB25 AB26 AB27 AB28 AB29 AB30 AB31 AB32 AB33 AB34 AB35 AB36 AB37 AB38 AB39 AB40 AB41 AB42 AB43 AB44 AB45 AB46 AB47 AB48 AB49 AB50 AB51 AB52 AB53 AB54 AB55 AC7 AC8 AC9 AC10 AC11 AC12 AC13 AC14 AC15 AC16 AC17 AC18 AC19 AC20 AC21 AC22 AC23 AC24 AC25 AC26 AC27 AC28 AC29 AC30 AC31 AC32 AC33 AC34 AC35 AC36 AC37 AC38 AC39 AC40 AC41 AC42 AC43 AC44 AC45 AC46 AC47 AC48 AC49 AC50 AC51 AC52 AC53 AC54 AC55 AD7 AD8 AD9 AD10 AD11 AD12 AD13 AD14 AD15 AD16 AD17 AD18 AD19 AD20 AD21 AD22 AD23 AD24 AD25 AD26 AD27 AD28 AD29 AD30 AD31 AD32 AD33 AD34 AD35 AD36 AD37 AD38 AD39 AD40 AD41 AD42 AD43 AD44 AD45 AD46 AD47 AD48 AD49 AD50 AD51 AD52 AD53 AD54 AD55" showDropDown="0" showInputMessage="1" showErrorMessage="1" allowBlank="1" errorTitle="1 эсвэл 0" error="Чадна бол 1, чадахгүй бол 0 гэж бичнэ." promptTitle="Тэмдэглэх" prompt="Чадна = 1, Чадахгүй = 0" type="list">
      <formula1>"1,0"</formula1>
    </dataValidation>
  </dataValidations>
  <printOptions horizontalCentered="1"/>
  <pageMargins left="0.5905511811023622" right="0.1968503937007874" top="0.5905511811023622" bottom="0.5905511811023622" header="0.3149606299212598" footer="0.3149606299212598"/>
  <pageSetup orientation="landscape" paperSize="9" fitToHeight="2" fitToWidth="1"/>
</worksheet>
</file>

<file path=xl/worksheets/sheet4.xml><?xml version="1.0" encoding="utf-8"?>
<worksheet xmlns="http://schemas.openxmlformats.org/spreadsheetml/2006/main">
  <sheetPr>
    <outlinePr summaryBelow="1" summaryRight="1"/>
    <pageSetUpPr fitToPage="1"/>
  </sheetPr>
  <dimension ref="A1:N59"/>
  <sheetViews>
    <sheetView workbookViewId="0">
      <selection activeCell="A1" sqref="A1"/>
    </sheetView>
  </sheetViews>
  <sheetFormatPr baseColWidth="8" defaultRowHeight="15"/>
  <cols>
    <col width="4.5" customWidth="1" min="1" max="1"/>
    <col width="8" customWidth="1" min="2" max="2"/>
    <col width="4" customWidth="1" min="3" max="3"/>
    <col width="14" customWidth="1" min="4" max="4"/>
    <col width="14" customWidth="1" min="5" max="5"/>
    <col width="14" customWidth="1" min="6" max="6"/>
    <col width="14" customWidth="1" min="7" max="7"/>
    <col width="14" customWidth="1" min="8" max="8"/>
    <col width="14" customWidth="1" min="9" max="9"/>
    <col width="7" customWidth="1" min="10" max="10"/>
    <col width="7" customWidth="1" min="11" max="11"/>
    <col width="8" customWidth="1" min="12" max="12"/>
    <col width="7" customWidth="1" min="13" max="13"/>
    <col width="14" customWidth="1" min="14" max="14"/>
  </cols>
  <sheetData>
    <row r="1">
      <c r="A1" s="1" t="inlineStr">
        <is>
          <t>................ ЦЭЦЭРЛЭГИЙН ДУНД БҮЛГИЙН (3 НАС) ГАРААНЫ (ОНОШЛОХ) ҮНЭЛГЭЭ</t>
        </is>
      </c>
    </row>
    <row r="2">
      <c r="A2" s="18" t="inlineStr">
        <is>
          <t>Үнэлгээний хүрээ: Төлөвшил          Огноо: 20.... оны .... сар          Багш: ................................          Чадна = 1, Чадахгүй = 0  (А/79 журам, II түвшний шалгуур)</t>
        </is>
      </c>
    </row>
    <row r="3">
      <c r="A3" s="3" t="inlineStr">
        <is>
          <t>№</t>
        </is>
      </c>
      <c r="B3" s="3" t="inlineStr">
        <is>
          <t>Хүүхдийн код</t>
        </is>
      </c>
      <c r="C3" s="4" t="n"/>
      <c r="D3" s="3" t="inlineStr">
        <is>
          <t>Үнэлгээний хүрээ: Төлөвшил</t>
        </is>
      </c>
      <c r="E3" s="4" t="n"/>
      <c r="F3" s="4" t="n"/>
      <c r="G3" s="4" t="n"/>
      <c r="H3" s="4" t="n"/>
      <c r="I3" s="4" t="n"/>
      <c r="J3" s="5" t="inlineStr">
        <is>
          <t>Чадна (1)</t>
        </is>
      </c>
      <c r="K3" s="5" t="inlineStr">
        <is>
          <t>Хувь</t>
        </is>
      </c>
      <c r="L3" s="5" t="inlineStr">
        <is>
          <t>Чадахгүй (0)</t>
        </is>
      </c>
      <c r="M3" s="5" t="inlineStr">
        <is>
          <t>Хувь</t>
        </is>
      </c>
      <c r="N3" s="5" t="inlineStr">
        <is>
          <t>Түвшин</t>
        </is>
      </c>
    </row>
    <row r="4" ht="80" customHeight="1">
      <c r="A4" s="4" t="n"/>
      <c r="B4" s="4" t="n"/>
      <c r="C4" s="4" t="n"/>
      <c r="D4" s="6" t="inlineStr">
        <is>
          <t>Хооллож дууссаны дараа хоолны хэрэгслийг хураадаг.</t>
        </is>
      </c>
      <c r="E4" s="6" t="inlineStr">
        <is>
          <t>Бусдад өөрийн санаачилгаар тусалдаг.</t>
        </is>
      </c>
      <c r="F4" s="6" t="inlineStr">
        <is>
          <t>Бусадтай хамтран үйл ажиллагаанд оролцдог.</t>
        </is>
      </c>
      <c r="G4" s="6" t="inlineStr">
        <is>
          <t>Энгийн заавар, дүрэм (ус хэмнэх, хогийг ангилж хаях гэх мэт)-ийг биелүүлдэг.</t>
        </is>
      </c>
      <c r="H4" s="6" t="inlineStr">
        <is>
          <t>Тасалгааны ургамлын тоосыг арчиж, усалдаг.</t>
        </is>
      </c>
      <c r="I4" s="6" t="inlineStr">
        <is>
          <t>Дууг бусадтай хамтран дуулдаг.</t>
        </is>
      </c>
      <c r="J4" s="4" t="n"/>
      <c r="K4" s="4" t="n"/>
      <c r="L4" s="4" t="n"/>
      <c r="M4" s="4" t="n"/>
      <c r="N4" s="4" t="n"/>
    </row>
    <row r="5" ht="107" customHeight="1">
      <c r="A5" s="4" t="n"/>
      <c r="B5" s="4" t="n"/>
      <c r="C5" s="4" t="n"/>
      <c r="D5" s="19" t="inlineStr">
        <is>
          <t>СҮД: ХЭМ2.2г. Өөрийн хоолны хэрэгслийг хэрэглэнэ, хоолны дараа хураана.</t>
        </is>
      </c>
      <c r="E5" s="19" t="inlineStr">
        <is>
          <t>СҮД: НСХ2.2б. Насанд хүрэгчийн тусламжтай бусдын биеийн мэдрэмж, сэтгэл хөдлөлийг анзаарч энэрэх үйлдэл үзүүлдэг болно.</t>
        </is>
      </c>
      <c r="F5" s="19" t="inlineStr">
        <is>
          <t>СҮД: НСХ2.3в. Аливаа үйл ажиллагаанд бие даан дуртай оролцдог болно.</t>
        </is>
      </c>
      <c r="G5" s="19" t="inlineStr">
        <is>
          <t>СҮД: БНО2.2г. Өөрийн тоглоом, эд зүйлсээ зориулалтын дагуу хэрэглэж, ус хэмнэх, хогоо ангилж хаяхдаа бусдын тусламжтай хийнэ.</t>
        </is>
      </c>
      <c r="H5" s="19" t="inlineStr">
        <is>
          <t>СҮД: БНО2.1б. Тасалгааны ургамлын тоосыг арчих, услах үйлд оролцоно.</t>
        </is>
      </c>
      <c r="I5" s="19" t="inlineStr">
        <is>
          <t>СҮД: ХӨГ2.1б. Дууны аялгууг дагаж, хамтдаа дуулна.</t>
        </is>
      </c>
      <c r="J5" s="4" t="n"/>
      <c r="K5" s="4" t="n"/>
      <c r="L5" s="4" t="n"/>
      <c r="M5" s="4" t="n"/>
      <c r="N5" s="4" t="n"/>
    </row>
    <row r="6" ht="14" customHeight="1">
      <c r="A6" s="4" t="n"/>
      <c r="B6" s="4" t="n"/>
      <c r="C6" s="4" t="n"/>
      <c r="D6" s="10" t="inlineStr">
        <is>
          <t>1 / 0</t>
        </is>
      </c>
      <c r="E6" s="10" t="inlineStr">
        <is>
          <t>1 / 0</t>
        </is>
      </c>
      <c r="F6" s="10" t="inlineStr">
        <is>
          <t>1 / 0</t>
        </is>
      </c>
      <c r="G6" s="10" t="inlineStr">
        <is>
          <t>1 / 0</t>
        </is>
      </c>
      <c r="H6" s="10" t="inlineStr">
        <is>
          <t>1 / 0</t>
        </is>
      </c>
      <c r="I6" s="10" t="inlineStr">
        <is>
          <t>1 / 0</t>
        </is>
      </c>
      <c r="J6" s="4" t="n"/>
      <c r="K6" s="4" t="n"/>
      <c r="L6" s="4" t="n"/>
      <c r="M6" s="4" t="n"/>
      <c r="N6" s="4" t="n"/>
    </row>
    <row r="7" ht="16" customHeight="1">
      <c r="A7" s="12" t="n">
        <v>1</v>
      </c>
      <c r="B7" s="12">
        <f>IF(Нэгтгэл!B7="","",Нэгтгэл!B7)</f>
        <v/>
      </c>
      <c r="C7" s="4" t="n"/>
      <c r="D7" s="13" t="n">
        <v>1</v>
      </c>
      <c r="E7" s="13" t="n">
        <v>1</v>
      </c>
      <c r="F7" s="13" t="n">
        <v>1</v>
      </c>
      <c r="G7" s="13" t="n">
        <v>0</v>
      </c>
      <c r="H7" s="13" t="n">
        <v>1</v>
      </c>
      <c r="I7" s="13" t="n">
        <v>1</v>
      </c>
      <c r="J7" s="12">
        <f>COUNTIF(D7:I7,1)</f>
        <v/>
      </c>
      <c r="K7" s="12">
        <f>IF(COUNT(D7:I7)=0,"",ROUND(J7/6*100,1))</f>
        <v/>
      </c>
      <c r="L7" s="12">
        <f>COUNTIF(D7:I7,0)</f>
        <v/>
      </c>
      <c r="M7" s="12">
        <f>IF(COUNT(D7:I7)=0,"",ROUND(L7/6*100,1))</f>
        <v/>
      </c>
      <c r="N7" s="20">
        <f>IF(K7="","",IF(K7&gt;=Нэгтгэл!$K$4,"Хангалттай эзэмшиж байна",IF(K7&gt;=Нэгтгэл!$K$5,"Ахиж байна","Хөгжиж байна")))</f>
        <v/>
      </c>
    </row>
    <row r="8" ht="16" customHeight="1">
      <c r="A8" s="12" t="n">
        <v>2</v>
      </c>
      <c r="B8" s="12">
        <f>IF(Нэгтгэл!B8="","",Нэгтгэл!B8)</f>
        <v/>
      </c>
      <c r="C8" s="4" t="n"/>
      <c r="D8" s="13" t="n">
        <v>0</v>
      </c>
      <c r="E8" s="13" t="n">
        <v>1</v>
      </c>
      <c r="F8" s="13" t="n">
        <v>1</v>
      </c>
      <c r="G8" s="13" t="n">
        <v>0</v>
      </c>
      <c r="H8" s="13" t="n">
        <v>1</v>
      </c>
      <c r="I8" s="13" t="n">
        <v>0</v>
      </c>
      <c r="J8" s="12">
        <f>COUNTIF(D8:I8,1)</f>
        <v/>
      </c>
      <c r="K8" s="12">
        <f>IF(COUNT(D8:I8)=0,"",ROUND(J8/6*100,1))</f>
        <v/>
      </c>
      <c r="L8" s="12">
        <f>COUNTIF(D8:I8,0)</f>
        <v/>
      </c>
      <c r="M8" s="12">
        <f>IF(COUNT(D8:I8)=0,"",ROUND(L8/6*100,1))</f>
        <v/>
      </c>
      <c r="N8" s="20">
        <f>IF(K8="","",IF(K8&gt;=Нэгтгэл!$K$4,"Хангалттай эзэмшиж байна",IF(K8&gt;=Нэгтгэл!$K$5,"Ахиж байна","Хөгжиж байна")))</f>
        <v/>
      </c>
    </row>
    <row r="9" ht="16" customHeight="1">
      <c r="A9" s="12" t="n">
        <v>3</v>
      </c>
      <c r="B9" s="12">
        <f>IF(Нэгтгэл!B9="","",Нэгтгэл!B9)</f>
        <v/>
      </c>
      <c r="C9" s="4" t="n"/>
      <c r="D9" s="13" t="n">
        <v>0</v>
      </c>
      <c r="E9" s="13" t="n">
        <v>0</v>
      </c>
      <c r="F9" s="13" t="n">
        <v>1</v>
      </c>
      <c r="G9" s="13" t="n">
        <v>1</v>
      </c>
      <c r="H9" s="13" t="n">
        <v>1</v>
      </c>
      <c r="I9" s="13" t="n">
        <v>0</v>
      </c>
      <c r="J9" s="12">
        <f>COUNTIF(D9:I9,1)</f>
        <v/>
      </c>
      <c r="K9" s="12">
        <f>IF(COUNT(D9:I9)=0,"",ROUND(J9/6*100,1))</f>
        <v/>
      </c>
      <c r="L9" s="12">
        <f>COUNTIF(D9:I9,0)</f>
        <v/>
      </c>
      <c r="M9" s="12">
        <f>IF(COUNT(D9:I9)=0,"",ROUND(L9/6*100,1))</f>
        <v/>
      </c>
      <c r="N9" s="20">
        <f>IF(K9="","",IF(K9&gt;=Нэгтгэл!$K$4,"Хангалттай эзэмшиж байна",IF(K9&gt;=Нэгтгэл!$K$5,"Ахиж байна","Хөгжиж байна")))</f>
        <v/>
      </c>
    </row>
    <row r="10" ht="16" customHeight="1">
      <c r="A10" s="12" t="n">
        <v>4</v>
      </c>
      <c r="B10" s="12">
        <f>IF(Нэгтгэл!B10="","",Нэгтгэл!B10)</f>
        <v/>
      </c>
      <c r="C10" s="4" t="n"/>
      <c r="D10" s="13" t="n">
        <v>0</v>
      </c>
      <c r="E10" s="13" t="n">
        <v>1</v>
      </c>
      <c r="F10" s="13" t="n">
        <v>0</v>
      </c>
      <c r="G10" s="13" t="n">
        <v>0</v>
      </c>
      <c r="H10" s="13" t="n">
        <v>1</v>
      </c>
      <c r="I10" s="13" t="n">
        <v>1</v>
      </c>
      <c r="J10" s="12">
        <f>COUNTIF(D10:I10,1)</f>
        <v/>
      </c>
      <c r="K10" s="12">
        <f>IF(COUNT(D10:I10)=0,"",ROUND(J10/6*100,1))</f>
        <v/>
      </c>
      <c r="L10" s="12">
        <f>COUNTIF(D10:I10,0)</f>
        <v/>
      </c>
      <c r="M10" s="12">
        <f>IF(COUNT(D10:I10)=0,"",ROUND(L10/6*100,1))</f>
        <v/>
      </c>
      <c r="N10" s="20">
        <f>IF(K10="","",IF(K10&gt;=Нэгтгэл!$K$4,"Хангалттай эзэмшиж байна",IF(K10&gt;=Нэгтгэл!$K$5,"Ахиж байна","Хөгжиж байна")))</f>
        <v/>
      </c>
    </row>
    <row r="11" ht="16" customHeight="1">
      <c r="A11" s="12" t="n">
        <v>5</v>
      </c>
      <c r="B11" s="12">
        <f>IF(Нэгтгэл!B11="","",Нэгтгэл!B11)</f>
        <v/>
      </c>
      <c r="C11" s="4" t="n"/>
      <c r="D11" s="13" t="n">
        <v>0</v>
      </c>
      <c r="E11" s="13" t="n">
        <v>1</v>
      </c>
      <c r="F11" s="13" t="n">
        <v>1</v>
      </c>
      <c r="G11" s="13" t="n">
        <v>1</v>
      </c>
      <c r="H11" s="13" t="n">
        <v>1</v>
      </c>
      <c r="I11" s="13" t="n">
        <v>1</v>
      </c>
      <c r="J11" s="12">
        <f>COUNTIF(D11:I11,1)</f>
        <v/>
      </c>
      <c r="K11" s="12">
        <f>IF(COUNT(D11:I11)=0,"",ROUND(J11/6*100,1))</f>
        <v/>
      </c>
      <c r="L11" s="12">
        <f>COUNTIF(D11:I11,0)</f>
        <v/>
      </c>
      <c r="M11" s="12">
        <f>IF(COUNT(D11:I11)=0,"",ROUND(L11/6*100,1))</f>
        <v/>
      </c>
      <c r="N11" s="20">
        <f>IF(K11="","",IF(K11&gt;=Нэгтгэл!$K$4,"Хангалттай эзэмшиж байна",IF(K11&gt;=Нэгтгэл!$K$5,"Ахиж байна","Хөгжиж байна")))</f>
        <v/>
      </c>
    </row>
    <row r="12" ht="16" customHeight="1">
      <c r="A12" s="12" t="n">
        <v>6</v>
      </c>
      <c r="B12" s="12">
        <f>IF(Нэгтгэл!B12="","",Нэгтгэл!B12)</f>
        <v/>
      </c>
      <c r="C12" s="4" t="n"/>
      <c r="D12" s="13" t="n">
        <v>1</v>
      </c>
      <c r="E12" s="13" t="n">
        <v>1</v>
      </c>
      <c r="F12" s="13" t="n">
        <v>1</v>
      </c>
      <c r="G12" s="13" t="n">
        <v>1</v>
      </c>
      <c r="H12" s="13" t="n">
        <v>1</v>
      </c>
      <c r="I12" s="13" t="n">
        <v>1</v>
      </c>
      <c r="J12" s="12">
        <f>COUNTIF(D12:I12,1)</f>
        <v/>
      </c>
      <c r="K12" s="12">
        <f>IF(COUNT(D12:I12)=0,"",ROUND(J12/6*100,1))</f>
        <v/>
      </c>
      <c r="L12" s="12">
        <f>COUNTIF(D12:I12,0)</f>
        <v/>
      </c>
      <c r="M12" s="12">
        <f>IF(COUNT(D12:I12)=0,"",ROUND(L12/6*100,1))</f>
        <v/>
      </c>
      <c r="N12" s="20">
        <f>IF(K12="","",IF(K12&gt;=Нэгтгэл!$K$4,"Хангалттай эзэмшиж байна",IF(K12&gt;=Нэгтгэл!$K$5,"Ахиж байна","Хөгжиж байна")))</f>
        <v/>
      </c>
    </row>
    <row r="13" ht="16" customHeight="1">
      <c r="A13" s="12" t="n">
        <v>7</v>
      </c>
      <c r="B13" s="12">
        <f>IF(Нэгтгэл!B13="","",Нэгтгэл!B13)</f>
        <v/>
      </c>
      <c r="C13" s="4" t="n"/>
      <c r="D13" s="13" t="n">
        <v>1</v>
      </c>
      <c r="E13" s="13" t="n">
        <v>1</v>
      </c>
      <c r="F13" s="13" t="n">
        <v>0</v>
      </c>
      <c r="G13" s="13" t="n">
        <v>0</v>
      </c>
      <c r="H13" s="13" t="n">
        <v>1</v>
      </c>
      <c r="I13" s="13" t="n">
        <v>0</v>
      </c>
      <c r="J13" s="12">
        <f>COUNTIF(D13:I13,1)</f>
        <v/>
      </c>
      <c r="K13" s="12">
        <f>IF(COUNT(D13:I13)=0,"",ROUND(J13/6*100,1))</f>
        <v/>
      </c>
      <c r="L13" s="12">
        <f>COUNTIF(D13:I13,0)</f>
        <v/>
      </c>
      <c r="M13" s="12">
        <f>IF(COUNT(D13:I13)=0,"",ROUND(L13/6*100,1))</f>
        <v/>
      </c>
      <c r="N13" s="20">
        <f>IF(K13="","",IF(K13&gt;=Нэгтгэл!$K$4,"Хангалттай эзэмшиж байна",IF(K13&gt;=Нэгтгэл!$K$5,"Ахиж байна","Хөгжиж байна")))</f>
        <v/>
      </c>
    </row>
    <row r="14" ht="16" customHeight="1">
      <c r="A14" s="12" t="n">
        <v>8</v>
      </c>
      <c r="B14" s="12">
        <f>IF(Нэгтгэл!B14="","",Нэгтгэл!B14)</f>
        <v/>
      </c>
      <c r="C14" s="4" t="n"/>
      <c r="D14" s="13" t="n">
        <v>0</v>
      </c>
      <c r="E14" s="13" t="n">
        <v>1</v>
      </c>
      <c r="F14" s="13" t="n">
        <v>1</v>
      </c>
      <c r="G14" s="13" t="n">
        <v>1</v>
      </c>
      <c r="H14" s="13" t="n">
        <v>0</v>
      </c>
      <c r="I14" s="13" t="n">
        <v>0</v>
      </c>
      <c r="J14" s="12">
        <f>COUNTIF(D14:I14,1)</f>
        <v/>
      </c>
      <c r="K14" s="12">
        <f>IF(COUNT(D14:I14)=0,"",ROUND(J14/6*100,1))</f>
        <v/>
      </c>
      <c r="L14" s="12">
        <f>COUNTIF(D14:I14,0)</f>
        <v/>
      </c>
      <c r="M14" s="12">
        <f>IF(COUNT(D14:I14)=0,"",ROUND(L14/6*100,1))</f>
        <v/>
      </c>
      <c r="N14" s="20">
        <f>IF(K14="","",IF(K14&gt;=Нэгтгэл!$K$4,"Хангалттай эзэмшиж байна",IF(K14&gt;=Нэгтгэл!$K$5,"Ахиж байна","Хөгжиж байна")))</f>
        <v/>
      </c>
    </row>
    <row r="15" ht="16" customHeight="1">
      <c r="A15" s="12" t="n">
        <v>9</v>
      </c>
      <c r="B15" s="12">
        <f>IF(Нэгтгэл!B15="","",Нэгтгэл!B15)</f>
        <v/>
      </c>
      <c r="C15" s="4" t="n"/>
      <c r="D15" s="13" t="n">
        <v>1</v>
      </c>
      <c r="E15" s="13" t="n">
        <v>0</v>
      </c>
      <c r="F15" s="13" t="n">
        <v>1</v>
      </c>
      <c r="G15" s="13" t="n">
        <v>1</v>
      </c>
      <c r="H15" s="13" t="n">
        <v>0</v>
      </c>
      <c r="I15" s="13" t="n">
        <v>0</v>
      </c>
      <c r="J15" s="12">
        <f>COUNTIF(D15:I15,1)</f>
        <v/>
      </c>
      <c r="K15" s="12">
        <f>IF(COUNT(D15:I15)=0,"",ROUND(J15/6*100,1))</f>
        <v/>
      </c>
      <c r="L15" s="12">
        <f>COUNTIF(D15:I15,0)</f>
        <v/>
      </c>
      <c r="M15" s="12">
        <f>IF(COUNT(D15:I15)=0,"",ROUND(L15/6*100,1))</f>
        <v/>
      </c>
      <c r="N15" s="20">
        <f>IF(K15="","",IF(K15&gt;=Нэгтгэл!$K$4,"Хангалттай эзэмшиж байна",IF(K15&gt;=Нэгтгэл!$K$5,"Ахиж байна","Хөгжиж байна")))</f>
        <v/>
      </c>
    </row>
    <row r="16" ht="16" customHeight="1">
      <c r="A16" s="12" t="n">
        <v>10</v>
      </c>
      <c r="B16" s="12">
        <f>IF(Нэгтгэл!B16="","",Нэгтгэл!B16)</f>
        <v/>
      </c>
      <c r="C16" s="4" t="n"/>
      <c r="D16" s="13" t="n">
        <v>0</v>
      </c>
      <c r="E16" s="13" t="n">
        <v>1</v>
      </c>
      <c r="F16" s="13" t="n">
        <v>0</v>
      </c>
      <c r="G16" s="13" t="n">
        <v>1</v>
      </c>
      <c r="H16" s="13" t="n">
        <v>1</v>
      </c>
      <c r="I16" s="13" t="n">
        <v>1</v>
      </c>
      <c r="J16" s="12">
        <f>COUNTIF(D16:I16,1)</f>
        <v/>
      </c>
      <c r="K16" s="12">
        <f>IF(COUNT(D16:I16)=0,"",ROUND(J16/6*100,1))</f>
        <v/>
      </c>
      <c r="L16" s="12">
        <f>COUNTIF(D16:I16,0)</f>
        <v/>
      </c>
      <c r="M16" s="12">
        <f>IF(COUNT(D16:I16)=0,"",ROUND(L16/6*100,1))</f>
        <v/>
      </c>
      <c r="N16" s="20">
        <f>IF(K16="","",IF(K16&gt;=Нэгтгэл!$K$4,"Хангалттай эзэмшиж байна",IF(K16&gt;=Нэгтгэл!$K$5,"Ахиж байна","Хөгжиж байна")))</f>
        <v/>
      </c>
    </row>
    <row r="17" ht="16" customHeight="1">
      <c r="A17" s="12" t="n">
        <v>11</v>
      </c>
      <c r="B17" s="12">
        <f>IF(Нэгтгэл!B17="","",Нэгтгэл!B17)</f>
        <v/>
      </c>
      <c r="C17" s="4" t="n"/>
      <c r="D17" s="13" t="n">
        <v>1</v>
      </c>
      <c r="E17" s="13" t="n">
        <v>1</v>
      </c>
      <c r="F17" s="13" t="n">
        <v>1</v>
      </c>
      <c r="G17" s="13" t="n">
        <v>1</v>
      </c>
      <c r="H17" s="13" t="n">
        <v>0</v>
      </c>
      <c r="I17" s="13" t="n">
        <v>1</v>
      </c>
      <c r="J17" s="12">
        <f>COUNTIF(D17:I17,1)</f>
        <v/>
      </c>
      <c r="K17" s="12">
        <f>IF(COUNT(D17:I17)=0,"",ROUND(J17/6*100,1))</f>
        <v/>
      </c>
      <c r="L17" s="12">
        <f>COUNTIF(D17:I17,0)</f>
        <v/>
      </c>
      <c r="M17" s="12">
        <f>IF(COUNT(D17:I17)=0,"",ROUND(L17/6*100,1))</f>
        <v/>
      </c>
      <c r="N17" s="20">
        <f>IF(K17="","",IF(K17&gt;=Нэгтгэл!$K$4,"Хангалттай эзэмшиж байна",IF(K17&gt;=Нэгтгэл!$K$5,"Ахиж байна","Хөгжиж байна")))</f>
        <v/>
      </c>
    </row>
    <row r="18" ht="16" customHeight="1">
      <c r="A18" s="12" t="n">
        <v>12</v>
      </c>
      <c r="B18" s="12">
        <f>IF(Нэгтгэл!B18="","",Нэгтгэл!B18)</f>
        <v/>
      </c>
      <c r="C18" s="4" t="n"/>
      <c r="D18" s="13" t="n">
        <v>1</v>
      </c>
      <c r="E18" s="13" t="n">
        <v>1</v>
      </c>
      <c r="F18" s="13" t="n">
        <v>0</v>
      </c>
      <c r="G18" s="13" t="n">
        <v>1</v>
      </c>
      <c r="H18" s="13" t="n">
        <v>1</v>
      </c>
      <c r="I18" s="13" t="n">
        <v>0</v>
      </c>
      <c r="J18" s="12">
        <f>COUNTIF(D18:I18,1)</f>
        <v/>
      </c>
      <c r="K18" s="12">
        <f>IF(COUNT(D18:I18)=0,"",ROUND(J18/6*100,1))</f>
        <v/>
      </c>
      <c r="L18" s="12">
        <f>COUNTIF(D18:I18,0)</f>
        <v/>
      </c>
      <c r="M18" s="12">
        <f>IF(COUNT(D18:I18)=0,"",ROUND(L18/6*100,1))</f>
        <v/>
      </c>
      <c r="N18" s="20">
        <f>IF(K18="","",IF(K18&gt;=Нэгтгэл!$K$4,"Хангалттай эзэмшиж байна",IF(K18&gt;=Нэгтгэл!$K$5,"Ахиж байна","Хөгжиж байна")))</f>
        <v/>
      </c>
    </row>
    <row r="19" ht="16" customHeight="1">
      <c r="A19" s="12" t="n">
        <v>13</v>
      </c>
      <c r="B19" s="12">
        <f>IF(Нэгтгэл!B19="","",Нэгтгэл!B19)</f>
        <v/>
      </c>
      <c r="C19" s="4" t="n"/>
      <c r="D19" s="13" t="n">
        <v>1</v>
      </c>
      <c r="E19" s="13" t="n">
        <v>1</v>
      </c>
      <c r="F19" s="13" t="n">
        <v>0</v>
      </c>
      <c r="G19" s="13" t="n">
        <v>1</v>
      </c>
      <c r="H19" s="13" t="n">
        <v>1</v>
      </c>
      <c r="I19" s="13" t="n">
        <v>0</v>
      </c>
      <c r="J19" s="12">
        <f>COUNTIF(D19:I19,1)</f>
        <v/>
      </c>
      <c r="K19" s="12">
        <f>IF(COUNT(D19:I19)=0,"",ROUND(J19/6*100,1))</f>
        <v/>
      </c>
      <c r="L19" s="12">
        <f>COUNTIF(D19:I19,0)</f>
        <v/>
      </c>
      <c r="M19" s="12">
        <f>IF(COUNT(D19:I19)=0,"",ROUND(L19/6*100,1))</f>
        <v/>
      </c>
      <c r="N19" s="20">
        <f>IF(K19="","",IF(K19&gt;=Нэгтгэл!$K$4,"Хангалттай эзэмшиж байна",IF(K19&gt;=Нэгтгэл!$K$5,"Ахиж байна","Хөгжиж байна")))</f>
        <v/>
      </c>
    </row>
    <row r="20" ht="16" customHeight="1">
      <c r="A20" s="12" t="n">
        <v>14</v>
      </c>
      <c r="B20" s="12">
        <f>IF(Нэгтгэл!B20="","",Нэгтгэл!B20)</f>
        <v/>
      </c>
      <c r="C20" s="4" t="n"/>
      <c r="D20" s="13" t="n">
        <v>1</v>
      </c>
      <c r="E20" s="13" t="n">
        <v>1</v>
      </c>
      <c r="F20" s="13" t="n">
        <v>1</v>
      </c>
      <c r="G20" s="13" t="n">
        <v>0</v>
      </c>
      <c r="H20" s="13" t="n">
        <v>1</v>
      </c>
      <c r="I20" s="13" t="n">
        <v>0</v>
      </c>
      <c r="J20" s="12">
        <f>COUNTIF(D20:I20,1)</f>
        <v/>
      </c>
      <c r="K20" s="12">
        <f>IF(COUNT(D20:I20)=0,"",ROUND(J20/6*100,1))</f>
        <v/>
      </c>
      <c r="L20" s="12">
        <f>COUNTIF(D20:I20,0)</f>
        <v/>
      </c>
      <c r="M20" s="12">
        <f>IF(COUNT(D20:I20)=0,"",ROUND(L20/6*100,1))</f>
        <v/>
      </c>
      <c r="N20" s="20">
        <f>IF(K20="","",IF(K20&gt;=Нэгтгэл!$K$4,"Хангалттай эзэмшиж байна",IF(K20&gt;=Нэгтгэл!$K$5,"Ахиж байна","Хөгжиж байна")))</f>
        <v/>
      </c>
    </row>
    <row r="21" ht="16" customHeight="1">
      <c r="A21" s="12" t="n">
        <v>15</v>
      </c>
      <c r="B21" s="12">
        <f>IF(Нэгтгэл!B21="","",Нэгтгэл!B21)</f>
        <v/>
      </c>
      <c r="C21" s="4" t="n"/>
      <c r="D21" s="13" t="n">
        <v>1</v>
      </c>
      <c r="E21" s="13" t="n">
        <v>0</v>
      </c>
      <c r="F21" s="13" t="n">
        <v>0</v>
      </c>
      <c r="G21" s="13" t="n">
        <v>0</v>
      </c>
      <c r="H21" s="13" t="n">
        <v>0</v>
      </c>
      <c r="I21" s="13" t="n">
        <v>1</v>
      </c>
      <c r="J21" s="12">
        <f>COUNTIF(D21:I21,1)</f>
        <v/>
      </c>
      <c r="K21" s="12">
        <f>IF(COUNT(D21:I21)=0,"",ROUND(J21/6*100,1))</f>
        <v/>
      </c>
      <c r="L21" s="12">
        <f>COUNTIF(D21:I21,0)</f>
        <v/>
      </c>
      <c r="M21" s="12">
        <f>IF(COUNT(D21:I21)=0,"",ROUND(L21/6*100,1))</f>
        <v/>
      </c>
      <c r="N21" s="20">
        <f>IF(K21="","",IF(K21&gt;=Нэгтгэл!$K$4,"Хангалттай эзэмшиж байна",IF(K21&gt;=Нэгтгэл!$K$5,"Ахиж байна","Хөгжиж байна")))</f>
        <v/>
      </c>
    </row>
    <row r="22" ht="16" customHeight="1">
      <c r="A22" s="12" t="n">
        <v>16</v>
      </c>
      <c r="B22" s="12">
        <f>IF(Нэгтгэл!B22="","",Нэгтгэл!B22)</f>
        <v/>
      </c>
      <c r="C22" s="4" t="n"/>
      <c r="D22" s="13" t="n">
        <v>0</v>
      </c>
      <c r="E22" s="13" t="n">
        <v>1</v>
      </c>
      <c r="F22" s="13" t="n">
        <v>0</v>
      </c>
      <c r="G22" s="13" t="n">
        <v>1</v>
      </c>
      <c r="H22" s="13" t="n">
        <v>0</v>
      </c>
      <c r="I22" s="13" t="n">
        <v>1</v>
      </c>
      <c r="J22" s="12">
        <f>COUNTIF(D22:I22,1)</f>
        <v/>
      </c>
      <c r="K22" s="12">
        <f>IF(COUNT(D22:I22)=0,"",ROUND(J22/6*100,1))</f>
        <v/>
      </c>
      <c r="L22" s="12">
        <f>COUNTIF(D22:I22,0)</f>
        <v/>
      </c>
      <c r="M22" s="12">
        <f>IF(COUNT(D22:I22)=0,"",ROUND(L22/6*100,1))</f>
        <v/>
      </c>
      <c r="N22" s="20">
        <f>IF(K22="","",IF(K22&gt;=Нэгтгэл!$K$4,"Хангалттай эзэмшиж байна",IF(K22&gt;=Нэгтгэл!$K$5,"Ахиж байна","Хөгжиж байна")))</f>
        <v/>
      </c>
    </row>
    <row r="23" ht="16" customHeight="1">
      <c r="A23" s="12" t="n">
        <v>17</v>
      </c>
      <c r="B23" s="12">
        <f>IF(Нэгтгэл!B23="","",Нэгтгэл!B23)</f>
        <v/>
      </c>
      <c r="C23" s="4" t="n"/>
      <c r="D23" s="13" t="n">
        <v>1</v>
      </c>
      <c r="E23" s="13" t="n">
        <v>1</v>
      </c>
      <c r="F23" s="13" t="n">
        <v>1</v>
      </c>
      <c r="G23" s="13" t="n">
        <v>1</v>
      </c>
      <c r="H23" s="13" t="n">
        <v>1</v>
      </c>
      <c r="I23" s="13" t="n">
        <v>1</v>
      </c>
      <c r="J23" s="12">
        <f>COUNTIF(D23:I23,1)</f>
        <v/>
      </c>
      <c r="K23" s="12">
        <f>IF(COUNT(D23:I23)=0,"",ROUND(J23/6*100,1))</f>
        <v/>
      </c>
      <c r="L23" s="12">
        <f>COUNTIF(D23:I23,0)</f>
        <v/>
      </c>
      <c r="M23" s="12">
        <f>IF(COUNT(D23:I23)=0,"",ROUND(L23/6*100,1))</f>
        <v/>
      </c>
      <c r="N23" s="20">
        <f>IF(K23="","",IF(K23&gt;=Нэгтгэл!$K$4,"Хангалттай эзэмшиж байна",IF(K23&gt;=Нэгтгэл!$K$5,"Ахиж байна","Хөгжиж байна")))</f>
        <v/>
      </c>
    </row>
    <row r="24" ht="16" customHeight="1">
      <c r="A24" s="12" t="n">
        <v>18</v>
      </c>
      <c r="B24" s="12">
        <f>IF(Нэгтгэл!B24="","",Нэгтгэл!B24)</f>
        <v/>
      </c>
      <c r="C24" s="4" t="n"/>
      <c r="D24" s="13" t="n">
        <v>0</v>
      </c>
      <c r="E24" s="13" t="n">
        <v>1</v>
      </c>
      <c r="F24" s="13" t="n">
        <v>1</v>
      </c>
      <c r="G24" s="13" t="n">
        <v>0</v>
      </c>
      <c r="H24" s="13" t="n">
        <v>1</v>
      </c>
      <c r="I24" s="13" t="n">
        <v>1</v>
      </c>
      <c r="J24" s="12">
        <f>COUNTIF(D24:I24,1)</f>
        <v/>
      </c>
      <c r="K24" s="12">
        <f>IF(COUNT(D24:I24)=0,"",ROUND(J24/6*100,1))</f>
        <v/>
      </c>
      <c r="L24" s="12">
        <f>COUNTIF(D24:I24,0)</f>
        <v/>
      </c>
      <c r="M24" s="12">
        <f>IF(COUNT(D24:I24)=0,"",ROUND(L24/6*100,1))</f>
        <v/>
      </c>
      <c r="N24" s="20">
        <f>IF(K24="","",IF(K24&gt;=Нэгтгэл!$K$4,"Хангалттай эзэмшиж байна",IF(K24&gt;=Нэгтгэл!$K$5,"Ахиж байна","Хөгжиж байна")))</f>
        <v/>
      </c>
    </row>
    <row r="25" ht="16" customHeight="1">
      <c r="A25" s="12" t="n">
        <v>19</v>
      </c>
      <c r="B25" s="12">
        <f>IF(Нэгтгэл!B25="","",Нэгтгэл!B25)</f>
        <v/>
      </c>
      <c r="C25" s="4" t="n"/>
      <c r="D25" s="13" t="n">
        <v>1</v>
      </c>
      <c r="E25" s="13" t="n">
        <v>1</v>
      </c>
      <c r="F25" s="13" t="n">
        <v>1</v>
      </c>
      <c r="G25" s="13" t="n">
        <v>0</v>
      </c>
      <c r="H25" s="13" t="n">
        <v>0</v>
      </c>
      <c r="I25" s="13" t="n">
        <v>1</v>
      </c>
      <c r="J25" s="12">
        <f>COUNTIF(D25:I25,1)</f>
        <v/>
      </c>
      <c r="K25" s="12">
        <f>IF(COUNT(D25:I25)=0,"",ROUND(J25/6*100,1))</f>
        <v/>
      </c>
      <c r="L25" s="12">
        <f>COUNTIF(D25:I25,0)</f>
        <v/>
      </c>
      <c r="M25" s="12">
        <f>IF(COUNT(D25:I25)=0,"",ROUND(L25/6*100,1))</f>
        <v/>
      </c>
      <c r="N25" s="20">
        <f>IF(K25="","",IF(K25&gt;=Нэгтгэл!$K$4,"Хангалттай эзэмшиж байна",IF(K25&gt;=Нэгтгэл!$K$5,"Ахиж байна","Хөгжиж байна")))</f>
        <v/>
      </c>
    </row>
    <row r="26" ht="16" customHeight="1">
      <c r="A26" s="12" t="n">
        <v>20</v>
      </c>
      <c r="B26" s="12">
        <f>IF(Нэгтгэл!B26="","",Нэгтгэл!B26)</f>
        <v/>
      </c>
      <c r="C26" s="4" t="n"/>
      <c r="D26" s="13" t="n">
        <v>1</v>
      </c>
      <c r="E26" s="13" t="n">
        <v>0</v>
      </c>
      <c r="F26" s="13" t="n">
        <v>1</v>
      </c>
      <c r="G26" s="13" t="n">
        <v>0</v>
      </c>
      <c r="H26" s="13" t="n">
        <v>1</v>
      </c>
      <c r="I26" s="13" t="n">
        <v>1</v>
      </c>
      <c r="J26" s="12">
        <f>COUNTIF(D26:I26,1)</f>
        <v/>
      </c>
      <c r="K26" s="12">
        <f>IF(COUNT(D26:I26)=0,"",ROUND(J26/6*100,1))</f>
        <v/>
      </c>
      <c r="L26" s="12">
        <f>COUNTIF(D26:I26,0)</f>
        <v/>
      </c>
      <c r="M26" s="12">
        <f>IF(COUNT(D26:I26)=0,"",ROUND(L26/6*100,1))</f>
        <v/>
      </c>
      <c r="N26" s="20">
        <f>IF(K26="","",IF(K26&gt;=Нэгтгэл!$K$4,"Хангалттай эзэмшиж байна",IF(K26&gt;=Нэгтгэл!$K$5,"Ахиж байна","Хөгжиж байна")))</f>
        <v/>
      </c>
    </row>
    <row r="27" ht="16" customHeight="1">
      <c r="A27" s="12" t="n">
        <v>21</v>
      </c>
      <c r="B27" s="12">
        <f>IF(Нэгтгэл!B27="","",Нэгтгэл!B27)</f>
        <v/>
      </c>
      <c r="C27" s="4" t="n"/>
      <c r="D27" s="13" t="n">
        <v>0</v>
      </c>
      <c r="E27" s="13" t="n">
        <v>1</v>
      </c>
      <c r="F27" s="13" t="n">
        <v>1</v>
      </c>
      <c r="G27" s="13" t="n">
        <v>0</v>
      </c>
      <c r="H27" s="13" t="n">
        <v>1</v>
      </c>
      <c r="I27" s="13" t="n">
        <v>0</v>
      </c>
      <c r="J27" s="12">
        <f>COUNTIF(D27:I27,1)</f>
        <v/>
      </c>
      <c r="K27" s="12">
        <f>IF(COUNT(D27:I27)=0,"",ROUND(J27/6*100,1))</f>
        <v/>
      </c>
      <c r="L27" s="12">
        <f>COUNTIF(D27:I27,0)</f>
        <v/>
      </c>
      <c r="M27" s="12">
        <f>IF(COUNT(D27:I27)=0,"",ROUND(L27/6*100,1))</f>
        <v/>
      </c>
      <c r="N27" s="20">
        <f>IF(K27="","",IF(K27&gt;=Нэгтгэл!$K$4,"Хангалттай эзэмшиж байна",IF(K27&gt;=Нэгтгэл!$K$5,"Ахиж байна","Хөгжиж байна")))</f>
        <v/>
      </c>
    </row>
    <row r="28" ht="16" customHeight="1">
      <c r="A28" s="12" t="n">
        <v>22</v>
      </c>
      <c r="B28" s="12">
        <f>IF(Нэгтгэл!B28="","",Нэгтгэл!B28)</f>
        <v/>
      </c>
      <c r="C28" s="4" t="n"/>
      <c r="D28" s="13" t="n">
        <v>1</v>
      </c>
      <c r="E28" s="13" t="n">
        <v>1</v>
      </c>
      <c r="F28" s="13" t="n">
        <v>0</v>
      </c>
      <c r="G28" s="13" t="n">
        <v>0</v>
      </c>
      <c r="H28" s="13" t="n">
        <v>1</v>
      </c>
      <c r="I28" s="13" t="n">
        <v>0</v>
      </c>
      <c r="J28" s="12">
        <f>COUNTIF(D28:I28,1)</f>
        <v/>
      </c>
      <c r="K28" s="12">
        <f>IF(COUNT(D28:I28)=0,"",ROUND(J28/6*100,1))</f>
        <v/>
      </c>
      <c r="L28" s="12">
        <f>COUNTIF(D28:I28,0)</f>
        <v/>
      </c>
      <c r="M28" s="12">
        <f>IF(COUNT(D28:I28)=0,"",ROUND(L28/6*100,1))</f>
        <v/>
      </c>
      <c r="N28" s="20">
        <f>IF(K28="","",IF(K28&gt;=Нэгтгэл!$K$4,"Хангалттай эзэмшиж байна",IF(K28&gt;=Нэгтгэл!$K$5,"Ахиж байна","Хөгжиж байна")))</f>
        <v/>
      </c>
    </row>
    <row r="29" ht="16" customHeight="1">
      <c r="A29" s="12" t="n">
        <v>23</v>
      </c>
      <c r="B29" s="12">
        <f>IF(Нэгтгэл!B29="","",Нэгтгэл!B29)</f>
        <v/>
      </c>
      <c r="C29" s="4" t="n"/>
      <c r="D29" s="13" t="n">
        <v>1</v>
      </c>
      <c r="E29" s="13" t="n">
        <v>1</v>
      </c>
      <c r="F29" s="13" t="n">
        <v>1</v>
      </c>
      <c r="G29" s="13" t="n">
        <v>1</v>
      </c>
      <c r="H29" s="13" t="n">
        <v>0</v>
      </c>
      <c r="I29" s="13" t="n">
        <v>1</v>
      </c>
      <c r="J29" s="12">
        <f>COUNTIF(D29:I29,1)</f>
        <v/>
      </c>
      <c r="K29" s="12">
        <f>IF(COUNT(D29:I29)=0,"",ROUND(J29/6*100,1))</f>
        <v/>
      </c>
      <c r="L29" s="12">
        <f>COUNTIF(D29:I29,0)</f>
        <v/>
      </c>
      <c r="M29" s="12">
        <f>IF(COUNT(D29:I29)=0,"",ROUND(L29/6*100,1))</f>
        <v/>
      </c>
      <c r="N29" s="20">
        <f>IF(K29="","",IF(K29&gt;=Нэгтгэл!$K$4,"Хангалттай эзэмшиж байна",IF(K29&gt;=Нэгтгэл!$K$5,"Ахиж байна","Хөгжиж байна")))</f>
        <v/>
      </c>
    </row>
    <row r="30" ht="16" customHeight="1">
      <c r="A30" s="12" t="n">
        <v>24</v>
      </c>
      <c r="B30" s="12">
        <f>IF(Нэгтгэл!B30="","",Нэгтгэл!B30)</f>
        <v/>
      </c>
      <c r="C30" s="4" t="n"/>
      <c r="D30" s="13" t="n">
        <v>1</v>
      </c>
      <c r="E30" s="13" t="n">
        <v>1</v>
      </c>
      <c r="F30" s="13" t="n">
        <v>1</v>
      </c>
      <c r="G30" s="13" t="n">
        <v>1</v>
      </c>
      <c r="H30" s="13" t="n">
        <v>1</v>
      </c>
      <c r="I30" s="13" t="n">
        <v>1</v>
      </c>
      <c r="J30" s="12">
        <f>COUNTIF(D30:I30,1)</f>
        <v/>
      </c>
      <c r="K30" s="12">
        <f>IF(COUNT(D30:I30)=0,"",ROUND(J30/6*100,1))</f>
        <v/>
      </c>
      <c r="L30" s="12">
        <f>COUNTIF(D30:I30,0)</f>
        <v/>
      </c>
      <c r="M30" s="12">
        <f>IF(COUNT(D30:I30)=0,"",ROUND(L30/6*100,1))</f>
        <v/>
      </c>
      <c r="N30" s="20">
        <f>IF(K30="","",IF(K30&gt;=Нэгтгэл!$K$4,"Хангалттай эзэмшиж байна",IF(K30&gt;=Нэгтгэл!$K$5,"Ахиж байна","Хөгжиж байна")))</f>
        <v/>
      </c>
    </row>
    <row r="31" ht="16" customHeight="1">
      <c r="A31" s="12" t="n">
        <v>25</v>
      </c>
      <c r="B31" s="12">
        <f>IF(Нэгтгэл!B31="","",Нэгтгэл!B31)</f>
        <v/>
      </c>
      <c r="C31" s="4" t="n"/>
      <c r="D31" s="13" t="n">
        <v>0</v>
      </c>
      <c r="E31" s="13" t="n">
        <v>1</v>
      </c>
      <c r="F31" s="13" t="n">
        <v>0</v>
      </c>
      <c r="G31" s="13" t="n">
        <v>1</v>
      </c>
      <c r="H31" s="13" t="n">
        <v>1</v>
      </c>
      <c r="I31" s="13" t="n">
        <v>1</v>
      </c>
      <c r="J31" s="12">
        <f>COUNTIF(D31:I31,1)</f>
        <v/>
      </c>
      <c r="K31" s="12">
        <f>IF(COUNT(D31:I31)=0,"",ROUND(J31/6*100,1))</f>
        <v/>
      </c>
      <c r="L31" s="12">
        <f>COUNTIF(D31:I31,0)</f>
        <v/>
      </c>
      <c r="M31" s="12">
        <f>IF(COUNT(D31:I31)=0,"",ROUND(L31/6*100,1))</f>
        <v/>
      </c>
      <c r="N31" s="20">
        <f>IF(K31="","",IF(K31&gt;=Нэгтгэл!$K$4,"Хангалттай эзэмшиж байна",IF(K31&gt;=Нэгтгэл!$K$5,"Ахиж байна","Хөгжиж байна")))</f>
        <v/>
      </c>
    </row>
    <row r="32" ht="16" customHeight="1">
      <c r="A32" s="12" t="n">
        <v>26</v>
      </c>
      <c r="B32" s="12">
        <f>IF(Нэгтгэл!B32="","",Нэгтгэл!B32)</f>
        <v/>
      </c>
      <c r="C32" s="4" t="n"/>
      <c r="D32" s="13" t="n">
        <v>1</v>
      </c>
      <c r="E32" s="13" t="n">
        <v>1</v>
      </c>
      <c r="F32" s="13" t="n">
        <v>0</v>
      </c>
      <c r="G32" s="13" t="n">
        <v>1</v>
      </c>
      <c r="H32" s="13" t="n">
        <v>1</v>
      </c>
      <c r="I32" s="13" t="n">
        <v>1</v>
      </c>
      <c r="J32" s="12">
        <f>COUNTIF(D32:I32,1)</f>
        <v/>
      </c>
      <c r="K32" s="12">
        <f>IF(COUNT(D32:I32)=0,"",ROUND(J32/6*100,1))</f>
        <v/>
      </c>
      <c r="L32" s="12">
        <f>COUNTIF(D32:I32,0)</f>
        <v/>
      </c>
      <c r="M32" s="12">
        <f>IF(COUNT(D32:I32)=0,"",ROUND(L32/6*100,1))</f>
        <v/>
      </c>
      <c r="N32" s="20">
        <f>IF(K32="","",IF(K32&gt;=Нэгтгэл!$K$4,"Хангалттай эзэмшиж байна",IF(K32&gt;=Нэгтгэл!$K$5,"Ахиж байна","Хөгжиж байна")))</f>
        <v/>
      </c>
    </row>
    <row r="33" ht="16" customHeight="1">
      <c r="A33" s="12" t="n">
        <v>27</v>
      </c>
      <c r="B33" s="12">
        <f>IF(Нэгтгэл!B33="","",Нэгтгэл!B33)</f>
        <v/>
      </c>
      <c r="C33" s="4" t="n"/>
      <c r="D33" s="13" t="n">
        <v>1</v>
      </c>
      <c r="E33" s="13" t="n">
        <v>1</v>
      </c>
      <c r="F33" s="13" t="n">
        <v>1</v>
      </c>
      <c r="G33" s="13" t="n">
        <v>0</v>
      </c>
      <c r="H33" s="13" t="n">
        <v>1</v>
      </c>
      <c r="I33" s="13" t="n">
        <v>1</v>
      </c>
      <c r="J33" s="12">
        <f>COUNTIF(D33:I33,1)</f>
        <v/>
      </c>
      <c r="K33" s="12">
        <f>IF(COUNT(D33:I33)=0,"",ROUND(J33/6*100,1))</f>
        <v/>
      </c>
      <c r="L33" s="12">
        <f>COUNTIF(D33:I33,0)</f>
        <v/>
      </c>
      <c r="M33" s="12">
        <f>IF(COUNT(D33:I33)=0,"",ROUND(L33/6*100,1))</f>
        <v/>
      </c>
      <c r="N33" s="20">
        <f>IF(K33="","",IF(K33&gt;=Нэгтгэл!$K$4,"Хангалттай эзэмшиж байна",IF(K33&gt;=Нэгтгэл!$K$5,"Ахиж байна","Хөгжиж байна")))</f>
        <v/>
      </c>
    </row>
    <row r="34" ht="16" customHeight="1">
      <c r="A34" s="12" t="n">
        <v>28</v>
      </c>
      <c r="B34" s="12">
        <f>IF(Нэгтгэл!B34="","",Нэгтгэл!B34)</f>
        <v/>
      </c>
      <c r="C34" s="4" t="n"/>
      <c r="D34" s="13" t="n">
        <v>1</v>
      </c>
      <c r="E34" s="13" t="n">
        <v>1</v>
      </c>
      <c r="F34" s="13" t="n">
        <v>1</v>
      </c>
      <c r="G34" s="13" t="n">
        <v>1</v>
      </c>
      <c r="H34" s="13" t="n">
        <v>1</v>
      </c>
      <c r="I34" s="13" t="n">
        <v>1</v>
      </c>
      <c r="J34" s="12">
        <f>COUNTIF(D34:I34,1)</f>
        <v/>
      </c>
      <c r="K34" s="12">
        <f>IF(COUNT(D34:I34)=0,"",ROUND(J34/6*100,1))</f>
        <v/>
      </c>
      <c r="L34" s="12">
        <f>COUNTIF(D34:I34,0)</f>
        <v/>
      </c>
      <c r="M34" s="12">
        <f>IF(COUNT(D34:I34)=0,"",ROUND(L34/6*100,1))</f>
        <v/>
      </c>
      <c r="N34" s="20">
        <f>IF(K34="","",IF(K34&gt;=Нэгтгэл!$K$4,"Хангалттай эзэмшиж байна",IF(K34&gt;=Нэгтгэл!$K$5,"Ахиж байна","Хөгжиж байна")))</f>
        <v/>
      </c>
    </row>
    <row r="35" ht="16" customHeight="1">
      <c r="A35" s="12" t="n">
        <v>29</v>
      </c>
      <c r="B35" s="12">
        <f>IF(Нэгтгэл!B35="","",Нэгтгэл!B35)</f>
        <v/>
      </c>
      <c r="C35" s="4" t="n"/>
      <c r="D35" s="13" t="n">
        <v>1</v>
      </c>
      <c r="E35" s="13" t="n">
        <v>1</v>
      </c>
      <c r="F35" s="13" t="n">
        <v>1</v>
      </c>
      <c r="G35" s="13" t="n">
        <v>1</v>
      </c>
      <c r="H35" s="13" t="n">
        <v>1</v>
      </c>
      <c r="I35" s="13" t="n">
        <v>0</v>
      </c>
      <c r="J35" s="12">
        <f>COUNTIF(D35:I35,1)</f>
        <v/>
      </c>
      <c r="K35" s="12">
        <f>IF(COUNT(D35:I35)=0,"",ROUND(J35/6*100,1))</f>
        <v/>
      </c>
      <c r="L35" s="12">
        <f>COUNTIF(D35:I35,0)</f>
        <v/>
      </c>
      <c r="M35" s="12">
        <f>IF(COUNT(D35:I35)=0,"",ROUND(L35/6*100,1))</f>
        <v/>
      </c>
      <c r="N35" s="20">
        <f>IF(K35="","",IF(K35&gt;=Нэгтгэл!$K$4,"Хангалттай эзэмшиж байна",IF(K35&gt;=Нэгтгэл!$K$5,"Ахиж байна","Хөгжиж байна")))</f>
        <v/>
      </c>
    </row>
    <row r="36" ht="16" customHeight="1">
      <c r="A36" s="12" t="n">
        <v>30</v>
      </c>
      <c r="B36" s="12">
        <f>IF(Нэгтгэл!B36="","",Нэгтгэл!B36)</f>
        <v/>
      </c>
      <c r="C36" s="4" t="n"/>
      <c r="D36" s="13" t="n">
        <v>1</v>
      </c>
      <c r="E36" s="13" t="n">
        <v>1</v>
      </c>
      <c r="F36" s="13" t="n">
        <v>1</v>
      </c>
      <c r="G36" s="13" t="n">
        <v>1</v>
      </c>
      <c r="H36" s="13" t="n">
        <v>1</v>
      </c>
      <c r="I36" s="13" t="n">
        <v>1</v>
      </c>
      <c r="J36" s="12">
        <f>COUNTIF(D36:I36,1)</f>
        <v/>
      </c>
      <c r="K36" s="12">
        <f>IF(COUNT(D36:I36)=0,"",ROUND(J36/6*100,1))</f>
        <v/>
      </c>
      <c r="L36" s="12">
        <f>COUNTIF(D36:I36,0)</f>
        <v/>
      </c>
      <c r="M36" s="12">
        <f>IF(COUNT(D36:I36)=0,"",ROUND(L36/6*100,1))</f>
        <v/>
      </c>
      <c r="N36" s="20">
        <f>IF(K36="","",IF(K36&gt;=Нэгтгэл!$K$4,"Хангалттай эзэмшиж байна",IF(K36&gt;=Нэгтгэл!$K$5,"Ахиж байна","Хөгжиж байна")))</f>
        <v/>
      </c>
    </row>
    <row r="37" ht="16" customHeight="1">
      <c r="A37" s="12" t="n">
        <v>31</v>
      </c>
      <c r="B37" s="12">
        <f>IF(Нэгтгэл!B37="","",Нэгтгэл!B37)</f>
        <v/>
      </c>
      <c r="C37" s="4" t="n"/>
      <c r="D37" s="13" t="n">
        <v>1</v>
      </c>
      <c r="E37" s="13" t="n">
        <v>1</v>
      </c>
      <c r="F37" s="13" t="n">
        <v>1</v>
      </c>
      <c r="G37" s="13" t="n">
        <v>1</v>
      </c>
      <c r="H37" s="13" t="n">
        <v>0</v>
      </c>
      <c r="I37" s="13" t="n">
        <v>1</v>
      </c>
      <c r="J37" s="12">
        <f>COUNTIF(D37:I37,1)</f>
        <v/>
      </c>
      <c r="K37" s="12">
        <f>IF(COUNT(D37:I37)=0,"",ROUND(J37/6*100,1))</f>
        <v/>
      </c>
      <c r="L37" s="12">
        <f>COUNTIF(D37:I37,0)</f>
        <v/>
      </c>
      <c r="M37" s="12">
        <f>IF(COUNT(D37:I37)=0,"",ROUND(L37/6*100,1))</f>
        <v/>
      </c>
      <c r="N37" s="20">
        <f>IF(K37="","",IF(K37&gt;=Нэгтгэл!$K$4,"Хангалттай эзэмшиж байна",IF(K37&gt;=Нэгтгэл!$K$5,"Ахиж байна","Хөгжиж байна")))</f>
        <v/>
      </c>
    </row>
    <row r="38" ht="16" customHeight="1">
      <c r="A38" s="12" t="n">
        <v>32</v>
      </c>
      <c r="B38" s="12">
        <f>IF(Нэгтгэл!B38="","",Нэгтгэл!B38)</f>
        <v/>
      </c>
      <c r="C38" s="4" t="n"/>
      <c r="D38" s="13" t="n">
        <v>1</v>
      </c>
      <c r="E38" s="13" t="n">
        <v>1</v>
      </c>
      <c r="F38" s="13" t="n">
        <v>1</v>
      </c>
      <c r="G38" s="13" t="n">
        <v>0</v>
      </c>
      <c r="H38" s="13" t="n">
        <v>1</v>
      </c>
      <c r="I38" s="13" t="n">
        <v>1</v>
      </c>
      <c r="J38" s="12">
        <f>COUNTIF(D38:I38,1)</f>
        <v/>
      </c>
      <c r="K38" s="12">
        <f>IF(COUNT(D38:I38)=0,"",ROUND(J38/6*100,1))</f>
        <v/>
      </c>
      <c r="L38" s="12">
        <f>COUNTIF(D38:I38,0)</f>
        <v/>
      </c>
      <c r="M38" s="12">
        <f>IF(COUNT(D38:I38)=0,"",ROUND(L38/6*100,1))</f>
        <v/>
      </c>
      <c r="N38" s="20">
        <f>IF(K38="","",IF(K38&gt;=Нэгтгэл!$K$4,"Хангалттай эзэмшиж байна",IF(K38&gt;=Нэгтгэл!$K$5,"Ахиж байна","Хөгжиж байна")))</f>
        <v/>
      </c>
    </row>
    <row r="39" ht="16" customHeight="1">
      <c r="A39" s="12" t="n">
        <v>33</v>
      </c>
      <c r="B39" s="12">
        <f>IF(Нэгтгэл!B39="","",Нэгтгэл!B39)</f>
        <v/>
      </c>
      <c r="C39" s="4" t="n"/>
      <c r="D39" s="13" t="n">
        <v>1</v>
      </c>
      <c r="E39" s="13" t="n">
        <v>1</v>
      </c>
      <c r="F39" s="13" t="n">
        <v>1</v>
      </c>
      <c r="G39" s="13" t="n">
        <v>0</v>
      </c>
      <c r="H39" s="13" t="n">
        <v>1</v>
      </c>
      <c r="I39" s="13" t="n">
        <v>0</v>
      </c>
      <c r="J39" s="12">
        <f>COUNTIF(D39:I39,1)</f>
        <v/>
      </c>
      <c r="K39" s="12">
        <f>IF(COUNT(D39:I39)=0,"",ROUND(J39/6*100,1))</f>
        <v/>
      </c>
      <c r="L39" s="12">
        <f>COUNTIF(D39:I39,0)</f>
        <v/>
      </c>
      <c r="M39" s="12">
        <f>IF(COUNT(D39:I39)=0,"",ROUND(L39/6*100,1))</f>
        <v/>
      </c>
      <c r="N39" s="20">
        <f>IF(K39="","",IF(K39&gt;=Нэгтгэл!$K$4,"Хангалттай эзэмшиж байна",IF(K39&gt;=Нэгтгэл!$K$5,"Ахиж байна","Хөгжиж байна")))</f>
        <v/>
      </c>
    </row>
    <row r="40" ht="16" customHeight="1">
      <c r="A40" s="12" t="n">
        <v>34</v>
      </c>
      <c r="B40" s="12">
        <f>IF(Нэгтгэл!B40="","",Нэгтгэл!B40)</f>
        <v/>
      </c>
      <c r="C40" s="4" t="n"/>
      <c r="D40" s="13" t="n">
        <v>1</v>
      </c>
      <c r="E40" s="13" t="n">
        <v>1</v>
      </c>
      <c r="F40" s="13" t="n">
        <v>1</v>
      </c>
      <c r="G40" s="13" t="n">
        <v>0</v>
      </c>
      <c r="H40" s="13" t="n">
        <v>1</v>
      </c>
      <c r="I40" s="13" t="n">
        <v>1</v>
      </c>
      <c r="J40" s="12">
        <f>COUNTIF(D40:I40,1)</f>
        <v/>
      </c>
      <c r="K40" s="12">
        <f>IF(COUNT(D40:I40)=0,"",ROUND(J40/6*100,1))</f>
        <v/>
      </c>
      <c r="L40" s="12">
        <f>COUNTIF(D40:I40,0)</f>
        <v/>
      </c>
      <c r="M40" s="12">
        <f>IF(COUNT(D40:I40)=0,"",ROUND(L40/6*100,1))</f>
        <v/>
      </c>
      <c r="N40" s="20">
        <f>IF(K40="","",IF(K40&gt;=Нэгтгэл!$K$4,"Хангалттай эзэмшиж байна",IF(K40&gt;=Нэгтгэл!$K$5,"Ахиж байна","Хөгжиж байна")))</f>
        <v/>
      </c>
    </row>
    <row r="41" ht="16" customHeight="1">
      <c r="A41" s="12" t="n">
        <v>35</v>
      </c>
      <c r="B41" s="12">
        <f>IF(Нэгтгэл!B41="","",Нэгтгэл!B41)</f>
        <v/>
      </c>
      <c r="C41" s="4" t="n"/>
      <c r="D41" s="13" t="n">
        <v>1</v>
      </c>
      <c r="E41" s="13" t="n">
        <v>1</v>
      </c>
      <c r="F41" s="13" t="n">
        <v>0</v>
      </c>
      <c r="G41" s="13" t="n">
        <v>0</v>
      </c>
      <c r="H41" s="13" t="n">
        <v>1</v>
      </c>
      <c r="I41" s="13" t="n">
        <v>0</v>
      </c>
      <c r="J41" s="12">
        <f>COUNTIF(D41:I41,1)</f>
        <v/>
      </c>
      <c r="K41" s="12">
        <f>IF(COUNT(D41:I41)=0,"",ROUND(J41/6*100,1))</f>
        <v/>
      </c>
      <c r="L41" s="12">
        <f>COUNTIF(D41:I41,0)</f>
        <v/>
      </c>
      <c r="M41" s="12">
        <f>IF(COUNT(D41:I41)=0,"",ROUND(L41/6*100,1))</f>
        <v/>
      </c>
      <c r="N41" s="20">
        <f>IF(K41="","",IF(K41&gt;=Нэгтгэл!$K$4,"Хангалттай эзэмшиж байна",IF(K41&gt;=Нэгтгэл!$K$5,"Ахиж байна","Хөгжиж байна")))</f>
        <v/>
      </c>
    </row>
    <row r="42" ht="16" customHeight="1">
      <c r="A42" s="12" t="n">
        <v>36</v>
      </c>
      <c r="B42" s="12">
        <f>IF(Нэгтгэл!B42="","",Нэгтгэл!B42)</f>
        <v/>
      </c>
      <c r="C42" s="4" t="n"/>
      <c r="D42" s="13" t="n">
        <v>0</v>
      </c>
      <c r="E42" s="13" t="n">
        <v>0</v>
      </c>
      <c r="F42" s="13" t="n">
        <v>1</v>
      </c>
      <c r="G42" s="13" t="n">
        <v>1</v>
      </c>
      <c r="H42" s="13" t="n">
        <v>1</v>
      </c>
      <c r="I42" s="13" t="n">
        <v>0</v>
      </c>
      <c r="J42" s="12">
        <f>COUNTIF(D42:I42,1)</f>
        <v/>
      </c>
      <c r="K42" s="12">
        <f>IF(COUNT(D42:I42)=0,"",ROUND(J42/6*100,1))</f>
        <v/>
      </c>
      <c r="L42" s="12">
        <f>COUNTIF(D42:I42,0)</f>
        <v/>
      </c>
      <c r="M42" s="12">
        <f>IF(COUNT(D42:I42)=0,"",ROUND(L42/6*100,1))</f>
        <v/>
      </c>
      <c r="N42" s="20">
        <f>IF(K42="","",IF(K42&gt;=Нэгтгэл!$K$4,"Хангалттай эзэмшиж байна",IF(K42&gt;=Нэгтгэл!$K$5,"Ахиж байна","Хөгжиж байна")))</f>
        <v/>
      </c>
    </row>
    <row r="43" ht="16" customHeight="1">
      <c r="A43" s="12" t="n">
        <v>37</v>
      </c>
      <c r="B43" s="12">
        <f>IF(Нэгтгэл!B43="","",Нэгтгэл!B43)</f>
        <v/>
      </c>
      <c r="C43" s="4" t="n"/>
      <c r="D43" s="13" t="n">
        <v>0</v>
      </c>
      <c r="E43" s="13" t="n">
        <v>0</v>
      </c>
      <c r="F43" s="13" t="n">
        <v>1</v>
      </c>
      <c r="G43" s="13" t="n">
        <v>1</v>
      </c>
      <c r="H43" s="13" t="n">
        <v>0</v>
      </c>
      <c r="I43" s="13" t="n">
        <v>0</v>
      </c>
      <c r="J43" s="12">
        <f>COUNTIF(D43:I43,1)</f>
        <v/>
      </c>
      <c r="K43" s="12">
        <f>IF(COUNT(D43:I43)=0,"",ROUND(J43/6*100,1))</f>
        <v/>
      </c>
      <c r="L43" s="12">
        <f>COUNTIF(D43:I43,0)</f>
        <v/>
      </c>
      <c r="M43" s="12">
        <f>IF(COUNT(D43:I43)=0,"",ROUND(L43/6*100,1))</f>
        <v/>
      </c>
      <c r="N43" s="20">
        <f>IF(K43="","",IF(K43&gt;=Нэгтгэл!$K$4,"Хангалттай эзэмшиж байна",IF(K43&gt;=Нэгтгэл!$K$5,"Ахиж байна","Хөгжиж байна")))</f>
        <v/>
      </c>
    </row>
    <row r="44" ht="16" customHeight="1">
      <c r="A44" s="12" t="n">
        <v>38</v>
      </c>
      <c r="B44" s="12">
        <f>IF(Нэгтгэл!B44="","",Нэгтгэл!B44)</f>
        <v/>
      </c>
      <c r="C44" s="4" t="n"/>
      <c r="D44" s="13" t="n">
        <v>1</v>
      </c>
      <c r="E44" s="13" t="n">
        <v>0</v>
      </c>
      <c r="F44" s="13" t="n">
        <v>1</v>
      </c>
      <c r="G44" s="13" t="n">
        <v>1</v>
      </c>
      <c r="H44" s="13" t="n">
        <v>1</v>
      </c>
      <c r="I44" s="13" t="n">
        <v>1</v>
      </c>
      <c r="J44" s="12">
        <f>COUNTIF(D44:I44,1)</f>
        <v/>
      </c>
      <c r="K44" s="12">
        <f>IF(COUNT(D44:I44)=0,"",ROUND(J44/6*100,1))</f>
        <v/>
      </c>
      <c r="L44" s="12">
        <f>COUNTIF(D44:I44,0)</f>
        <v/>
      </c>
      <c r="M44" s="12">
        <f>IF(COUNT(D44:I44)=0,"",ROUND(L44/6*100,1))</f>
        <v/>
      </c>
      <c r="N44" s="20">
        <f>IF(K44="","",IF(K44&gt;=Нэгтгэл!$K$4,"Хангалттай эзэмшиж байна",IF(K44&gt;=Нэгтгэл!$K$5,"Ахиж байна","Хөгжиж байна")))</f>
        <v/>
      </c>
    </row>
    <row r="45" ht="16" customHeight="1">
      <c r="A45" s="12" t="n">
        <v>39</v>
      </c>
      <c r="B45" s="12">
        <f>IF(Нэгтгэл!B45="","",Нэгтгэл!B45)</f>
        <v/>
      </c>
      <c r="C45" s="4" t="n"/>
      <c r="D45" s="13" t="n">
        <v>1</v>
      </c>
      <c r="E45" s="13" t="n">
        <v>1</v>
      </c>
      <c r="F45" s="13" t="n">
        <v>1</v>
      </c>
      <c r="G45" s="13" t="n">
        <v>1</v>
      </c>
      <c r="H45" s="13" t="n">
        <v>0</v>
      </c>
      <c r="I45" s="13" t="n">
        <v>1</v>
      </c>
      <c r="J45" s="12">
        <f>COUNTIF(D45:I45,1)</f>
        <v/>
      </c>
      <c r="K45" s="12">
        <f>IF(COUNT(D45:I45)=0,"",ROUND(J45/6*100,1))</f>
        <v/>
      </c>
      <c r="L45" s="12">
        <f>COUNTIF(D45:I45,0)</f>
        <v/>
      </c>
      <c r="M45" s="12">
        <f>IF(COUNT(D45:I45)=0,"",ROUND(L45/6*100,1))</f>
        <v/>
      </c>
      <c r="N45" s="20">
        <f>IF(K45="","",IF(K45&gt;=Нэгтгэл!$K$4,"Хангалттай эзэмшиж байна",IF(K45&gt;=Нэгтгэл!$K$5,"Ахиж байна","Хөгжиж байна")))</f>
        <v/>
      </c>
    </row>
    <row r="46" ht="16" customHeight="1">
      <c r="A46" s="12" t="n">
        <v>40</v>
      </c>
      <c r="B46" s="12">
        <f>IF(Нэгтгэл!B46="","",Нэгтгэл!B46)</f>
        <v/>
      </c>
      <c r="C46" s="4" t="n"/>
      <c r="D46" s="13" t="n">
        <v>1</v>
      </c>
      <c r="E46" s="13" t="n">
        <v>0</v>
      </c>
      <c r="F46" s="13" t="n">
        <v>1</v>
      </c>
      <c r="G46" s="13" t="n">
        <v>0</v>
      </c>
      <c r="H46" s="13" t="n">
        <v>1</v>
      </c>
      <c r="I46" s="13" t="n">
        <v>1</v>
      </c>
      <c r="J46" s="12">
        <f>COUNTIF(D46:I46,1)</f>
        <v/>
      </c>
      <c r="K46" s="12">
        <f>IF(COUNT(D46:I46)=0,"",ROUND(J46/6*100,1))</f>
        <v/>
      </c>
      <c r="L46" s="12">
        <f>COUNTIF(D46:I46,0)</f>
        <v/>
      </c>
      <c r="M46" s="12">
        <f>IF(COUNT(D46:I46)=0,"",ROUND(L46/6*100,1))</f>
        <v/>
      </c>
      <c r="N46" s="20">
        <f>IF(K46="","",IF(K46&gt;=Нэгтгэл!$K$4,"Хангалттай эзэмшиж байна",IF(K46&gt;=Нэгтгэл!$K$5,"Ахиж байна","Хөгжиж байна")))</f>
        <v/>
      </c>
    </row>
    <row r="47" ht="16" customHeight="1">
      <c r="A47" s="12" t="n">
        <v>41</v>
      </c>
      <c r="B47" s="12">
        <f>IF(Нэгтгэл!B47="","",Нэгтгэл!B47)</f>
        <v/>
      </c>
      <c r="C47" s="4" t="n"/>
      <c r="D47" s="13" t="n">
        <v>1</v>
      </c>
      <c r="E47" s="13" t="n">
        <v>1</v>
      </c>
      <c r="F47" s="13" t="n">
        <v>1</v>
      </c>
      <c r="G47" s="13" t="n">
        <v>1</v>
      </c>
      <c r="H47" s="13" t="n">
        <v>0</v>
      </c>
      <c r="I47" s="13" t="n">
        <v>1</v>
      </c>
      <c r="J47" s="12">
        <f>COUNTIF(D47:I47,1)</f>
        <v/>
      </c>
      <c r="K47" s="12">
        <f>IF(COUNT(D47:I47)=0,"",ROUND(J47/6*100,1))</f>
        <v/>
      </c>
      <c r="L47" s="12">
        <f>COUNTIF(D47:I47,0)</f>
        <v/>
      </c>
      <c r="M47" s="12">
        <f>IF(COUNT(D47:I47)=0,"",ROUND(L47/6*100,1))</f>
        <v/>
      </c>
      <c r="N47" s="20">
        <f>IF(K47="","",IF(K47&gt;=Нэгтгэл!$K$4,"Хангалттай эзэмшиж байна",IF(K47&gt;=Нэгтгэл!$K$5,"Ахиж байна","Хөгжиж байна")))</f>
        <v/>
      </c>
    </row>
    <row r="48" ht="16" customHeight="1">
      <c r="A48" s="12" t="n">
        <v>42</v>
      </c>
      <c r="B48" s="12">
        <f>IF(Нэгтгэл!B48="","",Нэгтгэл!B48)</f>
        <v/>
      </c>
      <c r="C48" s="4" t="n"/>
      <c r="D48" s="13" t="n">
        <v>0</v>
      </c>
      <c r="E48" s="13" t="n">
        <v>1</v>
      </c>
      <c r="F48" s="13" t="n">
        <v>0</v>
      </c>
      <c r="G48" s="13" t="n">
        <v>1</v>
      </c>
      <c r="H48" s="13" t="n">
        <v>1</v>
      </c>
      <c r="I48" s="13" t="n">
        <v>1</v>
      </c>
      <c r="J48" s="12">
        <f>COUNTIF(D48:I48,1)</f>
        <v/>
      </c>
      <c r="K48" s="12">
        <f>IF(COUNT(D48:I48)=0,"",ROUND(J48/6*100,1))</f>
        <v/>
      </c>
      <c r="L48" s="12">
        <f>COUNTIF(D48:I48,0)</f>
        <v/>
      </c>
      <c r="M48" s="12">
        <f>IF(COUNT(D48:I48)=0,"",ROUND(L48/6*100,1))</f>
        <v/>
      </c>
      <c r="N48" s="20">
        <f>IF(K48="","",IF(K48&gt;=Нэгтгэл!$K$4,"Хангалттай эзэмшиж байна",IF(K48&gt;=Нэгтгэл!$K$5,"Ахиж байна","Хөгжиж байна")))</f>
        <v/>
      </c>
    </row>
    <row r="49" ht="16" customHeight="1">
      <c r="A49" s="12" t="n">
        <v>43</v>
      </c>
      <c r="B49" s="12">
        <f>IF(Нэгтгэл!B49="","",Нэгтгэл!B49)</f>
        <v/>
      </c>
      <c r="C49" s="4" t="n"/>
      <c r="D49" s="13" t="n">
        <v>0</v>
      </c>
      <c r="E49" s="13" t="n">
        <v>0</v>
      </c>
      <c r="F49" s="13" t="n">
        <v>1</v>
      </c>
      <c r="G49" s="13" t="n">
        <v>1</v>
      </c>
      <c r="H49" s="13" t="n">
        <v>1</v>
      </c>
      <c r="I49" s="13" t="n">
        <v>0</v>
      </c>
      <c r="J49" s="12">
        <f>COUNTIF(D49:I49,1)</f>
        <v/>
      </c>
      <c r="K49" s="12">
        <f>IF(COUNT(D49:I49)=0,"",ROUND(J49/6*100,1))</f>
        <v/>
      </c>
      <c r="L49" s="12">
        <f>COUNTIF(D49:I49,0)</f>
        <v/>
      </c>
      <c r="M49" s="12">
        <f>IF(COUNT(D49:I49)=0,"",ROUND(L49/6*100,1))</f>
        <v/>
      </c>
      <c r="N49" s="20">
        <f>IF(K49="","",IF(K49&gt;=Нэгтгэл!$K$4,"Хангалттай эзэмшиж байна",IF(K49&gt;=Нэгтгэл!$K$5,"Ахиж байна","Хөгжиж байна")))</f>
        <v/>
      </c>
    </row>
    <row r="50" ht="16" customHeight="1">
      <c r="A50" s="12" t="n">
        <v>44</v>
      </c>
      <c r="B50" s="12">
        <f>IF(Нэгтгэл!B50="","",Нэгтгэл!B50)</f>
        <v/>
      </c>
      <c r="C50" s="4" t="n"/>
      <c r="D50" s="13" t="n">
        <v>1</v>
      </c>
      <c r="E50" s="13" t="n">
        <v>1</v>
      </c>
      <c r="F50" s="13" t="n">
        <v>1</v>
      </c>
      <c r="G50" s="13" t="n">
        <v>1</v>
      </c>
      <c r="H50" s="13" t="n">
        <v>0</v>
      </c>
      <c r="I50" s="13" t="n">
        <v>0</v>
      </c>
      <c r="J50" s="12">
        <f>COUNTIF(D50:I50,1)</f>
        <v/>
      </c>
      <c r="K50" s="12">
        <f>IF(COUNT(D50:I50)=0,"",ROUND(J50/6*100,1))</f>
        <v/>
      </c>
      <c r="L50" s="12">
        <f>COUNTIF(D50:I50,0)</f>
        <v/>
      </c>
      <c r="M50" s="12">
        <f>IF(COUNT(D50:I50)=0,"",ROUND(L50/6*100,1))</f>
        <v/>
      </c>
      <c r="N50" s="20">
        <f>IF(K50="","",IF(K50&gt;=Нэгтгэл!$K$4,"Хангалттай эзэмшиж байна",IF(K50&gt;=Нэгтгэл!$K$5,"Ахиж байна","Хөгжиж байна")))</f>
        <v/>
      </c>
    </row>
    <row r="51" ht="16" customHeight="1">
      <c r="A51" s="12" t="n">
        <v>45</v>
      </c>
      <c r="B51" s="12">
        <f>IF(Нэгтгэл!B51="","",Нэгтгэл!B51)</f>
        <v/>
      </c>
      <c r="C51" s="4" t="n"/>
      <c r="D51" s="13" t="n">
        <v>1</v>
      </c>
      <c r="E51" s="13" t="n">
        <v>0</v>
      </c>
      <c r="F51" s="13" t="n">
        <v>1</v>
      </c>
      <c r="G51" s="13" t="n">
        <v>1</v>
      </c>
      <c r="H51" s="13" t="n">
        <v>1</v>
      </c>
      <c r="I51" s="13" t="n">
        <v>1</v>
      </c>
      <c r="J51" s="12">
        <f>COUNTIF(D51:I51,1)</f>
        <v/>
      </c>
      <c r="K51" s="12">
        <f>IF(COUNT(D51:I51)=0,"",ROUND(J51/6*100,1))</f>
        <v/>
      </c>
      <c r="L51" s="12">
        <f>COUNTIF(D51:I51,0)</f>
        <v/>
      </c>
      <c r="M51" s="12">
        <f>IF(COUNT(D51:I51)=0,"",ROUND(L51/6*100,1))</f>
        <v/>
      </c>
      <c r="N51" s="20">
        <f>IF(K51="","",IF(K51&gt;=Нэгтгэл!$K$4,"Хангалттай эзэмшиж байна",IF(K51&gt;=Нэгтгэл!$K$5,"Ахиж байна","Хөгжиж байна")))</f>
        <v/>
      </c>
    </row>
    <row r="52" ht="16" customHeight="1">
      <c r="A52" s="12" t="n">
        <v>46</v>
      </c>
      <c r="B52" s="12">
        <f>IF(Нэгтгэл!B52="","",Нэгтгэл!B52)</f>
        <v/>
      </c>
      <c r="C52" s="4" t="n"/>
      <c r="D52" s="13" t="n">
        <v>1</v>
      </c>
      <c r="E52" s="13" t="n">
        <v>1</v>
      </c>
      <c r="F52" s="13" t="n">
        <v>1</v>
      </c>
      <c r="G52" s="13" t="n">
        <v>0</v>
      </c>
      <c r="H52" s="13" t="n">
        <v>1</v>
      </c>
      <c r="I52" s="13" t="n">
        <v>1</v>
      </c>
      <c r="J52" s="12">
        <f>COUNTIF(D52:I52,1)</f>
        <v/>
      </c>
      <c r="K52" s="12">
        <f>IF(COUNT(D52:I52)=0,"",ROUND(J52/6*100,1))</f>
        <v/>
      </c>
      <c r="L52" s="12">
        <f>COUNTIF(D52:I52,0)</f>
        <v/>
      </c>
      <c r="M52" s="12">
        <f>IF(COUNT(D52:I52)=0,"",ROUND(L52/6*100,1))</f>
        <v/>
      </c>
      <c r="N52" s="20">
        <f>IF(K52="","",IF(K52&gt;=Нэгтгэл!$K$4,"Хангалттай эзэмшиж байна",IF(K52&gt;=Нэгтгэл!$K$5,"Ахиж байна","Хөгжиж байна")))</f>
        <v/>
      </c>
    </row>
    <row r="53" ht="16" customHeight="1">
      <c r="A53" s="12" t="n">
        <v>47</v>
      </c>
      <c r="B53" s="12">
        <f>IF(Нэгтгэл!B53="","",Нэгтгэл!B53)</f>
        <v/>
      </c>
      <c r="C53" s="4" t="n"/>
      <c r="D53" s="13" t="n">
        <v>0</v>
      </c>
      <c r="E53" s="13" t="n">
        <v>1</v>
      </c>
      <c r="F53" s="13" t="n">
        <v>1</v>
      </c>
      <c r="G53" s="13" t="n">
        <v>1</v>
      </c>
      <c r="H53" s="13" t="n">
        <v>0</v>
      </c>
      <c r="I53" s="13" t="n">
        <v>1</v>
      </c>
      <c r="J53" s="12">
        <f>COUNTIF(D53:I53,1)</f>
        <v/>
      </c>
      <c r="K53" s="12">
        <f>IF(COUNT(D53:I53)=0,"",ROUND(J53/6*100,1))</f>
        <v/>
      </c>
      <c r="L53" s="12">
        <f>COUNTIF(D53:I53,0)</f>
        <v/>
      </c>
      <c r="M53" s="12">
        <f>IF(COUNT(D53:I53)=0,"",ROUND(L53/6*100,1))</f>
        <v/>
      </c>
      <c r="N53" s="20">
        <f>IF(K53="","",IF(K53&gt;=Нэгтгэл!$K$4,"Хангалттай эзэмшиж байна",IF(K53&gt;=Нэгтгэл!$K$5,"Ахиж байна","Хөгжиж байна")))</f>
        <v/>
      </c>
    </row>
    <row r="54" ht="16" customHeight="1">
      <c r="A54" s="12" t="n">
        <v>48</v>
      </c>
      <c r="B54" s="12">
        <f>IF(Нэгтгэл!B54="","",Нэгтгэл!B54)</f>
        <v/>
      </c>
      <c r="C54" s="4" t="n"/>
      <c r="D54" s="13" t="n">
        <v>1</v>
      </c>
      <c r="E54" s="13" t="n">
        <v>1</v>
      </c>
      <c r="F54" s="13" t="n">
        <v>1</v>
      </c>
      <c r="G54" s="13" t="n">
        <v>1</v>
      </c>
      <c r="H54" s="13" t="n">
        <v>1</v>
      </c>
      <c r="I54" s="13" t="n">
        <v>1</v>
      </c>
      <c r="J54" s="12">
        <f>COUNTIF(D54:I54,1)</f>
        <v/>
      </c>
      <c r="K54" s="12">
        <f>IF(COUNT(D54:I54)=0,"",ROUND(J54/6*100,1))</f>
        <v/>
      </c>
      <c r="L54" s="12">
        <f>COUNTIF(D54:I54,0)</f>
        <v/>
      </c>
      <c r="M54" s="12">
        <f>IF(COUNT(D54:I54)=0,"",ROUND(L54/6*100,1))</f>
        <v/>
      </c>
      <c r="N54" s="20">
        <f>IF(K54="","",IF(K54&gt;=Нэгтгэл!$K$4,"Хангалттай эзэмшиж байна",IF(K54&gt;=Нэгтгэл!$K$5,"Ахиж байна","Хөгжиж байна")))</f>
        <v/>
      </c>
    </row>
    <row r="55" ht="16" customHeight="1">
      <c r="A55" s="12" t="n">
        <v>49</v>
      </c>
      <c r="B55" s="12">
        <f>IF(Нэгтгэл!B55="","",Нэгтгэл!B55)</f>
        <v/>
      </c>
      <c r="C55" s="4" t="n"/>
      <c r="D55" s="13" t="n">
        <v>0</v>
      </c>
      <c r="E55" s="13" t="n">
        <v>0</v>
      </c>
      <c r="F55" s="13" t="n">
        <v>0</v>
      </c>
      <c r="G55" s="13" t="n">
        <v>1</v>
      </c>
      <c r="H55" s="13" t="n">
        <v>1</v>
      </c>
      <c r="I55" s="13" t="n">
        <v>1</v>
      </c>
      <c r="J55" s="12">
        <f>COUNTIF(D55:I55,1)</f>
        <v/>
      </c>
      <c r="K55" s="12">
        <f>IF(COUNT(D55:I55)=0,"",ROUND(J55/6*100,1))</f>
        <v/>
      </c>
      <c r="L55" s="12">
        <f>COUNTIF(D55:I55,0)</f>
        <v/>
      </c>
      <c r="M55" s="12">
        <f>IF(COUNT(D55:I55)=0,"",ROUND(L55/6*100,1))</f>
        <v/>
      </c>
      <c r="N55" s="20">
        <f>IF(K55="","",IF(K55&gt;=Нэгтгэл!$K$4,"Хангалттай эзэмшиж байна",IF(K55&gt;=Нэгтгэл!$K$5,"Ахиж байна","Хөгжиж байна")))</f>
        <v/>
      </c>
    </row>
    <row r="56" ht="17" customHeight="1">
      <c r="A56" s="5" t="inlineStr">
        <is>
          <t>Чадна (1)</t>
        </is>
      </c>
      <c r="B56" s="15" t="n"/>
      <c r="C56" s="15" t="n"/>
      <c r="D56" s="5">
        <f>COUNTIF(D7:D55,1)</f>
        <v/>
      </c>
      <c r="E56" s="5">
        <f>COUNTIF(E7:E55,1)</f>
        <v/>
      </c>
      <c r="F56" s="5">
        <f>COUNTIF(F7:F55,1)</f>
        <v/>
      </c>
      <c r="G56" s="5">
        <f>COUNTIF(G7:G55,1)</f>
        <v/>
      </c>
      <c r="H56" s="5">
        <f>COUNTIF(H7:H55,1)</f>
        <v/>
      </c>
      <c r="I56" s="5">
        <f>COUNTIF(I7:I55,1)</f>
        <v/>
      </c>
      <c r="J56" s="21" t="inlineStr">
        <is>
          <t>Хангалттай эзэмшиж байна</t>
        </is>
      </c>
      <c r="K56" s="22" t="n"/>
      <c r="L56" s="22" t="n"/>
      <c r="M56" s="23" t="n"/>
      <c r="N56" s="5">
        <f>COUNTIF(N7:N55,"Хангалттай эзэмшиж байна")</f>
        <v/>
      </c>
    </row>
    <row r="57" ht="17" customHeight="1">
      <c r="A57" s="5" t="inlineStr">
        <is>
          <t>Хувь</t>
        </is>
      </c>
      <c r="B57" s="15" t="n"/>
      <c r="C57" s="15" t="n"/>
      <c r="D57" s="5">
        <f>IF(COUNT(D7:D55)=0,"",ROUND(COUNTIF(D7:D55,1)/COUNT(D7:D55)*100,1))</f>
        <v/>
      </c>
      <c r="E57" s="5">
        <f>IF(COUNT(E7:E55)=0,"",ROUND(COUNTIF(E7:E55,1)/COUNT(E7:E55)*100,1))</f>
        <v/>
      </c>
      <c r="F57" s="5">
        <f>IF(COUNT(F7:F55)=0,"",ROUND(COUNTIF(F7:F55,1)/COUNT(F7:F55)*100,1))</f>
        <v/>
      </c>
      <c r="G57" s="5">
        <f>IF(COUNT(G7:G55)=0,"",ROUND(COUNTIF(G7:G55,1)/COUNT(G7:G55)*100,1))</f>
        <v/>
      </c>
      <c r="H57" s="5">
        <f>IF(COUNT(H7:H55)=0,"",ROUND(COUNTIF(H7:H55,1)/COUNT(H7:H55)*100,1))</f>
        <v/>
      </c>
      <c r="I57" s="5">
        <f>IF(COUNT(I7:I55)=0,"",ROUND(COUNTIF(I7:I55,1)/COUNT(I7:I55)*100,1))</f>
        <v/>
      </c>
      <c r="J57" s="21" t="inlineStr">
        <is>
          <t>Ахиж байна</t>
        </is>
      </c>
      <c r="K57" s="22" t="n"/>
      <c r="L57" s="22" t="n"/>
      <c r="M57" s="23" t="n"/>
      <c r="N57" s="5">
        <f>COUNTIF(N7:N55,"Ахиж байна")</f>
        <v/>
      </c>
    </row>
    <row r="58" ht="17" customHeight="1">
      <c r="A58" s="5" t="inlineStr">
        <is>
          <t>Чадахгүй (0)</t>
        </is>
      </c>
      <c r="B58" s="15" t="n"/>
      <c r="C58" s="15" t="n"/>
      <c r="D58" s="5">
        <f>COUNTIF(D7:D55,0)</f>
        <v/>
      </c>
      <c r="E58" s="5">
        <f>COUNTIF(E7:E55,0)</f>
        <v/>
      </c>
      <c r="F58" s="5">
        <f>COUNTIF(F7:F55,0)</f>
        <v/>
      </c>
      <c r="G58" s="5">
        <f>COUNTIF(G7:G55,0)</f>
        <v/>
      </c>
      <c r="H58" s="5">
        <f>COUNTIF(H7:H55,0)</f>
        <v/>
      </c>
      <c r="I58" s="5">
        <f>COUNTIF(I7:I55,0)</f>
        <v/>
      </c>
      <c r="J58" s="21" t="inlineStr">
        <is>
          <t>Хөгжиж байна</t>
        </is>
      </c>
      <c r="K58" s="22" t="n"/>
      <c r="L58" s="22" t="n"/>
      <c r="M58" s="23" t="n"/>
      <c r="N58" s="5">
        <f>COUNTIF(N7:N55,"Хөгжиж байна")</f>
        <v/>
      </c>
    </row>
    <row r="59" ht="17" customHeight="1">
      <c r="A59" s="5" t="inlineStr">
        <is>
          <t>Хувь</t>
        </is>
      </c>
      <c r="B59" s="15" t="n"/>
      <c r="C59" s="15" t="n"/>
      <c r="D59" s="5">
        <f>IF(COUNT(D7:D55)=0,"",ROUND(COUNTIF(D7:D55,0)/COUNT(D7:D55)*100,1))</f>
        <v/>
      </c>
      <c r="E59" s="5">
        <f>IF(COUNT(E7:E55)=0,"",ROUND(COUNTIF(E7:E55,0)/COUNT(E7:E55)*100,1))</f>
        <v/>
      </c>
      <c r="F59" s="5">
        <f>IF(COUNT(F7:F55)=0,"",ROUND(COUNTIF(F7:F55,0)/COUNT(F7:F55)*100,1))</f>
        <v/>
      </c>
      <c r="G59" s="5">
        <f>IF(COUNT(G7:G55)=0,"",ROUND(COUNTIF(G7:G55,0)/COUNT(G7:G55)*100,1))</f>
        <v/>
      </c>
      <c r="H59" s="5">
        <f>IF(COUNT(H7:H55)=0,"",ROUND(COUNTIF(H7:H55,0)/COUNT(H7:H55)*100,1))</f>
        <v/>
      </c>
      <c r="I59" s="5">
        <f>IF(COUNT(I7:I55)=0,"",ROUND(COUNTIF(I7:I55,0)/COUNT(I7:I55)*100,1))</f>
        <v/>
      </c>
      <c r="J59" s="15" t="n"/>
      <c r="K59" s="15" t="n"/>
      <c r="L59" s="15" t="n"/>
      <c r="M59" s="15" t="n"/>
      <c r="N59" s="15" t="n"/>
    </row>
  </sheetData>
  <mergeCells count="66">
    <mergeCell ref="B47:C47"/>
    <mergeCell ref="B16:C16"/>
    <mergeCell ref="B54:C54"/>
    <mergeCell ref="B7:C7"/>
    <mergeCell ref="B25:C25"/>
    <mergeCell ref="J56:M56"/>
    <mergeCell ref="L3:L6"/>
    <mergeCell ref="B46:C46"/>
    <mergeCell ref="B22:C22"/>
    <mergeCell ref="A56:C56"/>
    <mergeCell ref="B31:C31"/>
    <mergeCell ref="B18:C18"/>
    <mergeCell ref="B27:C27"/>
    <mergeCell ref="A57:C57"/>
    <mergeCell ref="B43:C43"/>
    <mergeCell ref="B12:C12"/>
    <mergeCell ref="A1:N1"/>
    <mergeCell ref="B39:C39"/>
    <mergeCell ref="B52:C52"/>
    <mergeCell ref="B21:C21"/>
    <mergeCell ref="B48:C48"/>
    <mergeCell ref="J58:M58"/>
    <mergeCell ref="B11:C11"/>
    <mergeCell ref="N3:N6"/>
    <mergeCell ref="B42:C42"/>
    <mergeCell ref="B23:C23"/>
    <mergeCell ref="A3:A6"/>
    <mergeCell ref="B14:C14"/>
    <mergeCell ref="D3:I3"/>
    <mergeCell ref="B17:C17"/>
    <mergeCell ref="B8:C8"/>
    <mergeCell ref="B53:C53"/>
    <mergeCell ref="J57:M57"/>
    <mergeCell ref="B13:C13"/>
    <mergeCell ref="B38:C38"/>
    <mergeCell ref="B44:C44"/>
    <mergeCell ref="B29:C29"/>
    <mergeCell ref="B19:C19"/>
    <mergeCell ref="M3:M6"/>
    <mergeCell ref="A2:N2"/>
    <mergeCell ref="B10:C10"/>
    <mergeCell ref="B28:C28"/>
    <mergeCell ref="B34:C34"/>
    <mergeCell ref="B37:C37"/>
    <mergeCell ref="A58:C58"/>
    <mergeCell ref="B40:C40"/>
    <mergeCell ref="B9:C9"/>
    <mergeCell ref="A59:C59"/>
    <mergeCell ref="B49:C49"/>
    <mergeCell ref="B55:C55"/>
    <mergeCell ref="B3:C6"/>
    <mergeCell ref="B24:C24"/>
    <mergeCell ref="B30:C30"/>
    <mergeCell ref="B15:C15"/>
    <mergeCell ref="B33:C33"/>
    <mergeCell ref="J3:J6"/>
    <mergeCell ref="B51:C51"/>
    <mergeCell ref="B20:C20"/>
    <mergeCell ref="K3:K6"/>
    <mergeCell ref="B45:C45"/>
    <mergeCell ref="B36:C36"/>
    <mergeCell ref="B32:C32"/>
    <mergeCell ref="B50:C50"/>
    <mergeCell ref="B26:C26"/>
    <mergeCell ref="B41:C41"/>
    <mergeCell ref="B35:C35"/>
  </mergeCells>
  <conditionalFormatting sqref="D7:I55">
    <cfRule type="cellIs" priority="1" operator="equal" dxfId="0">
      <formula>0</formula>
    </cfRule>
  </conditionalFormatting>
  <dataValidations count="1">
    <dataValidation sqref="D7 D8 D9 D10 D11 D12 D13 D14 D15 D16 D17 D18 D19 D20 D21 D22 D23 D24 D25 D26 D27 D28 D29 D30 D31 D32 D33 D34 D35 D36 D37 D38 D39 D40 D41 D42 D43 D44 D45 D46 D47 D48 D49 D50 D51 D52 D53 D54 D55 E7 E8 E9 E10 E11 E12 E13 E14 E15 E16 E17 E18 E19 E20 E21 E22 E23 E24 E25 E26 E27 E28 E29 E30 E31 E32 E33 E34 E35 E36 E37 E38 E39 E40 E41 E42 E43 E44 E45 E46 E47 E48 E49 E50 E51 E52 E53 E54 E55 F7 F8 F9 F10 F11 F12 F13 F14 F15 F16 F17 F18 F19 F20 F21 F22 F23 F24 F25 F26 F27 F28 F29 F30 F31 F32 F33 F34 F35 F36 F37 F38 F39 F40 F41 F42 F43 F44 F45 F46 F47 F48 F49 F50 F51 F52 F53 F54 F55 G7 G8 G9 G10 G11 G12 G13 G14 G15 G16 G17 G18 G19 G20 G21 G22 G23 G24 G25 G26 G27 G28 G29 G30 G31 G32 G33 G34 G35 G36 G37 G38 G39 G40 G41 G42 G43 G44 G45 G46 G47 G48 G49 G50 G51 G52 G53 G54 G55 H7 H8 H9 H10 H11 H12 H13 H14 H15 H16 H17 H18 H19 H20 H21 H22 H23 H24 H25 H26 H27 H28 H29 H30 H31 H32 H33 H34 H35 H36 H37 H38 H39 H40 H41 H42 H43 H44 H45 H46 H47 H48 H49 H50 H51 H52 H53 H54 H55 I7 I8 I9 I10 I11 I12 I13 I14 I15 I16 I17 I18 I19 I20 I21 I22 I23 I24 I25 I26 I27 I28 I29 I30 I31 I32 I33 I34 I35 I36 I37 I38 I39 I40 I41 I42 I43 I44 I45 I46 I47 I48 I49 I50 I51 I52 I53 I54 I55" showDropDown="0" showInputMessage="1" showErrorMessage="1" allowBlank="1" errorTitle="1 эсвэл 0" error="Чадна бол 1, чадахгүй бол 0 гэж бичнэ." promptTitle="Тэмдэглэх" prompt="Чадна = 1, Чадахгүй = 0" type="list">
      <formula1>"1,0"</formula1>
    </dataValidation>
  </dataValidations>
  <printOptions horizontalCentered="1"/>
  <pageMargins left="0.5905511811023622" right="0.1968503937007874" top="0.5905511811023622" bottom="0.5905511811023622" header="0.3149606299212598" footer="0.3149606299212598"/>
  <pageSetup orientation="landscape" paperSize="9" fitToHeight="2"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2026-10-18T13:16:51Z</dcterms:created>
  <dcterms:modified xmlns:dcterms="http://purl.org/dc/terms/" xmlns:xsi="http://www.w3.org/2001/XMLSchema-instance" xsi:type="dcterms:W3CDTF">2026-10-18T13:16:52Z</dcterms:modified>
</cp:coreProperties>
</file>